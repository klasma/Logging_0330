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46073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46073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46073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46073</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53813-2025</t>
        </is>
      </c>
      <c r="B9" s="1" t="n">
        <v>45960</v>
      </c>
      <c r="C9" s="1" t="n">
        <v>46073</v>
      </c>
      <c r="D9" t="inlineStr">
        <is>
          <t>UPPSALA LÄN</t>
        </is>
      </c>
      <c r="E9" t="inlineStr">
        <is>
          <t>KNIVSTA</t>
        </is>
      </c>
      <c r="G9" t="n">
        <v>1.7</v>
      </c>
      <c r="H9" t="n">
        <v>0</v>
      </c>
      <c r="I9" t="n">
        <v>1</v>
      </c>
      <c r="J9" t="n">
        <v>0</v>
      </c>
      <c r="K9" t="n">
        <v>0</v>
      </c>
      <c r="L9" t="n">
        <v>0</v>
      </c>
      <c r="M9" t="n">
        <v>0</v>
      </c>
      <c r="N9" t="n">
        <v>0</v>
      </c>
      <c r="O9" t="n">
        <v>0</v>
      </c>
      <c r="P9" t="n">
        <v>0</v>
      </c>
      <c r="Q9" t="n">
        <v>1</v>
      </c>
      <c r="R9" s="2" t="inlineStr">
        <is>
          <t>Broskvaxing</t>
        </is>
      </c>
      <c r="S9">
        <f>HYPERLINK("https://klasma.github.io/Logging_0330/artfynd/A 53813-2025 artfynd.xlsx", "A 53813-2025")</f>
        <v/>
      </c>
      <c r="T9">
        <f>HYPERLINK("https://klasma.github.io/Logging_0330/kartor/A 53813-2025 karta.png", "A 53813-2025")</f>
        <v/>
      </c>
      <c r="V9">
        <f>HYPERLINK("https://klasma.github.io/Logging_0330/klagomål/A 53813-2025 FSC-klagomål.docx", "A 53813-2025")</f>
        <v/>
      </c>
      <c r="W9">
        <f>HYPERLINK("https://klasma.github.io/Logging_0330/klagomålsmail/A 53813-2025 FSC-klagomål mail.docx", "A 53813-2025")</f>
        <v/>
      </c>
      <c r="X9">
        <f>HYPERLINK("https://klasma.github.io/Logging_0330/tillsyn/A 53813-2025 tillsynsbegäran.docx", "A 53813-2025")</f>
        <v/>
      </c>
      <c r="Y9">
        <f>HYPERLINK("https://klasma.github.io/Logging_0330/tillsynsmail/A 53813-2025 tillsynsbegäran mail.docx", "A 53813-2025")</f>
        <v/>
      </c>
    </row>
    <row r="10" ht="15" customHeight="1">
      <c r="A10" t="inlineStr">
        <is>
          <t>A 11405-2025</t>
        </is>
      </c>
      <c r="B10" s="1" t="n">
        <v>45726</v>
      </c>
      <c r="C10" s="1" t="n">
        <v>46073</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61768-2025</t>
        </is>
      </c>
      <c r="B11" s="1" t="n">
        <v>46002.63940972222</v>
      </c>
      <c r="C11" s="1" t="n">
        <v>46073</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33770-2023</t>
        </is>
      </c>
      <c r="B12" s="1" t="n">
        <v>45133</v>
      </c>
      <c r="C12" s="1" t="n">
        <v>46073</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2214-2026</t>
        </is>
      </c>
      <c r="B13" s="1" t="n">
        <v>46036</v>
      </c>
      <c r="C13" s="1" t="n">
        <v>46073</v>
      </c>
      <c r="D13" t="inlineStr">
        <is>
          <t>UPPSALA LÄN</t>
        </is>
      </c>
      <c r="E13" t="inlineStr">
        <is>
          <t>KNIVSTA</t>
        </is>
      </c>
      <c r="G13" t="n">
        <v>4.4</v>
      </c>
      <c r="H13" t="n">
        <v>0</v>
      </c>
      <c r="I13" t="n">
        <v>0</v>
      </c>
      <c r="J13" t="n">
        <v>1</v>
      </c>
      <c r="K13" t="n">
        <v>0</v>
      </c>
      <c r="L13" t="n">
        <v>0</v>
      </c>
      <c r="M13" t="n">
        <v>0</v>
      </c>
      <c r="N13" t="n">
        <v>0</v>
      </c>
      <c r="O13" t="n">
        <v>1</v>
      </c>
      <c r="P13" t="n">
        <v>0</v>
      </c>
      <c r="Q13" t="n">
        <v>1</v>
      </c>
      <c r="R13" s="2" t="inlineStr">
        <is>
          <t>Tallticka</t>
        </is>
      </c>
      <c r="S13">
        <f>HYPERLINK("https://klasma.github.io/Logging_0330/artfynd/A 2214-2026 artfynd.xlsx", "A 2214-2026")</f>
        <v/>
      </c>
      <c r="T13">
        <f>HYPERLINK("https://klasma.github.io/Logging_0330/kartor/A 2214-2026 karta.png", "A 2214-2026")</f>
        <v/>
      </c>
      <c r="U13">
        <f>HYPERLINK("https://klasma.github.io/Logging_0330/knärot/A 2214-2026 karta knärot.png", "A 2214-2026")</f>
        <v/>
      </c>
      <c r="V13">
        <f>HYPERLINK("https://klasma.github.io/Logging_0330/klagomål/A 2214-2026 FSC-klagomål.docx", "A 2214-2026")</f>
        <v/>
      </c>
      <c r="W13">
        <f>HYPERLINK("https://klasma.github.io/Logging_0330/klagomålsmail/A 2214-2026 FSC-klagomål mail.docx", "A 2214-2026")</f>
        <v/>
      </c>
      <c r="X13">
        <f>HYPERLINK("https://klasma.github.io/Logging_0330/tillsyn/A 2214-2026 tillsynsbegäran.docx", "A 2214-2026")</f>
        <v/>
      </c>
      <c r="Y13">
        <f>HYPERLINK("https://klasma.github.io/Logging_0330/tillsynsmail/A 2214-2026 tillsynsbegäran mail.docx", "A 2214-2026")</f>
        <v/>
      </c>
    </row>
    <row r="14" ht="15" customHeight="1">
      <c r="A14" t="inlineStr">
        <is>
          <t>A 9561-2026</t>
        </is>
      </c>
      <c r="B14" s="1" t="n">
        <v>46071.64916666667</v>
      </c>
      <c r="C14" s="1" t="n">
        <v>46073</v>
      </c>
      <c r="D14" t="inlineStr">
        <is>
          <t>UPPSALA LÄN</t>
        </is>
      </c>
      <c r="E14" t="inlineStr">
        <is>
          <t>KNIVSTA</t>
        </is>
      </c>
      <c r="F14" t="inlineStr">
        <is>
          <t>Övriga statliga verk och myndigheter</t>
        </is>
      </c>
      <c r="G14" t="n">
        <v>2.6</v>
      </c>
      <c r="H14" t="n">
        <v>0</v>
      </c>
      <c r="I14" t="n">
        <v>0</v>
      </c>
      <c r="J14" t="n">
        <v>1</v>
      </c>
      <c r="K14" t="n">
        <v>0</v>
      </c>
      <c r="L14" t="n">
        <v>0</v>
      </c>
      <c r="M14" t="n">
        <v>0</v>
      </c>
      <c r="N14" t="n">
        <v>0</v>
      </c>
      <c r="O14" t="n">
        <v>1</v>
      </c>
      <c r="P14" t="n">
        <v>0</v>
      </c>
      <c r="Q14" t="n">
        <v>1</v>
      </c>
      <c r="R14" s="2" t="inlineStr">
        <is>
          <t>Svartöra</t>
        </is>
      </c>
      <c r="S14">
        <f>HYPERLINK("https://klasma.github.io/Logging_0330/artfynd/A 9561-2026 artfynd.xlsx", "A 9561-2026")</f>
        <v/>
      </c>
      <c r="T14">
        <f>HYPERLINK("https://klasma.github.io/Logging_0330/kartor/A 9561-2026 karta.png", "A 9561-2026")</f>
        <v/>
      </c>
      <c r="V14">
        <f>HYPERLINK("https://klasma.github.io/Logging_0330/klagomål/A 9561-2026 FSC-klagomål.docx", "A 9561-2026")</f>
        <v/>
      </c>
      <c r="W14">
        <f>HYPERLINK("https://klasma.github.io/Logging_0330/klagomålsmail/A 9561-2026 FSC-klagomål mail.docx", "A 9561-2026")</f>
        <v/>
      </c>
      <c r="X14">
        <f>HYPERLINK("https://klasma.github.io/Logging_0330/tillsyn/A 9561-2026 tillsynsbegäran.docx", "A 9561-2026")</f>
        <v/>
      </c>
      <c r="Y14">
        <f>HYPERLINK("https://klasma.github.io/Logging_0330/tillsynsmail/A 9561-2026 tillsynsbegäran mail.docx", "A 9561-2026")</f>
        <v/>
      </c>
    </row>
    <row r="15" ht="15" customHeight="1">
      <c r="A15" t="inlineStr">
        <is>
          <t>A 21831-2024</t>
        </is>
      </c>
      <c r="B15" s="1" t="n">
        <v>45442</v>
      </c>
      <c r="C15" s="1" t="n">
        <v>46073</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46073</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16407-2025</t>
        </is>
      </c>
      <c r="B17" s="1" t="n">
        <v>45751.45120370371</v>
      </c>
      <c r="C17" s="1" t="n">
        <v>46073</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16973-2021</t>
        </is>
      </c>
      <c r="B18" s="1" t="n">
        <v>44295</v>
      </c>
      <c r="C18" s="1" t="n">
        <v>46073</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46073</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9725-2021</t>
        </is>
      </c>
      <c r="B20" s="1" t="n">
        <v>44252</v>
      </c>
      <c r="C20" s="1" t="n">
        <v>46073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46073</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46073</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46073</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46073</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46073</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46073</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46073</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46073</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46073</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46073</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46073</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46073</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46073</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46073</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46073</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46073</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46073</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46073</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46073</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32975-2021</t>
        </is>
      </c>
      <c r="B42" s="1" t="n">
        <v>44376</v>
      </c>
      <c r="C42" s="1" t="n">
        <v>46073</v>
      </c>
      <c r="D42" t="inlineStr">
        <is>
          <t>UPPSALA LÄN</t>
        </is>
      </c>
      <c r="E42" t="inlineStr">
        <is>
          <t>KNIVSTA</t>
        </is>
      </c>
      <c r="G42" t="n">
        <v>6.1</v>
      </c>
      <c r="H42" t="n">
        <v>0</v>
      </c>
      <c r="I42" t="n">
        <v>0</v>
      </c>
      <c r="J42" t="n">
        <v>0</v>
      </c>
      <c r="K42" t="n">
        <v>0</v>
      </c>
      <c r="L42" t="n">
        <v>0</v>
      </c>
      <c r="M42" t="n">
        <v>0</v>
      </c>
      <c r="N42" t="n">
        <v>0</v>
      </c>
      <c r="O42" t="n">
        <v>0</v>
      </c>
      <c r="P42" t="n">
        <v>0</v>
      </c>
      <c r="Q42" t="n">
        <v>0</v>
      </c>
      <c r="R42" s="2" t="inlineStr"/>
    </row>
    <row r="43" ht="15" customHeight="1">
      <c r="A43" t="inlineStr">
        <is>
          <t>A 47803-2025</t>
        </is>
      </c>
      <c r="B43" s="1" t="n">
        <v>45931</v>
      </c>
      <c r="C43" s="1" t="n">
        <v>46073</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46073</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46073</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46073</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46073</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49090-2025</t>
        </is>
      </c>
      <c r="B48" s="1" t="n">
        <v>45937</v>
      </c>
      <c r="C48" s="1" t="n">
        <v>46073</v>
      </c>
      <c r="D48" t="inlineStr">
        <is>
          <t>UPPSALA LÄN</t>
        </is>
      </c>
      <c r="E48" t="inlineStr">
        <is>
          <t>KNIVSTA</t>
        </is>
      </c>
      <c r="G48" t="n">
        <v>4.1</v>
      </c>
      <c r="H48" t="n">
        <v>0</v>
      </c>
      <c r="I48" t="n">
        <v>0</v>
      </c>
      <c r="J48" t="n">
        <v>0</v>
      </c>
      <c r="K48" t="n">
        <v>0</v>
      </c>
      <c r="L48" t="n">
        <v>0</v>
      </c>
      <c r="M48" t="n">
        <v>0</v>
      </c>
      <c r="N48" t="n">
        <v>0</v>
      </c>
      <c r="O48" t="n">
        <v>0</v>
      </c>
      <c r="P48" t="n">
        <v>0</v>
      </c>
      <c r="Q48" t="n">
        <v>0</v>
      </c>
      <c r="R48" s="2" t="inlineStr"/>
    </row>
    <row r="49" ht="15" customHeight="1">
      <c r="A49" t="inlineStr">
        <is>
          <t>A 52667-2025</t>
        </is>
      </c>
      <c r="B49" s="1" t="n">
        <v>45955.74666666667</v>
      </c>
      <c r="C49" s="1" t="n">
        <v>46073</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52666-2025</t>
        </is>
      </c>
      <c r="B50" s="1" t="n">
        <v>45955.74299768519</v>
      </c>
      <c r="C50" s="1" t="n">
        <v>46073</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53898-2025</t>
        </is>
      </c>
      <c r="B51" s="1" t="n">
        <v>45961.43056712963</v>
      </c>
      <c r="C51" s="1" t="n">
        <v>46073</v>
      </c>
      <c r="D51" t="inlineStr">
        <is>
          <t>UPPSALA LÄN</t>
        </is>
      </c>
      <c r="E51" t="inlineStr">
        <is>
          <t>KNIVSTA</t>
        </is>
      </c>
      <c r="G51" t="n">
        <v>4.5</v>
      </c>
      <c r="H51" t="n">
        <v>0</v>
      </c>
      <c r="I51" t="n">
        <v>0</v>
      </c>
      <c r="J51" t="n">
        <v>0</v>
      </c>
      <c r="K51" t="n">
        <v>0</v>
      </c>
      <c r="L51" t="n">
        <v>0</v>
      </c>
      <c r="M51" t="n">
        <v>0</v>
      </c>
      <c r="N51" t="n">
        <v>0</v>
      </c>
      <c r="O51" t="n">
        <v>0</v>
      </c>
      <c r="P51" t="n">
        <v>0</v>
      </c>
      <c r="Q51" t="n">
        <v>0</v>
      </c>
      <c r="R51" s="2" t="inlineStr"/>
    </row>
    <row r="52" ht="15" customHeight="1">
      <c r="A52" t="inlineStr">
        <is>
          <t>A 20902-2024</t>
        </is>
      </c>
      <c r="B52" s="1" t="n">
        <v>45439.48104166667</v>
      </c>
      <c r="C52" s="1" t="n">
        <v>46073</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26226-2025</t>
        </is>
      </c>
      <c r="B53" s="1" t="n">
        <v>45805.55829861111</v>
      </c>
      <c r="C53" s="1" t="n">
        <v>46073</v>
      </c>
      <c r="D53" t="inlineStr">
        <is>
          <t>UPPSALA LÄN</t>
        </is>
      </c>
      <c r="E53" t="inlineStr">
        <is>
          <t>KNIVSTA</t>
        </is>
      </c>
      <c r="G53" t="n">
        <v>9.1</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46073</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45453-2025</t>
        </is>
      </c>
      <c r="B55" s="1" t="n">
        <v>45922.48702546296</v>
      </c>
      <c r="C55" s="1" t="n">
        <v>46073</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46073</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28189-2025</t>
        </is>
      </c>
      <c r="B57" s="1" t="n">
        <v>45818.41357638889</v>
      </c>
      <c r="C57" s="1" t="n">
        <v>46073</v>
      </c>
      <c r="D57" t="inlineStr">
        <is>
          <t>UPPSALA LÄN</t>
        </is>
      </c>
      <c r="E57" t="inlineStr">
        <is>
          <t>KNIVSTA</t>
        </is>
      </c>
      <c r="G57" t="n">
        <v>7.6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46073</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46073</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57631-2025</t>
        </is>
      </c>
      <c r="B60" s="1" t="n">
        <v>45981.34748842593</v>
      </c>
      <c r="C60" s="1" t="n">
        <v>46073</v>
      </c>
      <c r="D60" t="inlineStr">
        <is>
          <t>UPPSALA LÄN</t>
        </is>
      </c>
      <c r="E60" t="inlineStr">
        <is>
          <t>KNIVSTA</t>
        </is>
      </c>
      <c r="G60" t="n">
        <v>3.4</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46073</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11847-2023</t>
        </is>
      </c>
      <c r="B62" s="1" t="n">
        <v>44995.33957175926</v>
      </c>
      <c r="C62" s="1" t="n">
        <v>46073</v>
      </c>
      <c r="D62" t="inlineStr">
        <is>
          <t>UPPSALA LÄN</t>
        </is>
      </c>
      <c r="E62" t="inlineStr">
        <is>
          <t>KNIVSTA</t>
        </is>
      </c>
      <c r="G62" t="n">
        <v>2.1</v>
      </c>
      <c r="H62" t="n">
        <v>0</v>
      </c>
      <c r="I62" t="n">
        <v>0</v>
      </c>
      <c r="J62" t="n">
        <v>0</v>
      </c>
      <c r="K62" t="n">
        <v>0</v>
      </c>
      <c r="L62" t="n">
        <v>0</v>
      </c>
      <c r="M62" t="n">
        <v>0</v>
      </c>
      <c r="N62" t="n">
        <v>0</v>
      </c>
      <c r="O62" t="n">
        <v>0</v>
      </c>
      <c r="P62" t="n">
        <v>0</v>
      </c>
      <c r="Q62" t="n">
        <v>0</v>
      </c>
      <c r="R62" s="2" t="inlineStr"/>
    </row>
    <row r="63" ht="15" customHeight="1">
      <c r="A63" t="inlineStr">
        <is>
          <t>A 11450-2023</t>
        </is>
      </c>
      <c r="B63" s="1" t="n">
        <v>44993</v>
      </c>
      <c r="C63" s="1" t="n">
        <v>46073</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46073</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46073</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33974-2025</t>
        </is>
      </c>
      <c r="B66" s="1" t="n">
        <v>45843.305625</v>
      </c>
      <c r="C66" s="1" t="n">
        <v>46073</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33976-2025</t>
        </is>
      </c>
      <c r="B67" s="1" t="n">
        <v>45843</v>
      </c>
      <c r="C67" s="1" t="n">
        <v>46073</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46073</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46073</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53812-2025</t>
        </is>
      </c>
      <c r="B70" s="1" t="n">
        <v>45960</v>
      </c>
      <c r="C70" s="1" t="n">
        <v>46073</v>
      </c>
      <c r="D70" t="inlineStr">
        <is>
          <t>UPPSALA LÄN</t>
        </is>
      </c>
      <c r="E70" t="inlineStr">
        <is>
          <t>KNIVSTA</t>
        </is>
      </c>
      <c r="G70" t="n">
        <v>5.8</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46073</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60243-2025</t>
        </is>
      </c>
      <c r="B72" s="1" t="n">
        <v>45994.58650462963</v>
      </c>
      <c r="C72" s="1" t="n">
        <v>46073</v>
      </c>
      <c r="D72" t="inlineStr">
        <is>
          <t>UPPSALA LÄN</t>
        </is>
      </c>
      <c r="E72" t="inlineStr">
        <is>
          <t>KNIVSTA</t>
        </is>
      </c>
      <c r="F72" t="inlineStr">
        <is>
          <t>Holmen skog AB</t>
        </is>
      </c>
      <c r="G72" t="n">
        <v>2.4</v>
      </c>
      <c r="H72" t="n">
        <v>0</v>
      </c>
      <c r="I72" t="n">
        <v>0</v>
      </c>
      <c r="J72" t="n">
        <v>0</v>
      </c>
      <c r="K72" t="n">
        <v>0</v>
      </c>
      <c r="L72" t="n">
        <v>0</v>
      </c>
      <c r="M72" t="n">
        <v>0</v>
      </c>
      <c r="N72" t="n">
        <v>0</v>
      </c>
      <c r="O72" t="n">
        <v>0</v>
      </c>
      <c r="P72" t="n">
        <v>0</v>
      </c>
      <c r="Q72" t="n">
        <v>0</v>
      </c>
      <c r="R72" s="2" t="inlineStr"/>
    </row>
    <row r="73" ht="15" customHeight="1">
      <c r="A73" t="inlineStr">
        <is>
          <t>A 23239-2023</t>
        </is>
      </c>
      <c r="B73" s="1" t="n">
        <v>45075</v>
      </c>
      <c r="C73" s="1" t="n">
        <v>46073</v>
      </c>
      <c r="D73" t="inlineStr">
        <is>
          <t>UPPSALA LÄN</t>
        </is>
      </c>
      <c r="E73" t="inlineStr">
        <is>
          <t>KNIVSTA</t>
        </is>
      </c>
      <c r="G73" t="n">
        <v>1.8</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46073</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46073</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46073</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2952-2026</t>
        </is>
      </c>
      <c r="B77" s="1" t="n">
        <v>46037</v>
      </c>
      <c r="C77" s="1" t="n">
        <v>46073</v>
      </c>
      <c r="D77" t="inlineStr">
        <is>
          <t>UPPSALA LÄN</t>
        </is>
      </c>
      <c r="E77" t="inlineStr">
        <is>
          <t>KNIVSTA</t>
        </is>
      </c>
      <c r="G77" t="n">
        <v>2</v>
      </c>
      <c r="H77" t="n">
        <v>0</v>
      </c>
      <c r="I77" t="n">
        <v>0</v>
      </c>
      <c r="J77" t="n">
        <v>0</v>
      </c>
      <c r="K77" t="n">
        <v>0</v>
      </c>
      <c r="L77" t="n">
        <v>0</v>
      </c>
      <c r="M77" t="n">
        <v>0</v>
      </c>
      <c r="N77" t="n">
        <v>0</v>
      </c>
      <c r="O77" t="n">
        <v>0</v>
      </c>
      <c r="P77" t="n">
        <v>0</v>
      </c>
      <c r="Q77" t="n">
        <v>0</v>
      </c>
      <c r="R77" s="2" t="inlineStr"/>
    </row>
    <row r="78" ht="15" customHeight="1">
      <c r="A78" t="inlineStr">
        <is>
          <t>A 3016-2026</t>
        </is>
      </c>
      <c r="B78" s="1" t="n">
        <v>46038</v>
      </c>
      <c r="C78" s="1" t="n">
        <v>46073</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3015-2026</t>
        </is>
      </c>
      <c r="B79" s="1" t="n">
        <v>46038</v>
      </c>
      <c r="C79" s="1" t="n">
        <v>46073</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3375-2026</t>
        </is>
      </c>
      <c r="B80" s="1" t="n">
        <v>46042</v>
      </c>
      <c r="C80" s="1" t="n">
        <v>46073</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3824-2026</t>
        </is>
      </c>
      <c r="B81" s="1" t="n">
        <v>46043.58570601852</v>
      </c>
      <c r="C81" s="1" t="n">
        <v>46073</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3836-2026</t>
        </is>
      </c>
      <c r="B82" s="1" t="n">
        <v>46043.5925</v>
      </c>
      <c r="C82" s="1" t="n">
        <v>46073</v>
      </c>
      <c r="D82" t="inlineStr">
        <is>
          <t>UPPSALA LÄN</t>
        </is>
      </c>
      <c r="E82" t="inlineStr">
        <is>
          <t>KNIVSTA</t>
        </is>
      </c>
      <c r="G82" t="n">
        <v>3.7</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46073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5276-2026</t>
        </is>
      </c>
      <c r="B84" s="1" t="n">
        <v>46037</v>
      </c>
      <c r="C84" s="1" t="n">
        <v>46073</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2944-2026</t>
        </is>
      </c>
      <c r="B85" s="1" t="n">
        <v>46037</v>
      </c>
      <c r="C85" s="1" t="n">
        <v>46073</v>
      </c>
      <c r="D85" t="inlineStr">
        <is>
          <t>UPPSALA LÄN</t>
        </is>
      </c>
      <c r="E85" t="inlineStr">
        <is>
          <t>KNIVSTA</t>
        </is>
      </c>
      <c r="G85" t="n">
        <v>4.7</v>
      </c>
      <c r="H85" t="n">
        <v>0</v>
      </c>
      <c r="I85" t="n">
        <v>0</v>
      </c>
      <c r="J85" t="n">
        <v>0</v>
      </c>
      <c r="K85" t="n">
        <v>0</v>
      </c>
      <c r="L85" t="n">
        <v>0</v>
      </c>
      <c r="M85" t="n">
        <v>0</v>
      </c>
      <c r="N85" t="n">
        <v>0</v>
      </c>
      <c r="O85" t="n">
        <v>0</v>
      </c>
      <c r="P85" t="n">
        <v>0</v>
      </c>
      <c r="Q85" t="n">
        <v>0</v>
      </c>
      <c r="R85" s="2" t="inlineStr"/>
    </row>
    <row r="86" ht="15" customHeight="1">
      <c r="A86" t="inlineStr">
        <is>
          <t>A 5908-2026</t>
        </is>
      </c>
      <c r="B86" s="1" t="n">
        <v>46052.44399305555</v>
      </c>
      <c r="C86" s="1" t="n">
        <v>46073</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5910-2026</t>
        </is>
      </c>
      <c r="B87" s="1" t="n">
        <v>46052.44677083333</v>
      </c>
      <c r="C87" s="1" t="n">
        <v>46073</v>
      </c>
      <c r="D87" t="inlineStr">
        <is>
          <t>UPPSALA LÄN</t>
        </is>
      </c>
      <c r="E87" t="inlineStr">
        <is>
          <t>KNIVSTA</t>
        </is>
      </c>
      <c r="G87" t="n">
        <v>0.6</v>
      </c>
      <c r="H87" t="n">
        <v>0</v>
      </c>
      <c r="I87" t="n">
        <v>0</v>
      </c>
      <c r="J87" t="n">
        <v>0</v>
      </c>
      <c r="K87" t="n">
        <v>0</v>
      </c>
      <c r="L87" t="n">
        <v>0</v>
      </c>
      <c r="M87" t="n">
        <v>0</v>
      </c>
      <c r="N87" t="n">
        <v>0</v>
      </c>
      <c r="O87" t="n">
        <v>0</v>
      </c>
      <c r="P87" t="n">
        <v>0</v>
      </c>
      <c r="Q87" t="n">
        <v>0</v>
      </c>
      <c r="R87" s="2" t="inlineStr"/>
    </row>
    <row r="88" ht="15" customHeight="1">
      <c r="A88" t="inlineStr">
        <is>
          <t>A 5402-2023</t>
        </is>
      </c>
      <c r="B88" s="1" t="n">
        <v>44959</v>
      </c>
      <c r="C88" s="1" t="n">
        <v>46073</v>
      </c>
      <c r="D88" t="inlineStr">
        <is>
          <t>UPPSALA LÄN</t>
        </is>
      </c>
      <c r="E88" t="inlineStr">
        <is>
          <t>KNIVSTA</t>
        </is>
      </c>
      <c r="G88" t="n">
        <v>4.3</v>
      </c>
      <c r="H88" t="n">
        <v>0</v>
      </c>
      <c r="I88" t="n">
        <v>0</v>
      </c>
      <c r="J88" t="n">
        <v>0</v>
      </c>
      <c r="K88" t="n">
        <v>0</v>
      </c>
      <c r="L88" t="n">
        <v>0</v>
      </c>
      <c r="M88" t="n">
        <v>0</v>
      </c>
      <c r="N88" t="n">
        <v>0</v>
      </c>
      <c r="O88" t="n">
        <v>0</v>
      </c>
      <c r="P88" t="n">
        <v>0</v>
      </c>
      <c r="Q88" t="n">
        <v>0</v>
      </c>
      <c r="R88" s="2" t="inlineStr"/>
    </row>
    <row r="89" ht="15" customHeight="1">
      <c r="A89" t="inlineStr">
        <is>
          <t>A 66284-2021</t>
        </is>
      </c>
      <c r="B89" s="1" t="n">
        <v>44518</v>
      </c>
      <c r="C89" s="1" t="n">
        <v>46073</v>
      </c>
      <c r="D89" t="inlineStr">
        <is>
          <t>UPPSALA LÄN</t>
        </is>
      </c>
      <c r="E89" t="inlineStr">
        <is>
          <t>KNIVSTA</t>
        </is>
      </c>
      <c r="G89" t="n">
        <v>6.9</v>
      </c>
      <c r="H89" t="n">
        <v>0</v>
      </c>
      <c r="I89" t="n">
        <v>0</v>
      </c>
      <c r="J89" t="n">
        <v>0</v>
      </c>
      <c r="K89" t="n">
        <v>0</v>
      </c>
      <c r="L89" t="n">
        <v>0</v>
      </c>
      <c r="M89" t="n">
        <v>0</v>
      </c>
      <c r="N89" t="n">
        <v>0</v>
      </c>
      <c r="O89" t="n">
        <v>0</v>
      </c>
      <c r="P89" t="n">
        <v>0</v>
      </c>
      <c r="Q89" t="n">
        <v>0</v>
      </c>
      <c r="R89" s="2" t="inlineStr"/>
    </row>
    <row r="90" ht="15" customHeight="1">
      <c r="A90" t="inlineStr">
        <is>
          <t>A 19676-2025</t>
        </is>
      </c>
      <c r="B90" s="1" t="n">
        <v>45770</v>
      </c>
      <c r="C90" s="1" t="n">
        <v>46073</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8343-2024</t>
        </is>
      </c>
      <c r="B91" s="1" t="n">
        <v>45352</v>
      </c>
      <c r="C91" s="1" t="n">
        <v>46073</v>
      </c>
      <c r="D91" t="inlineStr">
        <is>
          <t>UPPSALA LÄN</t>
        </is>
      </c>
      <c r="E91" t="inlineStr">
        <is>
          <t>KNIVSTA</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30627-2023</t>
        </is>
      </c>
      <c r="B92" s="1" t="n">
        <v>45112</v>
      </c>
      <c r="C92" s="1" t="n">
        <v>46073</v>
      </c>
      <c r="D92" t="inlineStr">
        <is>
          <t>UPPSALA LÄN</t>
        </is>
      </c>
      <c r="E92" t="inlineStr">
        <is>
          <t>KNIVSTA</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1629-2024</t>
        </is>
      </c>
      <c r="B93" s="1" t="n">
        <v>45306</v>
      </c>
      <c r="C93" s="1" t="n">
        <v>46073</v>
      </c>
      <c r="D93" t="inlineStr">
        <is>
          <t>UPPSALA LÄN</t>
        </is>
      </c>
      <c r="E93" t="inlineStr">
        <is>
          <t>KNIVSTA</t>
        </is>
      </c>
      <c r="F93" t="inlineStr">
        <is>
          <t>Holmen skog AB</t>
        </is>
      </c>
      <c r="G93" t="n">
        <v>3.6</v>
      </c>
      <c r="H93" t="n">
        <v>0</v>
      </c>
      <c r="I93" t="n">
        <v>0</v>
      </c>
      <c r="J93" t="n">
        <v>0</v>
      </c>
      <c r="K93" t="n">
        <v>0</v>
      </c>
      <c r="L93" t="n">
        <v>0</v>
      </c>
      <c r="M93" t="n">
        <v>0</v>
      </c>
      <c r="N93" t="n">
        <v>0</v>
      </c>
      <c r="O93" t="n">
        <v>0</v>
      </c>
      <c r="P93" t="n">
        <v>0</v>
      </c>
      <c r="Q93" t="n">
        <v>0</v>
      </c>
      <c r="R93" s="2" t="inlineStr"/>
    </row>
    <row r="94" ht="15" customHeight="1">
      <c r="A94" t="inlineStr">
        <is>
          <t>A 662-2026</t>
        </is>
      </c>
      <c r="B94" s="1" t="n">
        <v>46029.58549768518</v>
      </c>
      <c r="C94" s="1" t="n">
        <v>46073</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9744-2026</t>
        </is>
      </c>
      <c r="B95" s="1" t="n">
        <v>46072.51857638889</v>
      </c>
      <c r="C95" s="1" t="n">
        <v>46073</v>
      </c>
      <c r="D95" t="inlineStr">
        <is>
          <t>UPPSALA LÄN</t>
        </is>
      </c>
      <c r="E95" t="inlineStr">
        <is>
          <t>KNIVSTA</t>
        </is>
      </c>
      <c r="G95" t="n">
        <v>2.4</v>
      </c>
      <c r="H95" t="n">
        <v>0</v>
      </c>
      <c r="I95" t="n">
        <v>0</v>
      </c>
      <c r="J95" t="n">
        <v>0</v>
      </c>
      <c r="K95" t="n">
        <v>0</v>
      </c>
      <c r="L95" t="n">
        <v>0</v>
      </c>
      <c r="M95" t="n">
        <v>0</v>
      </c>
      <c r="N95" t="n">
        <v>0</v>
      </c>
      <c r="O95" t="n">
        <v>0</v>
      </c>
      <c r="P95" t="n">
        <v>0</v>
      </c>
      <c r="Q95" t="n">
        <v>0</v>
      </c>
      <c r="R95" s="2" t="inlineStr"/>
    </row>
    <row r="96" ht="15" customHeight="1">
      <c r="A96" t="inlineStr">
        <is>
          <t>A 666-2026</t>
        </is>
      </c>
      <c r="B96" s="1" t="n">
        <v>46029.58832175926</v>
      </c>
      <c r="C96" s="1" t="n">
        <v>46073</v>
      </c>
      <c r="D96" t="inlineStr">
        <is>
          <t>UPPSALA LÄN</t>
        </is>
      </c>
      <c r="E96" t="inlineStr">
        <is>
          <t>KNIVSTA</t>
        </is>
      </c>
      <c r="G96" t="n">
        <v>1.8</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46073</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3191-2024</t>
        </is>
      </c>
      <c r="B98" s="1" t="n">
        <v>45316.67186342592</v>
      </c>
      <c r="C98" s="1" t="n">
        <v>46073</v>
      </c>
      <c r="D98" t="inlineStr">
        <is>
          <t>UPPSALA LÄN</t>
        </is>
      </c>
      <c r="E98" t="inlineStr">
        <is>
          <t>KNIVSTA</t>
        </is>
      </c>
      <c r="G98" t="n">
        <v>0.6</v>
      </c>
      <c r="H98" t="n">
        <v>0</v>
      </c>
      <c r="I98" t="n">
        <v>0</v>
      </c>
      <c r="J98" t="n">
        <v>0</v>
      </c>
      <c r="K98" t="n">
        <v>0</v>
      </c>
      <c r="L98" t="n">
        <v>0</v>
      </c>
      <c r="M98" t="n">
        <v>0</v>
      </c>
      <c r="N98" t="n">
        <v>0</v>
      </c>
      <c r="O98" t="n">
        <v>0</v>
      </c>
      <c r="P98" t="n">
        <v>0</v>
      </c>
      <c r="Q98" t="n">
        <v>0</v>
      </c>
      <c r="R98" s="2" t="inlineStr"/>
    </row>
    <row r="99" ht="15" customHeight="1">
      <c r="A99" t="inlineStr">
        <is>
          <t>A 45525-2023</t>
        </is>
      </c>
      <c r="B99" s="1" t="n">
        <v>45194</v>
      </c>
      <c r="C99" s="1" t="n">
        <v>46073</v>
      </c>
      <c r="D99" t="inlineStr">
        <is>
          <t>UPPSALA LÄN</t>
        </is>
      </c>
      <c r="E99" t="inlineStr">
        <is>
          <t>KNIVSTA</t>
        </is>
      </c>
      <c r="G99" t="n">
        <v>0.7</v>
      </c>
      <c r="H99" t="n">
        <v>0</v>
      </c>
      <c r="I99" t="n">
        <v>0</v>
      </c>
      <c r="J99" t="n">
        <v>0</v>
      </c>
      <c r="K99" t="n">
        <v>0</v>
      </c>
      <c r="L99" t="n">
        <v>0</v>
      </c>
      <c r="M99" t="n">
        <v>0</v>
      </c>
      <c r="N99" t="n">
        <v>0</v>
      </c>
      <c r="O99" t="n">
        <v>0</v>
      </c>
      <c r="P99" t="n">
        <v>0</v>
      </c>
      <c r="Q99" t="n">
        <v>0</v>
      </c>
      <c r="R99" s="2" t="inlineStr"/>
    </row>
    <row r="100" ht="15" customHeight="1">
      <c r="A100" t="inlineStr">
        <is>
          <t>A 16773-2022</t>
        </is>
      </c>
      <c r="B100" s="1" t="n">
        <v>44673</v>
      </c>
      <c r="C100" s="1" t="n">
        <v>46073</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30764-2023</t>
        </is>
      </c>
      <c r="B101" s="1" t="n">
        <v>45112</v>
      </c>
      <c r="C101" s="1" t="n">
        <v>46073</v>
      </c>
      <c r="D101" t="inlineStr">
        <is>
          <t>UPPSALA LÄN</t>
        </is>
      </c>
      <c r="E101" t="inlineStr">
        <is>
          <t>KNIVSTA</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51849-2023</t>
        </is>
      </c>
      <c r="B102" s="1" t="n">
        <v>45223.34391203704</v>
      </c>
      <c r="C102" s="1" t="n">
        <v>46073</v>
      </c>
      <c r="D102" t="inlineStr">
        <is>
          <t>UPPSALA LÄN</t>
        </is>
      </c>
      <c r="E102" t="inlineStr">
        <is>
          <t>KNIVSTA</t>
        </is>
      </c>
      <c r="G102" t="n">
        <v>16.3</v>
      </c>
      <c r="H102" t="n">
        <v>0</v>
      </c>
      <c r="I102" t="n">
        <v>0</v>
      </c>
      <c r="J102" t="n">
        <v>0</v>
      </c>
      <c r="K102" t="n">
        <v>0</v>
      </c>
      <c r="L102" t="n">
        <v>0</v>
      </c>
      <c r="M102" t="n">
        <v>0</v>
      </c>
      <c r="N102" t="n">
        <v>0</v>
      </c>
      <c r="O102" t="n">
        <v>0</v>
      </c>
      <c r="P102" t="n">
        <v>0</v>
      </c>
      <c r="Q102" t="n">
        <v>0</v>
      </c>
      <c r="R102" s="2" t="inlineStr"/>
    </row>
    <row r="103" ht="15" customHeight="1">
      <c r="A103" t="inlineStr">
        <is>
          <t>A 60018-2024</t>
        </is>
      </c>
      <c r="B103" s="1" t="n">
        <v>45642</v>
      </c>
      <c r="C103" s="1" t="n">
        <v>46073</v>
      </c>
      <c r="D103" t="inlineStr">
        <is>
          <t>UPPSALA LÄN</t>
        </is>
      </c>
      <c r="E103" t="inlineStr">
        <is>
          <t>KNIVSTA</t>
        </is>
      </c>
      <c r="G103" t="n">
        <v>4.1</v>
      </c>
      <c r="H103" t="n">
        <v>0</v>
      </c>
      <c r="I103" t="n">
        <v>0</v>
      </c>
      <c r="J103" t="n">
        <v>0</v>
      </c>
      <c r="K103" t="n">
        <v>0</v>
      </c>
      <c r="L103" t="n">
        <v>0</v>
      </c>
      <c r="M103" t="n">
        <v>0</v>
      </c>
      <c r="N103" t="n">
        <v>0</v>
      </c>
      <c r="O103" t="n">
        <v>0</v>
      </c>
      <c r="P103" t="n">
        <v>0</v>
      </c>
      <c r="Q103" t="n">
        <v>0</v>
      </c>
      <c r="R103" s="2" t="inlineStr"/>
    </row>
    <row r="104" ht="15" customHeight="1">
      <c r="A104" t="inlineStr">
        <is>
          <t>A 17333-2024</t>
        </is>
      </c>
      <c r="B104" s="1" t="n">
        <v>45414.5625462963</v>
      </c>
      <c r="C104" s="1" t="n">
        <v>46073</v>
      </c>
      <c r="D104" t="inlineStr">
        <is>
          <t>UPPSALA LÄN</t>
        </is>
      </c>
      <c r="E104" t="inlineStr">
        <is>
          <t>KNIVSTA</t>
        </is>
      </c>
      <c r="G104" t="n">
        <v>0.9</v>
      </c>
      <c r="H104" t="n">
        <v>0</v>
      </c>
      <c r="I104" t="n">
        <v>0</v>
      </c>
      <c r="J104" t="n">
        <v>0</v>
      </c>
      <c r="K104" t="n">
        <v>0</v>
      </c>
      <c r="L104" t="n">
        <v>0</v>
      </c>
      <c r="M104" t="n">
        <v>0</v>
      </c>
      <c r="N104" t="n">
        <v>0</v>
      </c>
      <c r="O104" t="n">
        <v>0</v>
      </c>
      <c r="P104" t="n">
        <v>0</v>
      </c>
      <c r="Q104" t="n">
        <v>0</v>
      </c>
      <c r="R104" s="2" t="inlineStr"/>
    </row>
    <row r="105" ht="15" customHeight="1">
      <c r="A105" t="inlineStr">
        <is>
          <t>A 1791-2024</t>
        </is>
      </c>
      <c r="B105" s="1" t="n">
        <v>45307.574375</v>
      </c>
      <c r="C105" s="1" t="n">
        <v>46073</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46073</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2628-2025</t>
        </is>
      </c>
      <c r="B107" s="1" t="n">
        <v>45675.68435185185</v>
      </c>
      <c r="C107" s="1" t="n">
        <v>46073</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11452-2023</t>
        </is>
      </c>
      <c r="B108" s="1" t="n">
        <v>44993</v>
      </c>
      <c r="C108" s="1" t="n">
        <v>46073</v>
      </c>
      <c r="D108" t="inlineStr">
        <is>
          <t>UPPSALA LÄN</t>
        </is>
      </c>
      <c r="E108" t="inlineStr">
        <is>
          <t>KNIVSTA</t>
        </is>
      </c>
      <c r="G108" t="n">
        <v>2.5</v>
      </c>
      <c r="H108" t="n">
        <v>0</v>
      </c>
      <c r="I108" t="n">
        <v>0</v>
      </c>
      <c r="J108" t="n">
        <v>0</v>
      </c>
      <c r="K108" t="n">
        <v>0</v>
      </c>
      <c r="L108" t="n">
        <v>0</v>
      </c>
      <c r="M108" t="n">
        <v>0</v>
      </c>
      <c r="N108" t="n">
        <v>0</v>
      </c>
      <c r="O108" t="n">
        <v>0</v>
      </c>
      <c r="P108" t="n">
        <v>0</v>
      </c>
      <c r="Q108" t="n">
        <v>0</v>
      </c>
      <c r="R108" s="2" t="inlineStr"/>
    </row>
    <row r="109" ht="15" customHeight="1">
      <c r="A109" t="inlineStr">
        <is>
          <t>A 43908-2023</t>
        </is>
      </c>
      <c r="B109" s="1" t="n">
        <v>45187</v>
      </c>
      <c r="C109" s="1" t="n">
        <v>46073</v>
      </c>
      <c r="D109" t="inlineStr">
        <is>
          <t>UPPSALA LÄN</t>
        </is>
      </c>
      <c r="E109" t="inlineStr">
        <is>
          <t>KNIVSTA</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34078-2022</t>
        </is>
      </c>
      <c r="B110" s="1" t="n">
        <v>44791</v>
      </c>
      <c r="C110" s="1" t="n">
        <v>46073</v>
      </c>
      <c r="D110" t="inlineStr">
        <is>
          <t>UPPSALA LÄN</t>
        </is>
      </c>
      <c r="E110" t="inlineStr">
        <is>
          <t>KNIVSTA</t>
        </is>
      </c>
      <c r="F110" t="inlineStr">
        <is>
          <t>Övriga statliga verk och myndigheter</t>
        </is>
      </c>
      <c r="G110" t="n">
        <v>1.8</v>
      </c>
      <c r="H110" t="n">
        <v>0</v>
      </c>
      <c r="I110" t="n">
        <v>0</v>
      </c>
      <c r="J110" t="n">
        <v>0</v>
      </c>
      <c r="K110" t="n">
        <v>0</v>
      </c>
      <c r="L110" t="n">
        <v>0</v>
      </c>
      <c r="M110" t="n">
        <v>0</v>
      </c>
      <c r="N110" t="n">
        <v>0</v>
      </c>
      <c r="O110" t="n">
        <v>0</v>
      </c>
      <c r="P110" t="n">
        <v>0</v>
      </c>
      <c r="Q110" t="n">
        <v>0</v>
      </c>
      <c r="R110" s="2" t="inlineStr"/>
    </row>
    <row r="111" ht="15" customHeight="1">
      <c r="A111" t="inlineStr">
        <is>
          <t>A 26182-2022</t>
        </is>
      </c>
      <c r="B111" s="1" t="n">
        <v>44735</v>
      </c>
      <c r="C111" s="1" t="n">
        <v>46073</v>
      </c>
      <c r="D111" t="inlineStr">
        <is>
          <t>UPPSALA LÄN</t>
        </is>
      </c>
      <c r="E111" t="inlineStr">
        <is>
          <t>KNIVSTA</t>
        </is>
      </c>
      <c r="G111" t="n">
        <v>3.8</v>
      </c>
      <c r="H111" t="n">
        <v>0</v>
      </c>
      <c r="I111" t="n">
        <v>0</v>
      </c>
      <c r="J111" t="n">
        <v>0</v>
      </c>
      <c r="K111" t="n">
        <v>0</v>
      </c>
      <c r="L111" t="n">
        <v>0</v>
      </c>
      <c r="M111" t="n">
        <v>0</v>
      </c>
      <c r="N111" t="n">
        <v>0</v>
      </c>
      <c r="O111" t="n">
        <v>0</v>
      </c>
      <c r="P111" t="n">
        <v>0</v>
      </c>
      <c r="Q111" t="n">
        <v>0</v>
      </c>
      <c r="R111" s="2" t="inlineStr"/>
    </row>
    <row r="112" ht="15" customHeight="1">
      <c r="A112" t="inlineStr">
        <is>
          <t>A 20505-2021</t>
        </is>
      </c>
      <c r="B112" s="1" t="n">
        <v>44313</v>
      </c>
      <c r="C112" s="1" t="n">
        <v>46073</v>
      </c>
      <c r="D112" t="inlineStr">
        <is>
          <t>UPPSALA LÄN</t>
        </is>
      </c>
      <c r="E112" t="inlineStr">
        <is>
          <t>KNIVSTA</t>
        </is>
      </c>
      <c r="G112" t="n">
        <v>2.9</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46073</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46073</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45916-2022</t>
        </is>
      </c>
      <c r="B115" s="1" t="n">
        <v>44846</v>
      </c>
      <c r="C115" s="1" t="n">
        <v>46073</v>
      </c>
      <c r="D115" t="inlineStr">
        <is>
          <t>UPPSALA LÄN</t>
        </is>
      </c>
      <c r="E115" t="inlineStr">
        <is>
          <t>KNIVSTA</t>
        </is>
      </c>
      <c r="G115" t="n">
        <v>3.8</v>
      </c>
      <c r="H115" t="n">
        <v>0</v>
      </c>
      <c r="I115" t="n">
        <v>0</v>
      </c>
      <c r="J115" t="n">
        <v>0</v>
      </c>
      <c r="K115" t="n">
        <v>0</v>
      </c>
      <c r="L115" t="n">
        <v>0</v>
      </c>
      <c r="M115" t="n">
        <v>0</v>
      </c>
      <c r="N115" t="n">
        <v>0</v>
      </c>
      <c r="O115" t="n">
        <v>0</v>
      </c>
      <c r="P115" t="n">
        <v>0</v>
      </c>
      <c r="Q115" t="n">
        <v>0</v>
      </c>
      <c r="R115" s="2" t="inlineStr"/>
    </row>
    <row r="116" ht="15" customHeight="1">
      <c r="A116" t="inlineStr">
        <is>
          <t>A 16396-2025</t>
        </is>
      </c>
      <c r="B116" s="1" t="n">
        <v>45751.44219907407</v>
      </c>
      <c r="C116" s="1" t="n">
        <v>46073</v>
      </c>
      <c r="D116" t="inlineStr">
        <is>
          <t>UPPSALA LÄN</t>
        </is>
      </c>
      <c r="E116" t="inlineStr">
        <is>
          <t>KNIVSTA</t>
        </is>
      </c>
      <c r="G116" t="n">
        <v>5.1</v>
      </c>
      <c r="H116" t="n">
        <v>0</v>
      </c>
      <c r="I116" t="n">
        <v>0</v>
      </c>
      <c r="J116" t="n">
        <v>0</v>
      </c>
      <c r="K116" t="n">
        <v>0</v>
      </c>
      <c r="L116" t="n">
        <v>0</v>
      </c>
      <c r="M116" t="n">
        <v>0</v>
      </c>
      <c r="N116" t="n">
        <v>0</v>
      </c>
      <c r="O116" t="n">
        <v>0</v>
      </c>
      <c r="P116" t="n">
        <v>0</v>
      </c>
      <c r="Q116" t="n">
        <v>0</v>
      </c>
      <c r="R116" s="2" t="inlineStr"/>
    </row>
    <row r="117">
      <c r="A117" t="inlineStr">
        <is>
          <t>A 17091-2023</t>
        </is>
      </c>
      <c r="B117" s="1" t="n">
        <v>45034.53554398148</v>
      </c>
      <c r="C117" s="1" t="n">
        <v>46073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2026-02-20T11:01:04Z</dcterms:created>
  <dcterms:modified xmlns:dcterms="http://purl.org/dc/terms/" xmlns:xsi="http://www.w3.org/2001/XMLSchema-instance" xsi:type="dcterms:W3CDTF">2026-02-20T11:01:04Z</dcterms:modified>
</cp:coreProperties>
</file>