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4056-2022</t>
        </is>
      </c>
      <c r="B2" s="1" t="n">
        <v>44588</v>
      </c>
      <c r="C2" s="1" t="n">
        <v>45294</v>
      </c>
      <c r="D2" t="inlineStr">
        <is>
          <t>UPPSALA LÄN</t>
        </is>
      </c>
      <c r="E2" t="inlineStr">
        <is>
          <t>KNIVSTA</t>
        </is>
      </c>
      <c r="G2" t="n">
        <v>14.4</v>
      </c>
      <c r="H2" t="n">
        <v>6</v>
      </c>
      <c r="I2" t="n">
        <v>10</v>
      </c>
      <c r="J2" t="n">
        <v>9</v>
      </c>
      <c r="K2" t="n">
        <v>3</v>
      </c>
      <c r="L2" t="n">
        <v>0</v>
      </c>
      <c r="M2" t="n">
        <v>0</v>
      </c>
      <c r="N2" t="n">
        <v>0</v>
      </c>
      <c r="O2" t="n">
        <v>12</v>
      </c>
      <c r="P2" t="n">
        <v>3</v>
      </c>
      <c r="Q2" t="n">
        <v>24</v>
      </c>
      <c r="R2" s="2" t="inlineStr">
        <is>
          <t>Knärot
Koppartaggsvamp
Rynkskinn
Entita
Granticka
Gränsticka
Kandelabersvamp
Leptoporus mollis
Mindre hackspett
Spillkråka
Tallticka
Ullticka
Blodticka
Blomkålssvamp
Blåmossa
Dropptaggsvamp
Grovticka
Rödgul trumpetsvamp
Skarp dropptaggsvamp
Smal svampklubba
Svart trolldruva
Trådticka
Fläcknycklar
Blåsippa</t>
        </is>
      </c>
      <c r="S2">
        <f>HYPERLINK("https://klasma.github.io/Logging_0330/artfynd/A 4056-2022 artfynd.xlsx", "A 4056-2022")</f>
        <v/>
      </c>
      <c r="T2">
        <f>HYPERLINK("https://klasma.github.io/Logging_0330/kartor/A 4056-2022 karta.png", "A 4056-2022")</f>
        <v/>
      </c>
      <c r="U2">
        <f>HYPERLINK("https://klasma.github.io/Logging_0330/knärot/A 4056-2022 karta knärot.png", "A 4056-2022")</f>
        <v/>
      </c>
      <c r="V2">
        <f>HYPERLINK("https://klasma.github.io/Logging_0330/klagomål/A 4056-2022 FSC-klagomål.docx", "A 4056-2022")</f>
        <v/>
      </c>
      <c r="W2">
        <f>HYPERLINK("https://klasma.github.io/Logging_0330/klagomålsmail/A 4056-2022 FSC-klagomål mail.docx", "A 4056-2022")</f>
        <v/>
      </c>
      <c r="X2">
        <f>HYPERLINK("https://klasma.github.io/Logging_0330/tillsyn/A 4056-2022 tillsynsbegäran.docx", "A 4056-2022")</f>
        <v/>
      </c>
      <c r="Y2">
        <f>HYPERLINK("https://klasma.github.io/Logging_0330/tillsynsmail/A 4056-2022 tillsynsbegäran mail.docx", "A 4056-2022")</f>
        <v/>
      </c>
    </row>
    <row r="3" ht="15" customHeight="1">
      <c r="A3" t="inlineStr">
        <is>
          <t>A 56546-2019</t>
        </is>
      </c>
      <c r="B3" s="1" t="n">
        <v>43763</v>
      </c>
      <c r="C3" s="1" t="n">
        <v>45294</v>
      </c>
      <c r="D3" t="inlineStr">
        <is>
          <t>UPPSALA LÄN</t>
        </is>
      </c>
      <c r="E3" t="inlineStr">
        <is>
          <t>KNIVSTA</t>
        </is>
      </c>
      <c r="F3" t="inlineStr">
        <is>
          <t>Övriga statliga verk och myndigheter</t>
        </is>
      </c>
      <c r="G3" t="n">
        <v>23.3</v>
      </c>
      <c r="H3" t="n">
        <v>4</v>
      </c>
      <c r="I3" t="n">
        <v>13</v>
      </c>
      <c r="J3" t="n">
        <v>4</v>
      </c>
      <c r="K3" t="n">
        <v>0</v>
      </c>
      <c r="L3" t="n">
        <v>1</v>
      </c>
      <c r="M3" t="n">
        <v>1</v>
      </c>
      <c r="N3" t="n">
        <v>0</v>
      </c>
      <c r="O3" t="n">
        <v>6</v>
      </c>
      <c r="P3" t="n">
        <v>2</v>
      </c>
      <c r="Q3" t="n">
        <v>21</v>
      </c>
      <c r="R3" s="2" t="inlineStr">
        <is>
          <t>Skogsalm
Ask
Platt spretmossa
Spillkråka
Ullticka
Vedtrappmossa
Bronshjon
Dropptaggsvamp
Fjällig taggsvamp s.str.
Grovticka
Grön sköldmossa
Rostfläck
Rävticka
Skogshakmossa
Stubbspretmossa
Tibast
Trådticka
Vanlig rörsvepemossa
Vågbandad barkbock
Huggorm
Blåsippa</t>
        </is>
      </c>
      <c r="S3">
        <f>HYPERLINK("https://klasma.github.io/Logging_0330/artfynd/A 56546-2019 artfynd.xlsx", "A 56546-2019")</f>
        <v/>
      </c>
      <c r="T3">
        <f>HYPERLINK("https://klasma.github.io/Logging_0330/kartor/A 56546-2019 karta.png", "A 56546-2019")</f>
        <v/>
      </c>
      <c r="V3">
        <f>HYPERLINK("https://klasma.github.io/Logging_0330/klagomål/A 56546-2019 FSC-klagomål.docx", "A 56546-2019")</f>
        <v/>
      </c>
      <c r="W3">
        <f>HYPERLINK("https://klasma.github.io/Logging_0330/klagomålsmail/A 56546-2019 FSC-klagomål mail.docx", "A 56546-2019")</f>
        <v/>
      </c>
      <c r="X3">
        <f>HYPERLINK("https://klasma.github.io/Logging_0330/tillsyn/A 56546-2019 tillsynsbegäran.docx", "A 56546-2019")</f>
        <v/>
      </c>
      <c r="Y3">
        <f>HYPERLINK("https://klasma.github.io/Logging_0330/tillsynsmail/A 56546-2019 tillsynsbegäran mail.docx", "A 56546-2019")</f>
        <v/>
      </c>
    </row>
    <row r="4" ht="15" customHeight="1">
      <c r="A4" t="inlineStr">
        <is>
          <t>A 21557-2020</t>
        </is>
      </c>
      <c r="B4" s="1" t="n">
        <v>43956</v>
      </c>
      <c r="C4" s="1" t="n">
        <v>45294</v>
      </c>
      <c r="D4" t="inlineStr">
        <is>
          <t>UPPSALA LÄN</t>
        </is>
      </c>
      <c r="E4" t="inlineStr">
        <is>
          <t>KNIVSTA</t>
        </is>
      </c>
      <c r="G4" t="n">
        <v>9.5</v>
      </c>
      <c r="H4" t="n">
        <v>4</v>
      </c>
      <c r="I4" t="n">
        <v>10</v>
      </c>
      <c r="J4" t="n">
        <v>4</v>
      </c>
      <c r="K4" t="n">
        <v>2</v>
      </c>
      <c r="L4" t="n">
        <v>1</v>
      </c>
      <c r="M4" t="n">
        <v>1</v>
      </c>
      <c r="N4" t="n">
        <v>0</v>
      </c>
      <c r="O4" t="n">
        <v>8</v>
      </c>
      <c r="P4" t="n">
        <v>4</v>
      </c>
      <c r="Q4" t="n">
        <v>20</v>
      </c>
      <c r="R4" s="2" t="inlineStr">
        <is>
          <t>Skogsalm
Almrostöra
Blackticka
Rynkskinn
Gränsticka
Spillkråka
Stor vårtrattskivling
Ullticka
Blomkålssvamp
Brandticka
Grön sköldmossa
Kamjordstjärna
Mörk husmossa
Skogshakmossa
Stubbspretmossa
Stuplav
Svart trolldruva
Thomsons trägnagare
Blåsippa
Revlummer</t>
        </is>
      </c>
      <c r="S4">
        <f>HYPERLINK("https://klasma.github.io/Logging_0330/artfynd/A 21557-2020 artfynd.xlsx", "A 21557-2020")</f>
        <v/>
      </c>
      <c r="T4">
        <f>HYPERLINK("https://klasma.github.io/Logging_0330/kartor/A 21557-2020 karta.png", "A 21557-2020")</f>
        <v/>
      </c>
      <c r="V4">
        <f>HYPERLINK("https://klasma.github.io/Logging_0330/klagomål/A 21557-2020 FSC-klagomål.docx", "A 21557-2020")</f>
        <v/>
      </c>
      <c r="W4">
        <f>HYPERLINK("https://klasma.github.io/Logging_0330/klagomålsmail/A 21557-2020 FSC-klagomål mail.docx", "A 21557-2020")</f>
        <v/>
      </c>
      <c r="X4">
        <f>HYPERLINK("https://klasma.github.io/Logging_0330/tillsyn/A 21557-2020 tillsynsbegäran.docx", "A 21557-2020")</f>
        <v/>
      </c>
      <c r="Y4">
        <f>HYPERLINK("https://klasma.github.io/Logging_0330/tillsynsmail/A 21557-2020 tillsynsbegäran mail.docx", "A 21557-2020")</f>
        <v/>
      </c>
    </row>
    <row r="5" ht="15" customHeight="1">
      <c r="A5" t="inlineStr">
        <is>
          <t>A 22387-2020</t>
        </is>
      </c>
      <c r="B5" s="1" t="n">
        <v>43962</v>
      </c>
      <c r="C5" s="1" t="n">
        <v>45294</v>
      </c>
      <c r="D5" t="inlineStr">
        <is>
          <t>UPPSALA LÄN</t>
        </is>
      </c>
      <c r="E5" t="inlineStr">
        <is>
          <t>KNIVSTA</t>
        </is>
      </c>
      <c r="G5" t="n">
        <v>12.1</v>
      </c>
      <c r="H5" t="n">
        <v>3</v>
      </c>
      <c r="I5" t="n">
        <v>10</v>
      </c>
      <c r="J5" t="n">
        <v>4</v>
      </c>
      <c r="K5" t="n">
        <v>1</v>
      </c>
      <c r="L5" t="n">
        <v>0</v>
      </c>
      <c r="M5" t="n">
        <v>1</v>
      </c>
      <c r="N5" t="n">
        <v>0</v>
      </c>
      <c r="O5" t="n">
        <v>6</v>
      </c>
      <c r="P5" t="n">
        <v>2</v>
      </c>
      <c r="Q5" t="n">
        <v>17</v>
      </c>
      <c r="R5" s="2" t="inlineStr">
        <is>
          <t>Skogsalm
Grangråticka
Grönsångare
Rosenticka
Solfingersvamp
Ullticka
Brandmusseron
Brandticka
Grön sköldmossa
Kamjordstjärna
Lönnlav
Mörk husmossa
Skuggsprötmossa
Stubbspretmossa
Svart trolldruva
Svavelriska
Blåsippa</t>
        </is>
      </c>
      <c r="S5">
        <f>HYPERLINK("https://klasma.github.io/Logging_0330/artfynd/A 22387-2020 artfynd.xlsx", "A 22387-2020")</f>
        <v/>
      </c>
      <c r="T5">
        <f>HYPERLINK("https://klasma.github.io/Logging_0330/kartor/A 22387-2020 karta.png", "A 22387-2020")</f>
        <v/>
      </c>
      <c r="V5">
        <f>HYPERLINK("https://klasma.github.io/Logging_0330/klagomål/A 22387-2020 FSC-klagomål.docx", "A 22387-2020")</f>
        <v/>
      </c>
      <c r="W5">
        <f>HYPERLINK("https://klasma.github.io/Logging_0330/klagomålsmail/A 22387-2020 FSC-klagomål mail.docx", "A 22387-2020")</f>
        <v/>
      </c>
      <c r="X5">
        <f>HYPERLINK("https://klasma.github.io/Logging_0330/tillsyn/A 22387-2020 tillsynsbegäran.docx", "A 22387-2020")</f>
        <v/>
      </c>
      <c r="Y5">
        <f>HYPERLINK("https://klasma.github.io/Logging_0330/tillsynsmail/A 22387-2020 tillsynsbegäran mail.docx", "A 22387-2020")</f>
        <v/>
      </c>
    </row>
    <row r="6" ht="15" customHeight="1">
      <c r="A6" t="inlineStr">
        <is>
          <t>A 7444-2023</t>
        </is>
      </c>
      <c r="B6" s="1" t="n">
        <v>44971</v>
      </c>
      <c r="C6" s="1" t="n">
        <v>45294</v>
      </c>
      <c r="D6" t="inlineStr">
        <is>
          <t>UPPSALA LÄN</t>
        </is>
      </c>
      <c r="E6" t="inlineStr">
        <is>
          <t>KNIVSTA</t>
        </is>
      </c>
      <c r="G6" t="n">
        <v>0.7</v>
      </c>
      <c r="H6" t="n">
        <v>0</v>
      </c>
      <c r="I6" t="n">
        <v>4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8</v>
      </c>
      <c r="R6" s="2" t="inlineStr">
        <is>
          <t>Apelticka
Kärnticka
Kandelabersvamp
Lunglav
Granbarkgnagare
Platt fjädermossa
Stekelbock
Thomsons trägnagare</t>
        </is>
      </c>
      <c r="S6">
        <f>HYPERLINK("https://klasma.github.io/Logging_0330/artfynd/A 7444-2023 artfynd.xlsx", "A 7444-2023")</f>
        <v/>
      </c>
      <c r="T6">
        <f>HYPERLINK("https://klasma.github.io/Logging_0330/kartor/A 7444-2023 karta.png", "A 7444-2023")</f>
        <v/>
      </c>
      <c r="V6">
        <f>HYPERLINK("https://klasma.github.io/Logging_0330/klagomål/A 7444-2023 FSC-klagomål.docx", "A 7444-2023")</f>
        <v/>
      </c>
      <c r="W6">
        <f>HYPERLINK("https://klasma.github.io/Logging_0330/klagomålsmail/A 7444-2023 FSC-klagomål mail.docx", "A 7444-2023")</f>
        <v/>
      </c>
      <c r="X6">
        <f>HYPERLINK("https://klasma.github.io/Logging_0330/tillsyn/A 7444-2023 tillsynsbegäran.docx", "A 7444-2023")</f>
        <v/>
      </c>
      <c r="Y6">
        <f>HYPERLINK("https://klasma.github.io/Logging_0330/tillsynsmail/A 7444-2023 tillsynsbegäran mail.docx", "A 7444-2023")</f>
        <v/>
      </c>
    </row>
    <row r="7" ht="15" customHeight="1">
      <c r="A7" t="inlineStr">
        <is>
          <t>A 1030-2021</t>
        </is>
      </c>
      <c r="B7" s="1" t="n">
        <v>44206</v>
      </c>
      <c r="C7" s="1" t="n">
        <v>45294</v>
      </c>
      <c r="D7" t="inlineStr">
        <is>
          <t>UPPSALA LÄN</t>
        </is>
      </c>
      <c r="E7" t="inlineStr">
        <is>
          <t>KNIVSTA</t>
        </is>
      </c>
      <c r="G7" t="n">
        <v>4.4</v>
      </c>
      <c r="H7" t="n">
        <v>2</v>
      </c>
      <c r="I7" t="n">
        <v>0</v>
      </c>
      <c r="J7" t="n">
        <v>5</v>
      </c>
      <c r="K7" t="n">
        <v>0</v>
      </c>
      <c r="L7" t="n">
        <v>0</v>
      </c>
      <c r="M7" t="n">
        <v>1</v>
      </c>
      <c r="N7" t="n">
        <v>0</v>
      </c>
      <c r="O7" t="n">
        <v>6</v>
      </c>
      <c r="P7" t="n">
        <v>1</v>
      </c>
      <c r="Q7" t="n">
        <v>7</v>
      </c>
      <c r="R7" s="2" t="inlineStr">
        <is>
          <t>Skogsalm
Backklöver
Duvhök
Sexfläckig bastardsvärmare
Solvända
Svartpälsbi
Blåsippa</t>
        </is>
      </c>
      <c r="S7">
        <f>HYPERLINK("https://klasma.github.io/Logging_0330/artfynd/A 1030-2021 artfynd.xlsx", "A 1030-2021")</f>
        <v/>
      </c>
      <c r="T7">
        <f>HYPERLINK("https://klasma.github.io/Logging_0330/kartor/A 1030-2021 karta.png", "A 1030-2021")</f>
        <v/>
      </c>
      <c r="V7">
        <f>HYPERLINK("https://klasma.github.io/Logging_0330/klagomål/A 1030-2021 FSC-klagomål.docx", "A 1030-2021")</f>
        <v/>
      </c>
      <c r="W7">
        <f>HYPERLINK("https://klasma.github.io/Logging_0330/klagomålsmail/A 1030-2021 FSC-klagomål mail.docx", "A 1030-2021")</f>
        <v/>
      </c>
      <c r="X7">
        <f>HYPERLINK("https://klasma.github.io/Logging_0330/tillsyn/A 1030-2021 tillsynsbegäran.docx", "A 1030-2021")</f>
        <v/>
      </c>
      <c r="Y7">
        <f>HYPERLINK("https://klasma.github.io/Logging_0330/tillsynsmail/A 1030-2021 tillsynsbegäran mail.docx", "A 1030-2021")</f>
        <v/>
      </c>
    </row>
    <row r="8" ht="15" customHeight="1">
      <c r="A8" t="inlineStr">
        <is>
          <t>A 44867-2023</t>
        </is>
      </c>
      <c r="B8" s="1" t="n">
        <v>45190</v>
      </c>
      <c r="C8" s="1" t="n">
        <v>45294</v>
      </c>
      <c r="D8" t="inlineStr">
        <is>
          <t>UPPSALA LÄN</t>
        </is>
      </c>
      <c r="E8" t="inlineStr">
        <is>
          <t>KNIVSTA</t>
        </is>
      </c>
      <c r="G8" t="n">
        <v>7.8</v>
      </c>
      <c r="H8" t="n">
        <v>1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Bombmurkla
Granticka
Kandelabersvamp
Granbräken
Myskmadra
Stor aspticka</t>
        </is>
      </c>
      <c r="S8">
        <f>HYPERLINK("https://klasma.github.io/Logging_0330/artfynd/A 44867-2023 artfynd.xlsx", "A 44867-2023")</f>
        <v/>
      </c>
      <c r="T8">
        <f>HYPERLINK("https://klasma.github.io/Logging_0330/kartor/A 44867-2023 karta.png", "A 44867-2023")</f>
        <v/>
      </c>
      <c r="V8">
        <f>HYPERLINK("https://klasma.github.io/Logging_0330/klagomål/A 44867-2023 FSC-klagomål.docx", "A 44867-2023")</f>
        <v/>
      </c>
      <c r="W8">
        <f>HYPERLINK("https://klasma.github.io/Logging_0330/klagomålsmail/A 44867-2023 FSC-klagomål mail.docx", "A 44867-2023")</f>
        <v/>
      </c>
      <c r="X8">
        <f>HYPERLINK("https://klasma.github.io/Logging_0330/tillsyn/A 44867-2023 tillsynsbegäran.docx", "A 44867-2023")</f>
        <v/>
      </c>
      <c r="Y8">
        <f>HYPERLINK("https://klasma.github.io/Logging_0330/tillsynsmail/A 44867-2023 tillsynsbegäran mail.docx", "A 44867-2023")</f>
        <v/>
      </c>
    </row>
    <row r="9" ht="15" customHeight="1">
      <c r="A9" t="inlineStr">
        <is>
          <t>A 15448-2019</t>
        </is>
      </c>
      <c r="B9" s="1" t="n">
        <v>43542</v>
      </c>
      <c r="C9" s="1" t="n">
        <v>45294</v>
      </c>
      <c r="D9" t="inlineStr">
        <is>
          <t>UPPSALA LÄN</t>
        </is>
      </c>
      <c r="E9" t="inlineStr">
        <is>
          <t>KNIVSTA</t>
        </is>
      </c>
      <c r="F9" t="inlineStr">
        <is>
          <t>Holmen skog AB</t>
        </is>
      </c>
      <c r="G9" t="n">
        <v>2.5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Kortskaftad ärgspik
Mörk husmossa
Rostfläck
Vanlig rörsvepemossa</t>
        </is>
      </c>
      <c r="S9">
        <f>HYPERLINK("https://klasma.github.io/Logging_0330/artfynd/A 15448-2019 artfynd.xlsx", "A 15448-2019")</f>
        <v/>
      </c>
      <c r="T9">
        <f>HYPERLINK("https://klasma.github.io/Logging_0330/kartor/A 15448-2019 karta.png", "A 15448-2019")</f>
        <v/>
      </c>
      <c r="V9">
        <f>HYPERLINK("https://klasma.github.io/Logging_0330/klagomål/A 15448-2019 FSC-klagomål.docx", "A 15448-2019")</f>
        <v/>
      </c>
      <c r="W9">
        <f>HYPERLINK("https://klasma.github.io/Logging_0330/klagomålsmail/A 15448-2019 FSC-klagomål mail.docx", "A 15448-2019")</f>
        <v/>
      </c>
      <c r="X9">
        <f>HYPERLINK("https://klasma.github.io/Logging_0330/tillsyn/A 15448-2019 tillsynsbegäran.docx", "A 15448-2019")</f>
        <v/>
      </c>
      <c r="Y9">
        <f>HYPERLINK("https://klasma.github.io/Logging_0330/tillsynsmail/A 15448-2019 tillsynsbegäran mail.docx", "A 15448-2019")</f>
        <v/>
      </c>
    </row>
    <row r="10" ht="15" customHeight="1">
      <c r="A10" t="inlineStr">
        <is>
          <t>A 36645-2019</t>
        </is>
      </c>
      <c r="B10" s="1" t="n">
        <v>43671</v>
      </c>
      <c r="C10" s="1" t="n">
        <v>45294</v>
      </c>
      <c r="D10" t="inlineStr">
        <is>
          <t>UPPSALA LÄN</t>
        </is>
      </c>
      <c r="E10" t="inlineStr">
        <is>
          <t>KNIVSTA</t>
        </is>
      </c>
      <c r="G10" t="n">
        <v>5.5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Gulskölding
Kamjordstjärna
Blåsippa</t>
        </is>
      </c>
      <c r="S10">
        <f>HYPERLINK("https://klasma.github.io/Logging_0330/artfynd/A 36645-2019 artfynd.xlsx", "A 36645-2019")</f>
        <v/>
      </c>
      <c r="T10">
        <f>HYPERLINK("https://klasma.github.io/Logging_0330/kartor/A 36645-2019 karta.png", "A 36645-2019")</f>
        <v/>
      </c>
      <c r="V10">
        <f>HYPERLINK("https://klasma.github.io/Logging_0330/klagomål/A 36645-2019 FSC-klagomål.docx", "A 36645-2019")</f>
        <v/>
      </c>
      <c r="W10">
        <f>HYPERLINK("https://klasma.github.io/Logging_0330/klagomålsmail/A 36645-2019 FSC-klagomål mail.docx", "A 36645-2019")</f>
        <v/>
      </c>
      <c r="X10">
        <f>HYPERLINK("https://klasma.github.io/Logging_0330/tillsyn/A 36645-2019 tillsynsbegäran.docx", "A 36645-2019")</f>
        <v/>
      </c>
      <c r="Y10">
        <f>HYPERLINK("https://klasma.github.io/Logging_0330/tillsynsmail/A 36645-2019 tillsynsbegäran mail.docx", "A 36645-2019")</f>
        <v/>
      </c>
    </row>
    <row r="11" ht="15" customHeight="1">
      <c r="A11" t="inlineStr">
        <is>
          <t>A 22258-2022</t>
        </is>
      </c>
      <c r="B11" s="1" t="n">
        <v>44712</v>
      </c>
      <c r="C11" s="1" t="n">
        <v>45294</v>
      </c>
      <c r="D11" t="inlineStr">
        <is>
          <t>UPPSALA LÄN</t>
        </is>
      </c>
      <c r="E11" t="inlineStr">
        <is>
          <t>KNIVSTA</t>
        </is>
      </c>
      <c r="G11" t="n">
        <v>1.4</v>
      </c>
      <c r="H11" t="n">
        <v>2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Bombmurkla
Kamjordstjärna
Svart trolldruva
Blåsippa</t>
        </is>
      </c>
      <c r="S11">
        <f>HYPERLINK("https://klasma.github.io/Logging_0330/artfynd/A 22258-2022 artfynd.xlsx", "A 22258-2022")</f>
        <v/>
      </c>
      <c r="T11">
        <f>HYPERLINK("https://klasma.github.io/Logging_0330/kartor/A 22258-2022 karta.png", "A 22258-2022")</f>
        <v/>
      </c>
      <c r="V11">
        <f>HYPERLINK("https://klasma.github.io/Logging_0330/klagomål/A 22258-2022 FSC-klagomål.docx", "A 22258-2022")</f>
        <v/>
      </c>
      <c r="W11">
        <f>HYPERLINK("https://klasma.github.io/Logging_0330/klagomålsmail/A 22258-2022 FSC-klagomål mail.docx", "A 22258-2022")</f>
        <v/>
      </c>
      <c r="X11">
        <f>HYPERLINK("https://klasma.github.io/Logging_0330/tillsyn/A 22258-2022 tillsynsbegäran.docx", "A 22258-2022")</f>
        <v/>
      </c>
      <c r="Y11">
        <f>HYPERLINK("https://klasma.github.io/Logging_0330/tillsynsmail/A 22258-2022 tillsynsbegäran mail.docx", "A 22258-2022")</f>
        <v/>
      </c>
    </row>
    <row r="12" ht="15" customHeight="1">
      <c r="A12" t="inlineStr">
        <is>
          <t>A 55535-2023</t>
        </is>
      </c>
      <c r="B12" s="1" t="n">
        <v>45238</v>
      </c>
      <c r="C12" s="1" t="n">
        <v>45294</v>
      </c>
      <c r="D12" t="inlineStr">
        <is>
          <t>UPPSALA LÄN</t>
        </is>
      </c>
      <c r="E12" t="inlineStr">
        <is>
          <t>KNIVSTA</t>
        </is>
      </c>
      <c r="G12" t="n">
        <v>5.7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Fyrflikig jordstjärna
Svavelriska
Blåsippa</t>
        </is>
      </c>
      <c r="S12">
        <f>HYPERLINK("https://klasma.github.io/Logging_0330/artfynd/A 55535-2023 artfynd.xlsx", "A 55535-2023")</f>
        <v/>
      </c>
      <c r="T12">
        <f>HYPERLINK("https://klasma.github.io/Logging_0330/kartor/A 55535-2023 karta.png", "A 55535-2023")</f>
        <v/>
      </c>
      <c r="V12">
        <f>HYPERLINK("https://klasma.github.io/Logging_0330/klagomål/A 55535-2023 FSC-klagomål.docx", "A 55535-2023")</f>
        <v/>
      </c>
      <c r="W12">
        <f>HYPERLINK("https://klasma.github.io/Logging_0330/klagomålsmail/A 55535-2023 FSC-klagomål mail.docx", "A 55535-2023")</f>
        <v/>
      </c>
      <c r="X12">
        <f>HYPERLINK("https://klasma.github.io/Logging_0330/tillsyn/A 55535-2023 tillsynsbegäran.docx", "A 55535-2023")</f>
        <v/>
      </c>
      <c r="Y12">
        <f>HYPERLINK("https://klasma.github.io/Logging_0330/tillsynsmail/A 55535-2023 tillsynsbegäran mail.docx", "A 55535-2023")</f>
        <v/>
      </c>
    </row>
    <row r="13" ht="15" customHeight="1">
      <c r="A13" t="inlineStr">
        <is>
          <t>A 20778-2020</t>
        </is>
      </c>
      <c r="B13" s="1" t="n">
        <v>43949</v>
      </c>
      <c r="C13" s="1" t="n">
        <v>45294</v>
      </c>
      <c r="D13" t="inlineStr">
        <is>
          <t>UPPSALA LÄN</t>
        </is>
      </c>
      <c r="E13" t="inlineStr">
        <is>
          <t>KNIVSTA</t>
        </is>
      </c>
      <c r="G13" t="n">
        <v>2.9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Gultoppig fingersvamp
Trådticka</t>
        </is>
      </c>
      <c r="S13">
        <f>HYPERLINK("https://klasma.github.io/Logging_0330/artfynd/A 20778-2020 artfynd.xlsx", "A 20778-2020")</f>
        <v/>
      </c>
      <c r="T13">
        <f>HYPERLINK("https://klasma.github.io/Logging_0330/kartor/A 20778-2020 karta.png", "A 20778-2020")</f>
        <v/>
      </c>
      <c r="V13">
        <f>HYPERLINK("https://klasma.github.io/Logging_0330/klagomål/A 20778-2020 FSC-klagomål.docx", "A 20778-2020")</f>
        <v/>
      </c>
      <c r="W13">
        <f>HYPERLINK("https://klasma.github.io/Logging_0330/klagomålsmail/A 20778-2020 FSC-klagomål mail.docx", "A 20778-2020")</f>
        <v/>
      </c>
      <c r="X13">
        <f>HYPERLINK("https://klasma.github.io/Logging_0330/tillsyn/A 20778-2020 tillsynsbegäran.docx", "A 20778-2020")</f>
        <v/>
      </c>
      <c r="Y13">
        <f>HYPERLINK("https://klasma.github.io/Logging_0330/tillsynsmail/A 20778-2020 tillsynsbegäran mail.docx", "A 20778-2020")</f>
        <v/>
      </c>
    </row>
    <row r="14" ht="15" customHeight="1">
      <c r="A14" t="inlineStr">
        <is>
          <t>A 24031-2020</t>
        </is>
      </c>
      <c r="B14" s="1" t="n">
        <v>43971</v>
      </c>
      <c r="C14" s="1" t="n">
        <v>45294</v>
      </c>
      <c r="D14" t="inlineStr">
        <is>
          <t>UPPSALA LÄN</t>
        </is>
      </c>
      <c r="E14" t="inlineStr">
        <is>
          <t>KNIVSTA</t>
        </is>
      </c>
      <c r="F14" t="inlineStr">
        <is>
          <t>Övriga statliga verk och myndigheter</t>
        </is>
      </c>
      <c r="G14" t="n">
        <v>2.4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Grönsångare
Vanlig snok</t>
        </is>
      </c>
      <c r="S14">
        <f>HYPERLINK("https://klasma.github.io/Logging_0330/artfynd/A 24031-2020 artfynd.xlsx", "A 24031-2020")</f>
        <v/>
      </c>
      <c r="T14">
        <f>HYPERLINK("https://klasma.github.io/Logging_0330/kartor/A 24031-2020 karta.png", "A 24031-2020")</f>
        <v/>
      </c>
      <c r="V14">
        <f>HYPERLINK("https://klasma.github.io/Logging_0330/klagomål/A 24031-2020 FSC-klagomål.docx", "A 24031-2020")</f>
        <v/>
      </c>
      <c r="W14">
        <f>HYPERLINK("https://klasma.github.io/Logging_0330/klagomålsmail/A 24031-2020 FSC-klagomål mail.docx", "A 24031-2020")</f>
        <v/>
      </c>
      <c r="X14">
        <f>HYPERLINK("https://klasma.github.io/Logging_0330/tillsyn/A 24031-2020 tillsynsbegäran.docx", "A 24031-2020")</f>
        <v/>
      </c>
      <c r="Y14">
        <f>HYPERLINK("https://klasma.github.io/Logging_0330/tillsynsmail/A 24031-2020 tillsynsbegäran mail.docx", "A 24031-2020")</f>
        <v/>
      </c>
    </row>
    <row r="15" ht="15" customHeight="1">
      <c r="A15" t="inlineStr">
        <is>
          <t>A 10011-2023</t>
        </is>
      </c>
      <c r="B15" s="1" t="n">
        <v>44985</v>
      </c>
      <c r="C15" s="1" t="n">
        <v>45294</v>
      </c>
      <c r="D15" t="inlineStr">
        <is>
          <t>UPPSALA LÄN</t>
        </is>
      </c>
      <c r="E15" t="inlineStr">
        <is>
          <t>KNIVSTA</t>
        </is>
      </c>
      <c r="F15" t="inlineStr">
        <is>
          <t>Holmen skog AB</t>
        </is>
      </c>
      <c r="G15" t="n">
        <v>3.9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Blåsippa</t>
        </is>
      </c>
      <c r="S15">
        <f>HYPERLINK("https://klasma.github.io/Logging_0330/artfynd/A 10011-2023 artfynd.xlsx", "A 10011-2023")</f>
        <v/>
      </c>
      <c r="T15">
        <f>HYPERLINK("https://klasma.github.io/Logging_0330/kartor/A 10011-2023 karta.png", "A 10011-2023")</f>
        <v/>
      </c>
      <c r="V15">
        <f>HYPERLINK("https://klasma.github.io/Logging_0330/klagomål/A 10011-2023 FSC-klagomål.docx", "A 10011-2023")</f>
        <v/>
      </c>
      <c r="W15">
        <f>HYPERLINK("https://klasma.github.io/Logging_0330/klagomålsmail/A 10011-2023 FSC-klagomål mail.docx", "A 10011-2023")</f>
        <v/>
      </c>
      <c r="X15">
        <f>HYPERLINK("https://klasma.github.io/Logging_0330/tillsyn/A 10011-2023 tillsynsbegäran.docx", "A 10011-2023")</f>
        <v/>
      </c>
      <c r="Y15">
        <f>HYPERLINK("https://klasma.github.io/Logging_0330/tillsynsmail/A 10011-2023 tillsynsbegäran mail.docx", "A 10011-2023")</f>
        <v/>
      </c>
    </row>
    <row r="16" ht="15" customHeight="1">
      <c r="A16" t="inlineStr">
        <is>
          <t>A 18814-2023</t>
        </is>
      </c>
      <c r="B16" s="1" t="n">
        <v>45043</v>
      </c>
      <c r="C16" s="1" t="n">
        <v>45294</v>
      </c>
      <c r="D16" t="inlineStr">
        <is>
          <t>UPPSALA LÄN</t>
        </is>
      </c>
      <c r="E16" t="inlineStr">
        <is>
          <t>KNIVSTA</t>
        </is>
      </c>
      <c r="G16" t="n">
        <v>8.9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Barkticka</t>
        </is>
      </c>
      <c r="S16">
        <f>HYPERLINK("https://klasma.github.io/Logging_0330/artfynd/A 18814-2023 artfynd.xlsx", "A 18814-2023")</f>
        <v/>
      </c>
      <c r="T16">
        <f>HYPERLINK("https://klasma.github.io/Logging_0330/kartor/A 18814-2023 karta.png", "A 18814-2023")</f>
        <v/>
      </c>
      <c r="V16">
        <f>HYPERLINK("https://klasma.github.io/Logging_0330/klagomål/A 18814-2023 FSC-klagomål.docx", "A 18814-2023")</f>
        <v/>
      </c>
      <c r="W16">
        <f>HYPERLINK("https://klasma.github.io/Logging_0330/klagomålsmail/A 18814-2023 FSC-klagomål mail.docx", "A 18814-2023")</f>
        <v/>
      </c>
      <c r="X16">
        <f>HYPERLINK("https://klasma.github.io/Logging_0330/tillsyn/A 18814-2023 tillsynsbegäran.docx", "A 18814-2023")</f>
        <v/>
      </c>
      <c r="Y16">
        <f>HYPERLINK("https://klasma.github.io/Logging_0330/tillsynsmail/A 18814-2023 tillsynsbegäran mail.docx", "A 18814-2023")</f>
        <v/>
      </c>
    </row>
    <row r="17" ht="15" customHeight="1">
      <c r="A17" t="inlineStr">
        <is>
          <t>A 18172-2019</t>
        </is>
      </c>
      <c r="B17" s="1" t="n">
        <v>43558</v>
      </c>
      <c r="C17" s="1" t="n">
        <v>45294</v>
      </c>
      <c r="D17" t="inlineStr">
        <is>
          <t>UPPSALA LÄN</t>
        </is>
      </c>
      <c r="E17" t="inlineStr">
        <is>
          <t>KNIVSTA</t>
        </is>
      </c>
      <c r="G17" t="n">
        <v>6.7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HYPERLINK("https://klasma.github.io/Logging_0330/artfynd/A 18172-2019 artfynd.xlsx", "A 18172-2019")</f>
        <v/>
      </c>
      <c r="T17">
        <f>HYPERLINK("https://klasma.github.io/Logging_0330/kartor/A 18172-2019 karta.png", "A 18172-2019")</f>
        <v/>
      </c>
      <c r="V17">
        <f>HYPERLINK("https://klasma.github.io/Logging_0330/klagomål/A 18172-2019 FSC-klagomål.docx", "A 18172-2019")</f>
        <v/>
      </c>
      <c r="W17">
        <f>HYPERLINK("https://klasma.github.io/Logging_0330/klagomålsmail/A 18172-2019 FSC-klagomål mail.docx", "A 18172-2019")</f>
        <v/>
      </c>
      <c r="X17">
        <f>HYPERLINK("https://klasma.github.io/Logging_0330/tillsyn/A 18172-2019 tillsynsbegäran.docx", "A 18172-2019")</f>
        <v/>
      </c>
      <c r="Y17">
        <f>HYPERLINK("https://klasma.github.io/Logging_0330/tillsynsmail/A 18172-2019 tillsynsbegäran mail.docx", "A 18172-2019")</f>
        <v/>
      </c>
    </row>
    <row r="18" ht="15" customHeight="1">
      <c r="A18" t="inlineStr">
        <is>
          <t>A 36637-2019</t>
        </is>
      </c>
      <c r="B18" s="1" t="n">
        <v>43671</v>
      </c>
      <c r="C18" s="1" t="n">
        <v>45294</v>
      </c>
      <c r="D18" t="inlineStr">
        <is>
          <t>UPPSALA LÄN</t>
        </is>
      </c>
      <c r="E18" t="inlineStr">
        <is>
          <t>KNIVSTA</t>
        </is>
      </c>
      <c r="G18" t="n">
        <v>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HYPERLINK("https://klasma.github.io/Logging_0330/artfynd/A 36637-2019 artfynd.xlsx", "A 36637-2019")</f>
        <v/>
      </c>
      <c r="T18">
        <f>HYPERLINK("https://klasma.github.io/Logging_0330/kartor/A 36637-2019 karta.png", "A 36637-2019")</f>
        <v/>
      </c>
      <c r="V18">
        <f>HYPERLINK("https://klasma.github.io/Logging_0330/klagomål/A 36637-2019 FSC-klagomål.docx", "A 36637-2019")</f>
        <v/>
      </c>
      <c r="W18">
        <f>HYPERLINK("https://klasma.github.io/Logging_0330/klagomålsmail/A 36637-2019 FSC-klagomål mail.docx", "A 36637-2019")</f>
        <v/>
      </c>
      <c r="X18">
        <f>HYPERLINK("https://klasma.github.io/Logging_0330/tillsyn/A 36637-2019 tillsynsbegäran.docx", "A 36637-2019")</f>
        <v/>
      </c>
      <c r="Y18">
        <f>HYPERLINK("https://klasma.github.io/Logging_0330/tillsynsmail/A 36637-2019 tillsynsbegäran mail.docx", "A 36637-2019")</f>
        <v/>
      </c>
    </row>
    <row r="19" ht="15" customHeight="1">
      <c r="A19" t="inlineStr">
        <is>
          <t>A 16973-2021</t>
        </is>
      </c>
      <c r="B19" s="1" t="n">
        <v>44295</v>
      </c>
      <c r="C19" s="1" t="n">
        <v>45294</v>
      </c>
      <c r="D19" t="inlineStr">
        <is>
          <t>UPPSALA LÄN</t>
        </is>
      </c>
      <c r="E19" t="inlineStr">
        <is>
          <t>KNIVSTA</t>
        </is>
      </c>
      <c r="G19" t="n">
        <v>5.5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Backklöver</t>
        </is>
      </c>
      <c r="S19">
        <f>HYPERLINK("https://klasma.github.io/Logging_0330/artfynd/A 16973-2021 artfynd.xlsx", "A 16973-2021")</f>
        <v/>
      </c>
      <c r="T19">
        <f>HYPERLINK("https://klasma.github.io/Logging_0330/kartor/A 16973-2021 karta.png", "A 16973-2021")</f>
        <v/>
      </c>
      <c r="V19">
        <f>HYPERLINK("https://klasma.github.io/Logging_0330/klagomål/A 16973-2021 FSC-klagomål.docx", "A 16973-2021")</f>
        <v/>
      </c>
      <c r="W19">
        <f>HYPERLINK("https://klasma.github.io/Logging_0330/klagomålsmail/A 16973-2021 FSC-klagomål mail.docx", "A 16973-2021")</f>
        <v/>
      </c>
      <c r="X19">
        <f>HYPERLINK("https://klasma.github.io/Logging_0330/tillsyn/A 16973-2021 tillsynsbegäran.docx", "A 16973-2021")</f>
        <v/>
      </c>
      <c r="Y19">
        <f>HYPERLINK("https://klasma.github.io/Logging_0330/tillsynsmail/A 16973-2021 tillsynsbegäran mail.docx", "A 16973-2021")</f>
        <v/>
      </c>
    </row>
    <row r="20" ht="15" customHeight="1">
      <c r="A20" t="inlineStr">
        <is>
          <t>A 9396-2022</t>
        </is>
      </c>
      <c r="B20" s="1" t="n">
        <v>44616</v>
      </c>
      <c r="C20" s="1" t="n">
        <v>45294</v>
      </c>
      <c r="D20" t="inlineStr">
        <is>
          <t>UPPSALA LÄN</t>
        </is>
      </c>
      <c r="E20" t="inlineStr">
        <is>
          <t>KNIVSTA</t>
        </is>
      </c>
      <c r="F20" t="inlineStr">
        <is>
          <t>Holmen skog AB</t>
        </is>
      </c>
      <c r="G20" t="n">
        <v>5.2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Korkmusslingsmal</t>
        </is>
      </c>
      <c r="S20">
        <f>HYPERLINK("https://klasma.github.io/Logging_0330/artfynd/A 9396-2022 artfynd.xlsx", "A 9396-2022")</f>
        <v/>
      </c>
      <c r="T20">
        <f>HYPERLINK("https://klasma.github.io/Logging_0330/kartor/A 9396-2022 karta.png", "A 9396-2022")</f>
        <v/>
      </c>
      <c r="V20">
        <f>HYPERLINK("https://klasma.github.io/Logging_0330/klagomål/A 9396-2022 FSC-klagomål.docx", "A 9396-2022")</f>
        <v/>
      </c>
      <c r="W20">
        <f>HYPERLINK("https://klasma.github.io/Logging_0330/klagomålsmail/A 9396-2022 FSC-klagomål mail.docx", "A 9396-2022")</f>
        <v/>
      </c>
      <c r="X20">
        <f>HYPERLINK("https://klasma.github.io/Logging_0330/tillsyn/A 9396-2022 tillsynsbegäran.docx", "A 9396-2022")</f>
        <v/>
      </c>
      <c r="Y20">
        <f>HYPERLINK("https://klasma.github.io/Logging_0330/tillsynsmail/A 9396-2022 tillsynsbegäran mail.docx", "A 9396-2022")</f>
        <v/>
      </c>
    </row>
    <row r="21" ht="15" customHeight="1">
      <c r="A21" t="inlineStr">
        <is>
          <t>A 22467-2022</t>
        </is>
      </c>
      <c r="B21" s="1" t="n">
        <v>44713</v>
      </c>
      <c r="C21" s="1" t="n">
        <v>45294</v>
      </c>
      <c r="D21" t="inlineStr">
        <is>
          <t>UPPSALA LÄN</t>
        </is>
      </c>
      <c r="E21" t="inlineStr">
        <is>
          <t>KNIVSTA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Gullviva</t>
        </is>
      </c>
      <c r="S21">
        <f>HYPERLINK("https://klasma.github.io/Logging_0330/artfynd/A 22467-2022 artfynd.xlsx", "A 22467-2022")</f>
        <v/>
      </c>
      <c r="T21">
        <f>HYPERLINK("https://klasma.github.io/Logging_0330/kartor/A 22467-2022 karta.png", "A 22467-2022")</f>
        <v/>
      </c>
      <c r="V21">
        <f>HYPERLINK("https://klasma.github.io/Logging_0330/klagomål/A 22467-2022 FSC-klagomål.docx", "A 22467-2022")</f>
        <v/>
      </c>
      <c r="W21">
        <f>HYPERLINK("https://klasma.github.io/Logging_0330/klagomålsmail/A 22467-2022 FSC-klagomål mail.docx", "A 22467-2022")</f>
        <v/>
      </c>
      <c r="X21">
        <f>HYPERLINK("https://klasma.github.io/Logging_0330/tillsyn/A 22467-2022 tillsynsbegäran.docx", "A 22467-2022")</f>
        <v/>
      </c>
      <c r="Y21">
        <f>HYPERLINK("https://klasma.github.io/Logging_0330/tillsynsmail/A 22467-2022 tillsynsbegäran mail.docx", "A 22467-2022")</f>
        <v/>
      </c>
    </row>
    <row r="22" ht="15" customHeight="1">
      <c r="A22" t="inlineStr">
        <is>
          <t>A 10973-2023</t>
        </is>
      </c>
      <c r="B22" s="1" t="n">
        <v>44991</v>
      </c>
      <c r="C22" s="1" t="n">
        <v>45294</v>
      </c>
      <c r="D22" t="inlineStr">
        <is>
          <t>UPPSALA LÄN</t>
        </is>
      </c>
      <c r="E22" t="inlineStr">
        <is>
          <t>KNIVSTA</t>
        </is>
      </c>
      <c r="F22" t="inlineStr">
        <is>
          <t>Holmen skog AB</t>
        </is>
      </c>
      <c r="G22" t="n">
        <v>3.2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HYPERLINK("https://klasma.github.io/Logging_0330/artfynd/A 10973-2023 artfynd.xlsx", "A 10973-2023")</f>
        <v/>
      </c>
      <c r="T22">
        <f>HYPERLINK("https://klasma.github.io/Logging_0330/kartor/A 10973-2023 karta.png", "A 10973-2023")</f>
        <v/>
      </c>
      <c r="V22">
        <f>HYPERLINK("https://klasma.github.io/Logging_0330/klagomål/A 10973-2023 FSC-klagomål.docx", "A 10973-2023")</f>
        <v/>
      </c>
      <c r="W22">
        <f>HYPERLINK("https://klasma.github.io/Logging_0330/klagomålsmail/A 10973-2023 FSC-klagomål mail.docx", "A 10973-2023")</f>
        <v/>
      </c>
      <c r="X22">
        <f>HYPERLINK("https://klasma.github.io/Logging_0330/tillsyn/A 10973-2023 tillsynsbegäran.docx", "A 10973-2023")</f>
        <v/>
      </c>
      <c r="Y22">
        <f>HYPERLINK("https://klasma.github.io/Logging_0330/tillsynsmail/A 10973-2023 tillsynsbegäran mail.docx", "A 10973-2023")</f>
        <v/>
      </c>
    </row>
    <row r="23" ht="15" customHeight="1">
      <c r="A23" t="inlineStr">
        <is>
          <t>A 33770-2023</t>
        </is>
      </c>
      <c r="B23" s="1" t="n">
        <v>45133</v>
      </c>
      <c r="C23" s="1" t="n">
        <v>45294</v>
      </c>
      <c r="D23" t="inlineStr">
        <is>
          <t>UPPSALA LÄN</t>
        </is>
      </c>
      <c r="E23" t="inlineStr">
        <is>
          <t>KNIVSTA</t>
        </is>
      </c>
      <c r="F23" t="inlineStr">
        <is>
          <t>Holmen skog AB</t>
        </is>
      </c>
      <c r="G23" t="n">
        <v>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Slaguggla</t>
        </is>
      </c>
      <c r="S23">
        <f>HYPERLINK("https://klasma.github.io/Logging_0330/artfynd/A 33770-2023 artfynd.xlsx", "A 33770-2023")</f>
        <v/>
      </c>
      <c r="T23">
        <f>HYPERLINK("https://klasma.github.io/Logging_0330/kartor/A 33770-2023 karta.png", "A 33770-2023")</f>
        <v/>
      </c>
      <c r="V23">
        <f>HYPERLINK("https://klasma.github.io/Logging_0330/klagomål/A 33770-2023 FSC-klagomål.docx", "A 33770-2023")</f>
        <v/>
      </c>
      <c r="W23">
        <f>HYPERLINK("https://klasma.github.io/Logging_0330/klagomålsmail/A 33770-2023 FSC-klagomål mail.docx", "A 33770-2023")</f>
        <v/>
      </c>
      <c r="X23">
        <f>HYPERLINK("https://klasma.github.io/Logging_0330/tillsyn/A 33770-2023 tillsynsbegäran.docx", "A 33770-2023")</f>
        <v/>
      </c>
      <c r="Y23">
        <f>HYPERLINK("https://klasma.github.io/Logging_0330/tillsynsmail/A 33770-2023 tillsynsbegäran mail.docx", "A 33770-2023")</f>
        <v/>
      </c>
    </row>
    <row r="24" ht="15" customHeight="1">
      <c r="A24" t="inlineStr">
        <is>
          <t>A 38364-2018</t>
        </is>
      </c>
      <c r="B24" s="1" t="n">
        <v>43339</v>
      </c>
      <c r="C24" s="1" t="n">
        <v>45294</v>
      </c>
      <c r="D24" t="inlineStr">
        <is>
          <t>UPPSALA LÄN</t>
        </is>
      </c>
      <c r="E24" t="inlineStr">
        <is>
          <t>KNIVSTA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53288-2018</t>
        </is>
      </c>
      <c r="B25" s="1" t="n">
        <v>43376</v>
      </c>
      <c r="C25" s="1" t="n">
        <v>45294</v>
      </c>
      <c r="D25" t="inlineStr">
        <is>
          <t>UPPSALA LÄN</t>
        </is>
      </c>
      <c r="E25" t="inlineStr">
        <is>
          <t>KNIVSTA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53295-2018</t>
        </is>
      </c>
      <c r="B26" s="1" t="n">
        <v>43376</v>
      </c>
      <c r="C26" s="1" t="n">
        <v>45294</v>
      </c>
      <c r="D26" t="inlineStr">
        <is>
          <t>UPPSALA LÄN</t>
        </is>
      </c>
      <c r="E26" t="inlineStr">
        <is>
          <t>KNIVSTA</t>
        </is>
      </c>
      <c r="G26" t="n">
        <v>8.1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56639-2018</t>
        </is>
      </c>
      <c r="B27" s="1" t="n">
        <v>43402</v>
      </c>
      <c r="C27" s="1" t="n">
        <v>45294</v>
      </c>
      <c r="D27" t="inlineStr">
        <is>
          <t>UPPSALA LÄN</t>
        </is>
      </c>
      <c r="E27" t="inlineStr">
        <is>
          <t>KNIVSTA</t>
        </is>
      </c>
      <c r="G27" t="n">
        <v>5.2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56646-2018</t>
        </is>
      </c>
      <c r="B28" s="1" t="n">
        <v>43402</v>
      </c>
      <c r="C28" s="1" t="n">
        <v>45294</v>
      </c>
      <c r="D28" t="inlineStr">
        <is>
          <t>UPPSALA LÄN</t>
        </is>
      </c>
      <c r="E28" t="inlineStr">
        <is>
          <t>KNIVSTA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60550-2018</t>
        </is>
      </c>
      <c r="B29" s="1" t="n">
        <v>43408</v>
      </c>
      <c r="C29" s="1" t="n">
        <v>45294</v>
      </c>
      <c r="D29" t="inlineStr">
        <is>
          <t>UPPSALA LÄN</t>
        </is>
      </c>
      <c r="E29" t="inlineStr">
        <is>
          <t>KNIVSTA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66632-2018</t>
        </is>
      </c>
      <c r="B30" s="1" t="n">
        <v>43437</v>
      </c>
      <c r="C30" s="1" t="n">
        <v>45294</v>
      </c>
      <c r="D30" t="inlineStr">
        <is>
          <t>UPPSALA LÄN</t>
        </is>
      </c>
      <c r="E30" t="inlineStr">
        <is>
          <t>KNIVSTA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72204-2018</t>
        </is>
      </c>
      <c r="B31" s="1" t="n">
        <v>43455</v>
      </c>
      <c r="C31" s="1" t="n">
        <v>45294</v>
      </c>
      <c r="D31" t="inlineStr">
        <is>
          <t>UPPSALA LÄN</t>
        </is>
      </c>
      <c r="E31" t="inlineStr">
        <is>
          <t>KNIVSTA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72192-2018</t>
        </is>
      </c>
      <c r="B32" s="1" t="n">
        <v>43455</v>
      </c>
      <c r="C32" s="1" t="n">
        <v>45294</v>
      </c>
      <c r="D32" t="inlineStr">
        <is>
          <t>UPPSALA LÄN</t>
        </is>
      </c>
      <c r="E32" t="inlineStr">
        <is>
          <t>KNIVSTA</t>
        </is>
      </c>
      <c r="G32" t="n">
        <v>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2231-2019</t>
        </is>
      </c>
      <c r="B33" s="1" t="n">
        <v>43475</v>
      </c>
      <c r="C33" s="1" t="n">
        <v>45294</v>
      </c>
      <c r="D33" t="inlineStr">
        <is>
          <t>UPPSALA LÄN</t>
        </is>
      </c>
      <c r="E33" t="inlineStr">
        <is>
          <t>KNIVSTA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2992-2019</t>
        </is>
      </c>
      <c r="B34" s="1" t="n">
        <v>43479</v>
      </c>
      <c r="C34" s="1" t="n">
        <v>45294</v>
      </c>
      <c r="D34" t="inlineStr">
        <is>
          <t>UPPSALA LÄN</t>
        </is>
      </c>
      <c r="E34" t="inlineStr">
        <is>
          <t>KNIVSTA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3737-2019</t>
        </is>
      </c>
      <c r="B35" s="1" t="n">
        <v>43481</v>
      </c>
      <c r="C35" s="1" t="n">
        <v>45294</v>
      </c>
      <c r="D35" t="inlineStr">
        <is>
          <t>UPPSALA LÄN</t>
        </is>
      </c>
      <c r="E35" t="inlineStr">
        <is>
          <t>KNIVSTA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3619-2019</t>
        </is>
      </c>
      <c r="B36" s="1" t="n">
        <v>43481</v>
      </c>
      <c r="C36" s="1" t="n">
        <v>45294</v>
      </c>
      <c r="D36" t="inlineStr">
        <is>
          <t>UPPSALA LÄN</t>
        </is>
      </c>
      <c r="E36" t="inlineStr">
        <is>
          <t>KNIVSTA</t>
        </is>
      </c>
      <c r="G36" t="n">
        <v>8.1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6053-2019</t>
        </is>
      </c>
      <c r="B37" s="1" t="n">
        <v>43483</v>
      </c>
      <c r="C37" s="1" t="n">
        <v>45294</v>
      </c>
      <c r="D37" t="inlineStr">
        <is>
          <t>UPPSALA LÄN</t>
        </is>
      </c>
      <c r="E37" t="inlineStr">
        <is>
          <t>KNIVSTA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4379-2019</t>
        </is>
      </c>
      <c r="B38" s="1" t="n">
        <v>43483</v>
      </c>
      <c r="C38" s="1" t="n">
        <v>45294</v>
      </c>
      <c r="D38" t="inlineStr">
        <is>
          <t>UPPSALA LÄN</t>
        </is>
      </c>
      <c r="E38" t="inlineStr">
        <is>
          <t>KNIVSTA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4762-2019</t>
        </is>
      </c>
      <c r="B39" s="1" t="n">
        <v>43486</v>
      </c>
      <c r="C39" s="1" t="n">
        <v>45294</v>
      </c>
      <c r="D39" t="inlineStr">
        <is>
          <t>UPPSALA LÄN</t>
        </is>
      </c>
      <c r="E39" t="inlineStr">
        <is>
          <t>KNIVSTA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4781-2019</t>
        </is>
      </c>
      <c r="B40" s="1" t="n">
        <v>43486</v>
      </c>
      <c r="C40" s="1" t="n">
        <v>45294</v>
      </c>
      <c r="D40" t="inlineStr">
        <is>
          <t>UPPSALA LÄN</t>
        </is>
      </c>
      <c r="E40" t="inlineStr">
        <is>
          <t>KNIVSTA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6160-2019</t>
        </is>
      </c>
      <c r="B41" s="1" t="n">
        <v>43493</v>
      </c>
      <c r="C41" s="1" t="n">
        <v>45294</v>
      </c>
      <c r="D41" t="inlineStr">
        <is>
          <t>UPPSALA LÄN</t>
        </is>
      </c>
      <c r="E41" t="inlineStr">
        <is>
          <t>KNIVSTA</t>
        </is>
      </c>
      <c r="G41" t="n">
        <v>5.1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7304-2019</t>
        </is>
      </c>
      <c r="B42" s="1" t="n">
        <v>43496</v>
      </c>
      <c r="C42" s="1" t="n">
        <v>45294</v>
      </c>
      <c r="D42" t="inlineStr">
        <is>
          <t>UPPSALA LÄN</t>
        </is>
      </c>
      <c r="E42" t="inlineStr">
        <is>
          <t>KNIVSTA</t>
        </is>
      </c>
      <c r="G42" t="n">
        <v>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7306-2019</t>
        </is>
      </c>
      <c r="B43" s="1" t="n">
        <v>43496</v>
      </c>
      <c r="C43" s="1" t="n">
        <v>45294</v>
      </c>
      <c r="D43" t="inlineStr">
        <is>
          <t>UPPSALA LÄN</t>
        </is>
      </c>
      <c r="E43" t="inlineStr">
        <is>
          <t>KNIVSTA</t>
        </is>
      </c>
      <c r="G43" t="n">
        <v>6.4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7768-2019</t>
        </is>
      </c>
      <c r="B44" s="1" t="n">
        <v>43500</v>
      </c>
      <c r="C44" s="1" t="n">
        <v>45294</v>
      </c>
      <c r="D44" t="inlineStr">
        <is>
          <t>UPPSALA LÄN</t>
        </is>
      </c>
      <c r="E44" t="inlineStr">
        <is>
          <t>KNIVSTA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7804-2019</t>
        </is>
      </c>
      <c r="B45" s="1" t="n">
        <v>43500</v>
      </c>
      <c r="C45" s="1" t="n">
        <v>45294</v>
      </c>
      <c r="D45" t="inlineStr">
        <is>
          <t>UPPSALA LÄN</t>
        </is>
      </c>
      <c r="E45" t="inlineStr">
        <is>
          <t>KNIVSTA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13109-2019</t>
        </is>
      </c>
      <c r="B46" s="1" t="n">
        <v>43528</v>
      </c>
      <c r="C46" s="1" t="n">
        <v>45294</v>
      </c>
      <c r="D46" t="inlineStr">
        <is>
          <t>UPPSALA LÄN</t>
        </is>
      </c>
      <c r="E46" t="inlineStr">
        <is>
          <t>KNIVSTA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14070-2019</t>
        </is>
      </c>
      <c r="B47" s="1" t="n">
        <v>43532</v>
      </c>
      <c r="C47" s="1" t="n">
        <v>45294</v>
      </c>
      <c r="D47" t="inlineStr">
        <is>
          <t>UPPSALA LÄN</t>
        </is>
      </c>
      <c r="E47" t="inlineStr">
        <is>
          <t>KNIVSTA</t>
        </is>
      </c>
      <c r="F47" t="inlineStr">
        <is>
          <t>Holmen skog AB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14115-2019</t>
        </is>
      </c>
      <c r="B48" s="1" t="n">
        <v>43532</v>
      </c>
      <c r="C48" s="1" t="n">
        <v>45294</v>
      </c>
      <c r="D48" t="inlineStr">
        <is>
          <t>UPPSALA LÄN</t>
        </is>
      </c>
      <c r="E48" t="inlineStr">
        <is>
          <t>KNIVSTA</t>
        </is>
      </c>
      <c r="F48" t="inlineStr">
        <is>
          <t>Holmen skog AB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14635-2019</t>
        </is>
      </c>
      <c r="B49" s="1" t="n">
        <v>43538</v>
      </c>
      <c r="C49" s="1" t="n">
        <v>45294</v>
      </c>
      <c r="D49" t="inlineStr">
        <is>
          <t>UPPSALA LÄN</t>
        </is>
      </c>
      <c r="E49" t="inlineStr">
        <is>
          <t>KNIVSTA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15468-2019</t>
        </is>
      </c>
      <c r="B50" s="1" t="n">
        <v>43542</v>
      </c>
      <c r="C50" s="1" t="n">
        <v>45294</v>
      </c>
      <c r="D50" t="inlineStr">
        <is>
          <t>UPPSALA LÄN</t>
        </is>
      </c>
      <c r="E50" t="inlineStr">
        <is>
          <t>KNIVSTA</t>
        </is>
      </c>
      <c r="F50" t="inlineStr">
        <is>
          <t>Holmen skog AB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16736-2019</t>
        </is>
      </c>
      <c r="B51" s="1" t="n">
        <v>43549</v>
      </c>
      <c r="C51" s="1" t="n">
        <v>45294</v>
      </c>
      <c r="D51" t="inlineStr">
        <is>
          <t>UPPSALA LÄN</t>
        </is>
      </c>
      <c r="E51" t="inlineStr">
        <is>
          <t>KNIVSTA</t>
        </is>
      </c>
      <c r="F51" t="inlineStr">
        <is>
          <t>Holmen skog AB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18506-2019</t>
        </is>
      </c>
      <c r="B52" s="1" t="n">
        <v>43559</v>
      </c>
      <c r="C52" s="1" t="n">
        <v>45294</v>
      </c>
      <c r="D52" t="inlineStr">
        <is>
          <t>UPPSALA LÄN</t>
        </is>
      </c>
      <c r="E52" t="inlineStr">
        <is>
          <t>KNIVSTA</t>
        </is>
      </c>
      <c r="F52" t="inlineStr">
        <is>
          <t>Holmen skog AB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18503-2019</t>
        </is>
      </c>
      <c r="B53" s="1" t="n">
        <v>43559</v>
      </c>
      <c r="C53" s="1" t="n">
        <v>45294</v>
      </c>
      <c r="D53" t="inlineStr">
        <is>
          <t>UPPSALA LÄN</t>
        </is>
      </c>
      <c r="E53" t="inlineStr">
        <is>
          <t>KNIVSTA</t>
        </is>
      </c>
      <c r="F53" t="inlineStr">
        <is>
          <t>Holmen skog AB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19512-2019</t>
        </is>
      </c>
      <c r="B54" s="1" t="n">
        <v>43565</v>
      </c>
      <c r="C54" s="1" t="n">
        <v>45294</v>
      </c>
      <c r="D54" t="inlineStr">
        <is>
          <t>UPPSALA LÄN</t>
        </is>
      </c>
      <c r="E54" t="inlineStr">
        <is>
          <t>KNIVSTA</t>
        </is>
      </c>
      <c r="G54" t="n">
        <v>5.6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23051-2019</t>
        </is>
      </c>
      <c r="B55" s="1" t="n">
        <v>43591</v>
      </c>
      <c r="C55" s="1" t="n">
        <v>45294</v>
      </c>
      <c r="D55" t="inlineStr">
        <is>
          <t>UPPSALA LÄN</t>
        </is>
      </c>
      <c r="E55" t="inlineStr">
        <is>
          <t>KNIVSTA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28551-2019</t>
        </is>
      </c>
      <c r="B56" s="1" t="n">
        <v>43626</v>
      </c>
      <c r="C56" s="1" t="n">
        <v>45294</v>
      </c>
      <c r="D56" t="inlineStr">
        <is>
          <t>UPPSALA LÄN</t>
        </is>
      </c>
      <c r="E56" t="inlineStr">
        <is>
          <t>KNIVSTA</t>
        </is>
      </c>
      <c r="G56" t="n">
        <v>11.1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35059-2019</t>
        </is>
      </c>
      <c r="B57" s="1" t="n">
        <v>43661</v>
      </c>
      <c r="C57" s="1" t="n">
        <v>45294</v>
      </c>
      <c r="D57" t="inlineStr">
        <is>
          <t>UPPSALA LÄN</t>
        </is>
      </c>
      <c r="E57" t="inlineStr">
        <is>
          <t>KNIVSTA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49082-2019</t>
        </is>
      </c>
      <c r="B58" s="1" t="n">
        <v>43731</v>
      </c>
      <c r="C58" s="1" t="n">
        <v>45294</v>
      </c>
      <c r="D58" t="inlineStr">
        <is>
          <t>UPPSALA LÄN</t>
        </is>
      </c>
      <c r="E58" t="inlineStr">
        <is>
          <t>KNIVSTA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55170-2019</t>
        </is>
      </c>
      <c r="B59" s="1" t="n">
        <v>43756</v>
      </c>
      <c r="C59" s="1" t="n">
        <v>45294</v>
      </c>
      <c r="D59" t="inlineStr">
        <is>
          <t>UPPSALA LÄN</t>
        </is>
      </c>
      <c r="E59" t="inlineStr">
        <is>
          <t>KNIVSTA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58146-2019</t>
        </is>
      </c>
      <c r="B60" s="1" t="n">
        <v>43769</v>
      </c>
      <c r="C60" s="1" t="n">
        <v>45294</v>
      </c>
      <c r="D60" t="inlineStr">
        <is>
          <t>UPPSALA LÄN</t>
        </is>
      </c>
      <c r="E60" t="inlineStr">
        <is>
          <t>KNIVSTA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65903-2019</t>
        </is>
      </c>
      <c r="B61" s="1" t="n">
        <v>43800</v>
      </c>
      <c r="C61" s="1" t="n">
        <v>45294</v>
      </c>
      <c r="D61" t="inlineStr">
        <is>
          <t>UPPSALA LÄN</t>
        </is>
      </c>
      <c r="E61" t="inlineStr">
        <is>
          <t>KNIVSTA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66607-2019</t>
        </is>
      </c>
      <c r="B62" s="1" t="n">
        <v>43809</v>
      </c>
      <c r="C62" s="1" t="n">
        <v>45294</v>
      </c>
      <c r="D62" t="inlineStr">
        <is>
          <t>UPPSALA LÄN</t>
        </is>
      </c>
      <c r="E62" t="inlineStr">
        <is>
          <t>KNIVSTA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67165-2019</t>
        </is>
      </c>
      <c r="B63" s="1" t="n">
        <v>43811</v>
      </c>
      <c r="C63" s="1" t="n">
        <v>45294</v>
      </c>
      <c r="D63" t="inlineStr">
        <is>
          <t>UPPSALA LÄN</t>
        </is>
      </c>
      <c r="E63" t="inlineStr">
        <is>
          <t>KNIVSTA</t>
        </is>
      </c>
      <c r="G63" t="n">
        <v>8.9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67166-2019</t>
        </is>
      </c>
      <c r="B64" s="1" t="n">
        <v>43811</v>
      </c>
      <c r="C64" s="1" t="n">
        <v>45294</v>
      </c>
      <c r="D64" t="inlineStr">
        <is>
          <t>UPPSALA LÄN</t>
        </is>
      </c>
      <c r="E64" t="inlineStr">
        <is>
          <t>KNIVSTA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67598-2019</t>
        </is>
      </c>
      <c r="B65" s="1" t="n">
        <v>43815</v>
      </c>
      <c r="C65" s="1" t="n">
        <v>45294</v>
      </c>
      <c r="D65" t="inlineStr">
        <is>
          <t>UPPSALA LÄN</t>
        </is>
      </c>
      <c r="E65" t="inlineStr">
        <is>
          <t>KNIVSTA</t>
        </is>
      </c>
      <c r="F65" t="inlineStr">
        <is>
          <t>Övriga Aktiebolag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2663-2020</t>
        </is>
      </c>
      <c r="B66" s="1" t="n">
        <v>43849</v>
      </c>
      <c r="C66" s="1" t="n">
        <v>45294</v>
      </c>
      <c r="D66" t="inlineStr">
        <is>
          <t>UPPSALA LÄN</t>
        </is>
      </c>
      <c r="E66" t="inlineStr">
        <is>
          <t>KNIVSTA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4567-2020</t>
        </is>
      </c>
      <c r="B67" s="1" t="n">
        <v>43858</v>
      </c>
      <c r="C67" s="1" t="n">
        <v>45294</v>
      </c>
      <c r="D67" t="inlineStr">
        <is>
          <t>UPPSALA LÄN</t>
        </is>
      </c>
      <c r="E67" t="inlineStr">
        <is>
          <t>KNIVSTA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13547-2020</t>
        </is>
      </c>
      <c r="B68" s="1" t="n">
        <v>43902</v>
      </c>
      <c r="C68" s="1" t="n">
        <v>45294</v>
      </c>
      <c r="D68" t="inlineStr">
        <is>
          <t>UPPSALA LÄN</t>
        </is>
      </c>
      <c r="E68" t="inlineStr">
        <is>
          <t>KNIVSTA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13996-2020</t>
        </is>
      </c>
      <c r="B69" s="1" t="n">
        <v>43906</v>
      </c>
      <c r="C69" s="1" t="n">
        <v>45294</v>
      </c>
      <c r="D69" t="inlineStr">
        <is>
          <t>UPPSALA LÄN</t>
        </is>
      </c>
      <c r="E69" t="inlineStr">
        <is>
          <t>KNIVSTA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14005-2020</t>
        </is>
      </c>
      <c r="B70" s="1" t="n">
        <v>43906</v>
      </c>
      <c r="C70" s="1" t="n">
        <v>45294</v>
      </c>
      <c r="D70" t="inlineStr">
        <is>
          <t>UPPSALA LÄN</t>
        </is>
      </c>
      <c r="E70" t="inlineStr">
        <is>
          <t>KNIVSTA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20395-2020</t>
        </is>
      </c>
      <c r="B71" s="1" t="n">
        <v>43945</v>
      </c>
      <c r="C71" s="1" t="n">
        <v>45294</v>
      </c>
      <c r="D71" t="inlineStr">
        <is>
          <t>UPPSALA LÄN</t>
        </is>
      </c>
      <c r="E71" t="inlineStr">
        <is>
          <t>KNIVSTA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25658-2020</t>
        </is>
      </c>
      <c r="B72" s="1" t="n">
        <v>43983</v>
      </c>
      <c r="C72" s="1" t="n">
        <v>45294</v>
      </c>
      <c r="D72" t="inlineStr">
        <is>
          <t>UPPSALA LÄN</t>
        </is>
      </c>
      <c r="E72" t="inlineStr">
        <is>
          <t>KNIVSTA</t>
        </is>
      </c>
      <c r="G72" t="n">
        <v>15.2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32953-2020</t>
        </is>
      </c>
      <c r="B73" s="1" t="n">
        <v>44020</v>
      </c>
      <c r="C73" s="1" t="n">
        <v>45294</v>
      </c>
      <c r="D73" t="inlineStr">
        <is>
          <t>UPPSALA LÄN</t>
        </is>
      </c>
      <c r="E73" t="inlineStr">
        <is>
          <t>KNIVSTA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44089-2020</t>
        </is>
      </c>
      <c r="B74" s="1" t="n">
        <v>44083</v>
      </c>
      <c r="C74" s="1" t="n">
        <v>45294</v>
      </c>
      <c r="D74" t="inlineStr">
        <is>
          <t>UPPSALA LÄN</t>
        </is>
      </c>
      <c r="E74" t="inlineStr">
        <is>
          <t>KNIVSTA</t>
        </is>
      </c>
      <c r="F74" t="inlineStr">
        <is>
          <t>Holmen skog AB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46988-2020</t>
        </is>
      </c>
      <c r="B75" s="1" t="n">
        <v>44096</v>
      </c>
      <c r="C75" s="1" t="n">
        <v>45294</v>
      </c>
      <c r="D75" t="inlineStr">
        <is>
          <t>UPPSALA LÄN</t>
        </is>
      </c>
      <c r="E75" t="inlineStr">
        <is>
          <t>KNIVSTA</t>
        </is>
      </c>
      <c r="F75" t="inlineStr">
        <is>
          <t>Holmen skog AB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57286-2020</t>
        </is>
      </c>
      <c r="B76" s="1" t="n">
        <v>44139</v>
      </c>
      <c r="C76" s="1" t="n">
        <v>45294</v>
      </c>
      <c r="D76" t="inlineStr">
        <is>
          <t>UPPSALA LÄN</t>
        </is>
      </c>
      <c r="E76" t="inlineStr">
        <is>
          <t>KNIVSTA</t>
        </is>
      </c>
      <c r="G76" t="n">
        <v>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57559-2020</t>
        </is>
      </c>
      <c r="B77" s="1" t="n">
        <v>44140</v>
      </c>
      <c r="C77" s="1" t="n">
        <v>45294</v>
      </c>
      <c r="D77" t="inlineStr">
        <is>
          <t>UPPSALA LÄN</t>
        </is>
      </c>
      <c r="E77" t="inlineStr">
        <is>
          <t>KNIVSTA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68257-2020</t>
        </is>
      </c>
      <c r="B78" s="1" t="n">
        <v>44182</v>
      </c>
      <c r="C78" s="1" t="n">
        <v>45294</v>
      </c>
      <c r="D78" t="inlineStr">
        <is>
          <t>UPPSALA LÄN</t>
        </is>
      </c>
      <c r="E78" t="inlineStr">
        <is>
          <t>KNIVSTA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9725-2021</t>
        </is>
      </c>
      <c r="B79" s="1" t="n">
        <v>44252</v>
      </c>
      <c r="C79" s="1" t="n">
        <v>45294</v>
      </c>
      <c r="D79" t="inlineStr">
        <is>
          <t>UPPSALA LÄN</t>
        </is>
      </c>
      <c r="E79" t="inlineStr">
        <is>
          <t>KNIVSTA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12864-2021</t>
        </is>
      </c>
      <c r="B80" s="1" t="n">
        <v>44271</v>
      </c>
      <c r="C80" s="1" t="n">
        <v>45294</v>
      </c>
      <c r="D80" t="inlineStr">
        <is>
          <t>UPPSALA LÄN</t>
        </is>
      </c>
      <c r="E80" t="inlineStr">
        <is>
          <t>KNIVSTA</t>
        </is>
      </c>
      <c r="F80" t="inlineStr">
        <is>
          <t>Kyrkan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18897-2021</t>
        </is>
      </c>
      <c r="B81" s="1" t="n">
        <v>44308</v>
      </c>
      <c r="C81" s="1" t="n">
        <v>45294</v>
      </c>
      <c r="D81" t="inlineStr">
        <is>
          <t>UPPSALA LÄN</t>
        </is>
      </c>
      <c r="E81" t="inlineStr">
        <is>
          <t>KNIVSTA</t>
        </is>
      </c>
      <c r="F81" t="inlineStr">
        <is>
          <t>Holmen skog AB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19796-2021</t>
        </is>
      </c>
      <c r="B82" s="1" t="n">
        <v>44313</v>
      </c>
      <c r="C82" s="1" t="n">
        <v>45294</v>
      </c>
      <c r="D82" t="inlineStr">
        <is>
          <t>UPPSALA LÄN</t>
        </is>
      </c>
      <c r="E82" t="inlineStr">
        <is>
          <t>KNIVSTA</t>
        </is>
      </c>
      <c r="G82" t="n">
        <v>14.6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20505-2021</t>
        </is>
      </c>
      <c r="B83" s="1" t="n">
        <v>44313</v>
      </c>
      <c r="C83" s="1" t="n">
        <v>45294</v>
      </c>
      <c r="D83" t="inlineStr">
        <is>
          <t>UPPSALA LÄN</t>
        </is>
      </c>
      <c r="E83" t="inlineStr">
        <is>
          <t>KNIVSTA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20827-2021</t>
        </is>
      </c>
      <c r="B84" s="1" t="n">
        <v>44318</v>
      </c>
      <c r="C84" s="1" t="n">
        <v>45294</v>
      </c>
      <c r="D84" t="inlineStr">
        <is>
          <t>UPPSALA LÄN</t>
        </is>
      </c>
      <c r="E84" t="inlineStr">
        <is>
          <t>KNIVSTA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25259-2021</t>
        </is>
      </c>
      <c r="B85" s="1" t="n">
        <v>44342</v>
      </c>
      <c r="C85" s="1" t="n">
        <v>45294</v>
      </c>
      <c r="D85" t="inlineStr">
        <is>
          <t>UPPSALA LÄN</t>
        </is>
      </c>
      <c r="E85" t="inlineStr">
        <is>
          <t>KNIVSTA</t>
        </is>
      </c>
      <c r="F85" t="inlineStr">
        <is>
          <t>Holmen skog AB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25359-2021</t>
        </is>
      </c>
      <c r="B86" s="1" t="n">
        <v>44342</v>
      </c>
      <c r="C86" s="1" t="n">
        <v>45294</v>
      </c>
      <c r="D86" t="inlineStr">
        <is>
          <t>UPPSALA LÄN</t>
        </is>
      </c>
      <c r="E86" t="inlineStr">
        <is>
          <t>KNIVSTA</t>
        </is>
      </c>
      <c r="F86" t="inlineStr">
        <is>
          <t>Holmen skog AB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28468-2021</t>
        </is>
      </c>
      <c r="B87" s="1" t="n">
        <v>44356</v>
      </c>
      <c r="C87" s="1" t="n">
        <v>45294</v>
      </c>
      <c r="D87" t="inlineStr">
        <is>
          <t>UPPSALA LÄN</t>
        </is>
      </c>
      <c r="E87" t="inlineStr">
        <is>
          <t>KNIVSTA</t>
        </is>
      </c>
      <c r="F87" t="inlineStr">
        <is>
          <t>Holmen skog AB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31143-2021</t>
        </is>
      </c>
      <c r="B88" s="1" t="n">
        <v>44368</v>
      </c>
      <c r="C88" s="1" t="n">
        <v>45294</v>
      </c>
      <c r="D88" t="inlineStr">
        <is>
          <t>UPPSALA LÄN</t>
        </is>
      </c>
      <c r="E88" t="inlineStr">
        <is>
          <t>KNIVSTA</t>
        </is>
      </c>
      <c r="G88" t="n">
        <v>13.1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32975-2021</t>
        </is>
      </c>
      <c r="B89" s="1" t="n">
        <v>44376</v>
      </c>
      <c r="C89" s="1" t="n">
        <v>45294</v>
      </c>
      <c r="D89" t="inlineStr">
        <is>
          <t>UPPSALA LÄN</t>
        </is>
      </c>
      <c r="E89" t="inlineStr">
        <is>
          <t>KNIVSTA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35232-2021</t>
        </is>
      </c>
      <c r="B90" s="1" t="n">
        <v>44384</v>
      </c>
      <c r="C90" s="1" t="n">
        <v>45294</v>
      </c>
      <c r="D90" t="inlineStr">
        <is>
          <t>UPPSALA LÄN</t>
        </is>
      </c>
      <c r="E90" t="inlineStr">
        <is>
          <t>KNIVSTA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47652-2021</t>
        </is>
      </c>
      <c r="B91" s="1" t="n">
        <v>44448</v>
      </c>
      <c r="C91" s="1" t="n">
        <v>45294</v>
      </c>
      <c r="D91" t="inlineStr">
        <is>
          <t>UPPSALA LÄN</t>
        </is>
      </c>
      <c r="E91" t="inlineStr">
        <is>
          <t>KNIVSTA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47654-2021</t>
        </is>
      </c>
      <c r="B92" s="1" t="n">
        <v>44448</v>
      </c>
      <c r="C92" s="1" t="n">
        <v>45294</v>
      </c>
      <c r="D92" t="inlineStr">
        <is>
          <t>UPPSALA LÄN</t>
        </is>
      </c>
      <c r="E92" t="inlineStr">
        <is>
          <t>KNIVSTA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54155-2021</t>
        </is>
      </c>
      <c r="B93" s="1" t="n">
        <v>44470</v>
      </c>
      <c r="C93" s="1" t="n">
        <v>45294</v>
      </c>
      <c r="D93" t="inlineStr">
        <is>
          <t>UPPSALA LÄN</t>
        </is>
      </c>
      <c r="E93" t="inlineStr">
        <is>
          <t>KNIVSTA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60885-2021</t>
        </is>
      </c>
      <c r="B94" s="1" t="n">
        <v>44497</v>
      </c>
      <c r="C94" s="1" t="n">
        <v>45294</v>
      </c>
      <c r="D94" t="inlineStr">
        <is>
          <t>UPPSALA LÄN</t>
        </is>
      </c>
      <c r="E94" t="inlineStr">
        <is>
          <t>KNIVSTA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62441-2021</t>
        </is>
      </c>
      <c r="B95" s="1" t="n">
        <v>44503</v>
      </c>
      <c r="C95" s="1" t="n">
        <v>45294</v>
      </c>
      <c r="D95" t="inlineStr">
        <is>
          <t>UPPSALA LÄN</t>
        </is>
      </c>
      <c r="E95" t="inlineStr">
        <is>
          <t>KNIVSTA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63460-2021</t>
        </is>
      </c>
      <c r="B96" s="1" t="n">
        <v>44508</v>
      </c>
      <c r="C96" s="1" t="n">
        <v>45294</v>
      </c>
      <c r="D96" t="inlineStr">
        <is>
          <t>UPPSALA LÄN</t>
        </is>
      </c>
      <c r="E96" t="inlineStr">
        <is>
          <t>KNIVSTA</t>
        </is>
      </c>
      <c r="F96" t="inlineStr">
        <is>
          <t>Holmen skog AB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62451-2021</t>
        </is>
      </c>
      <c r="B97" s="1" t="n">
        <v>44509</v>
      </c>
      <c r="C97" s="1" t="n">
        <v>45294</v>
      </c>
      <c r="D97" t="inlineStr">
        <is>
          <t>UPPSALA LÄN</t>
        </is>
      </c>
      <c r="E97" t="inlineStr">
        <is>
          <t>KNIVSTA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64044-2021</t>
        </is>
      </c>
      <c r="B98" s="1" t="n">
        <v>44510</v>
      </c>
      <c r="C98" s="1" t="n">
        <v>45294</v>
      </c>
      <c r="D98" t="inlineStr">
        <is>
          <t>UPPSALA LÄN</t>
        </is>
      </c>
      <c r="E98" t="inlineStr">
        <is>
          <t>KNIVSTA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66256-2021</t>
        </is>
      </c>
      <c r="B99" s="1" t="n">
        <v>44518</v>
      </c>
      <c r="C99" s="1" t="n">
        <v>45294</v>
      </c>
      <c r="D99" t="inlineStr">
        <is>
          <t>UPPSALA LÄN</t>
        </is>
      </c>
      <c r="E99" t="inlineStr">
        <is>
          <t>KNIVSTA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66298-2021</t>
        </is>
      </c>
      <c r="B100" s="1" t="n">
        <v>44518</v>
      </c>
      <c r="C100" s="1" t="n">
        <v>45294</v>
      </c>
      <c r="D100" t="inlineStr">
        <is>
          <t>UPPSALA LÄN</t>
        </is>
      </c>
      <c r="E100" t="inlineStr">
        <is>
          <t>KNIVSTA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66310-2021</t>
        </is>
      </c>
      <c r="B101" s="1" t="n">
        <v>44518</v>
      </c>
      <c r="C101" s="1" t="n">
        <v>45294</v>
      </c>
      <c r="D101" t="inlineStr">
        <is>
          <t>UPPSALA LÄN</t>
        </is>
      </c>
      <c r="E101" t="inlineStr">
        <is>
          <t>KNIVSTA</t>
        </is>
      </c>
      <c r="G101" t="n">
        <v>14.1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66284-2021</t>
        </is>
      </c>
      <c r="B102" s="1" t="n">
        <v>44518</v>
      </c>
      <c r="C102" s="1" t="n">
        <v>45294</v>
      </c>
      <c r="D102" t="inlineStr">
        <is>
          <t>UPPSALA LÄN</t>
        </is>
      </c>
      <c r="E102" t="inlineStr">
        <is>
          <t>KNIVSTA</t>
        </is>
      </c>
      <c r="G102" t="n">
        <v>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66293-2021</t>
        </is>
      </c>
      <c r="B103" s="1" t="n">
        <v>44518</v>
      </c>
      <c r="C103" s="1" t="n">
        <v>45294</v>
      </c>
      <c r="D103" t="inlineStr">
        <is>
          <t>UPPSALA LÄN</t>
        </is>
      </c>
      <c r="E103" t="inlineStr">
        <is>
          <t>KNIVSTA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66336-2021</t>
        </is>
      </c>
      <c r="B104" s="1" t="n">
        <v>44518</v>
      </c>
      <c r="C104" s="1" t="n">
        <v>45294</v>
      </c>
      <c r="D104" t="inlineStr">
        <is>
          <t>UPPSALA LÄN</t>
        </is>
      </c>
      <c r="E104" t="inlineStr">
        <is>
          <t>KNIVSTA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66305-2021</t>
        </is>
      </c>
      <c r="B105" s="1" t="n">
        <v>44518</v>
      </c>
      <c r="C105" s="1" t="n">
        <v>45294</v>
      </c>
      <c r="D105" t="inlineStr">
        <is>
          <t>UPPSALA LÄN</t>
        </is>
      </c>
      <c r="E105" t="inlineStr">
        <is>
          <t>KNIVSTA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70700-2021</t>
        </is>
      </c>
      <c r="B106" s="1" t="n">
        <v>44537</v>
      </c>
      <c r="C106" s="1" t="n">
        <v>45294</v>
      </c>
      <c r="D106" t="inlineStr">
        <is>
          <t>UPPSALA LÄN</t>
        </is>
      </c>
      <c r="E106" t="inlineStr">
        <is>
          <t>KNIVSTA</t>
        </is>
      </c>
      <c r="F106" t="inlineStr">
        <is>
          <t>Holmen skog AB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72471-2021</t>
        </is>
      </c>
      <c r="B107" s="1" t="n">
        <v>44545</v>
      </c>
      <c r="C107" s="1" t="n">
        <v>45294</v>
      </c>
      <c r="D107" t="inlineStr">
        <is>
          <t>UPPSALA LÄN</t>
        </is>
      </c>
      <c r="E107" t="inlineStr">
        <is>
          <t>KNIVSTA</t>
        </is>
      </c>
      <c r="F107" t="inlineStr">
        <is>
          <t>Holmen skog AB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72883-2021</t>
        </is>
      </c>
      <c r="B108" s="1" t="n">
        <v>44547</v>
      </c>
      <c r="C108" s="1" t="n">
        <v>45294</v>
      </c>
      <c r="D108" t="inlineStr">
        <is>
          <t>UPPSALA LÄN</t>
        </is>
      </c>
      <c r="E108" t="inlineStr">
        <is>
          <t>KNIVSTA</t>
        </is>
      </c>
      <c r="F108" t="inlineStr">
        <is>
          <t>Holmen skog AB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72885-2021</t>
        </is>
      </c>
      <c r="B109" s="1" t="n">
        <v>44547</v>
      </c>
      <c r="C109" s="1" t="n">
        <v>45294</v>
      </c>
      <c r="D109" t="inlineStr">
        <is>
          <t>UPPSALA LÄN</t>
        </is>
      </c>
      <c r="E109" t="inlineStr">
        <is>
          <t>KNIVSTA</t>
        </is>
      </c>
      <c r="F109" t="inlineStr">
        <is>
          <t>Holmen skog AB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72967-2021</t>
        </is>
      </c>
      <c r="B110" s="1" t="n">
        <v>44548</v>
      </c>
      <c r="C110" s="1" t="n">
        <v>45294</v>
      </c>
      <c r="D110" t="inlineStr">
        <is>
          <t>UPPSALA LÄN</t>
        </is>
      </c>
      <c r="E110" t="inlineStr">
        <is>
          <t>KNIVSTA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72966-2021</t>
        </is>
      </c>
      <c r="B111" s="1" t="n">
        <v>44548</v>
      </c>
      <c r="C111" s="1" t="n">
        <v>45294</v>
      </c>
      <c r="D111" t="inlineStr">
        <is>
          <t>UPPSALA LÄN</t>
        </is>
      </c>
      <c r="E111" t="inlineStr">
        <is>
          <t>KNIVSTA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73754-2021</t>
        </is>
      </c>
      <c r="B112" s="1" t="n">
        <v>44552</v>
      </c>
      <c r="C112" s="1" t="n">
        <v>45294</v>
      </c>
      <c r="D112" t="inlineStr">
        <is>
          <t>UPPSALA LÄN</t>
        </is>
      </c>
      <c r="E112" t="inlineStr">
        <is>
          <t>KNIVSTA</t>
        </is>
      </c>
      <c r="F112" t="inlineStr">
        <is>
          <t>Holmen skog AB</t>
        </is>
      </c>
      <c r="G112" t="n">
        <v>8.6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1323-2022</t>
        </is>
      </c>
      <c r="B113" s="1" t="n">
        <v>44572</v>
      </c>
      <c r="C113" s="1" t="n">
        <v>45294</v>
      </c>
      <c r="D113" t="inlineStr">
        <is>
          <t>UPPSALA LÄN</t>
        </is>
      </c>
      <c r="E113" t="inlineStr">
        <is>
          <t>KNIVSTA</t>
        </is>
      </c>
      <c r="F113" t="inlineStr">
        <is>
          <t>Holmen skog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8576-2022</t>
        </is>
      </c>
      <c r="B114" s="1" t="n">
        <v>44613</v>
      </c>
      <c r="C114" s="1" t="n">
        <v>45294</v>
      </c>
      <c r="D114" t="inlineStr">
        <is>
          <t>UPPSALA LÄN</t>
        </is>
      </c>
      <c r="E114" t="inlineStr">
        <is>
          <t>KNIVSTA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16773-2022</t>
        </is>
      </c>
      <c r="B115" s="1" t="n">
        <v>44673</v>
      </c>
      <c r="C115" s="1" t="n">
        <v>45294</v>
      </c>
      <c r="D115" t="inlineStr">
        <is>
          <t>UPPSALA LÄN</t>
        </is>
      </c>
      <c r="E115" t="inlineStr">
        <is>
          <t>KNIVSTA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16775-2022</t>
        </is>
      </c>
      <c r="B116" s="1" t="n">
        <v>44673</v>
      </c>
      <c r="C116" s="1" t="n">
        <v>45294</v>
      </c>
      <c r="D116" t="inlineStr">
        <is>
          <t>UPPSALA LÄN</t>
        </is>
      </c>
      <c r="E116" t="inlineStr">
        <is>
          <t>KNIVSTA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18258-2022</t>
        </is>
      </c>
      <c r="B117" s="1" t="n">
        <v>44685</v>
      </c>
      <c r="C117" s="1" t="n">
        <v>45294</v>
      </c>
      <c r="D117" t="inlineStr">
        <is>
          <t>UPPSALA LÄN</t>
        </is>
      </c>
      <c r="E117" t="inlineStr">
        <is>
          <t>KNIVSTA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18820-2022</t>
        </is>
      </c>
      <c r="B118" s="1" t="n">
        <v>44690</v>
      </c>
      <c r="C118" s="1" t="n">
        <v>45294</v>
      </c>
      <c r="D118" t="inlineStr">
        <is>
          <t>UPPSALA LÄN</t>
        </is>
      </c>
      <c r="E118" t="inlineStr">
        <is>
          <t>KNIVSTA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24132-2022</t>
        </is>
      </c>
      <c r="B119" s="1" t="n">
        <v>44725</v>
      </c>
      <c r="C119" s="1" t="n">
        <v>45294</v>
      </c>
      <c r="D119" t="inlineStr">
        <is>
          <t>UPPSALA LÄN</t>
        </is>
      </c>
      <c r="E119" t="inlineStr">
        <is>
          <t>KNIVSTA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26182-2022</t>
        </is>
      </c>
      <c r="B120" s="1" t="n">
        <v>44735</v>
      </c>
      <c r="C120" s="1" t="n">
        <v>45294</v>
      </c>
      <c r="D120" t="inlineStr">
        <is>
          <t>UPPSALA LÄN</t>
        </is>
      </c>
      <c r="E120" t="inlineStr">
        <is>
          <t>KNIVSTA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26239-2022</t>
        </is>
      </c>
      <c r="B121" s="1" t="n">
        <v>44735</v>
      </c>
      <c r="C121" s="1" t="n">
        <v>45294</v>
      </c>
      <c r="D121" t="inlineStr">
        <is>
          <t>UPPSALA LÄN</t>
        </is>
      </c>
      <c r="E121" t="inlineStr">
        <is>
          <t>KNIVSTA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30351-2022</t>
        </is>
      </c>
      <c r="B122" s="1" t="n">
        <v>44757</v>
      </c>
      <c r="C122" s="1" t="n">
        <v>45294</v>
      </c>
      <c r="D122" t="inlineStr">
        <is>
          <t>UPPSALA LÄN</t>
        </is>
      </c>
      <c r="E122" t="inlineStr">
        <is>
          <t>KNIVSTA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31875-2022</t>
        </is>
      </c>
      <c r="B123" s="1" t="n">
        <v>44777</v>
      </c>
      <c r="C123" s="1" t="n">
        <v>45294</v>
      </c>
      <c r="D123" t="inlineStr">
        <is>
          <t>UPPSALA LÄN</t>
        </is>
      </c>
      <c r="E123" t="inlineStr">
        <is>
          <t>KNIVSTA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34078-2022</t>
        </is>
      </c>
      <c r="B124" s="1" t="n">
        <v>44791</v>
      </c>
      <c r="C124" s="1" t="n">
        <v>45294</v>
      </c>
      <c r="D124" t="inlineStr">
        <is>
          <t>UPPSALA LÄN</t>
        </is>
      </c>
      <c r="E124" t="inlineStr">
        <is>
          <t>KNIVSTA</t>
        </is>
      </c>
      <c r="F124" t="inlineStr">
        <is>
          <t>Övriga statliga verk och myndigheter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45916-2022</t>
        </is>
      </c>
      <c r="B125" s="1" t="n">
        <v>44846</v>
      </c>
      <c r="C125" s="1" t="n">
        <v>45294</v>
      </c>
      <c r="D125" t="inlineStr">
        <is>
          <t>UPPSALA LÄN</t>
        </is>
      </c>
      <c r="E125" t="inlineStr">
        <is>
          <t>KNIVSTA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46149-2022</t>
        </is>
      </c>
      <c r="B126" s="1" t="n">
        <v>44847</v>
      </c>
      <c r="C126" s="1" t="n">
        <v>45294</v>
      </c>
      <c r="D126" t="inlineStr">
        <is>
          <t>UPPSALA LÄN</t>
        </is>
      </c>
      <c r="E126" t="inlineStr">
        <is>
          <t>KNIVSTA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5402-2023</t>
        </is>
      </c>
      <c r="B127" s="1" t="n">
        <v>44959</v>
      </c>
      <c r="C127" s="1" t="n">
        <v>45294</v>
      </c>
      <c r="D127" t="inlineStr">
        <is>
          <t>UPPSALA LÄN</t>
        </is>
      </c>
      <c r="E127" t="inlineStr">
        <is>
          <t>KNIVSTA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11191-2023</t>
        </is>
      </c>
      <c r="B128" s="1" t="n">
        <v>44987</v>
      </c>
      <c r="C128" s="1" t="n">
        <v>45294</v>
      </c>
      <c r="D128" t="inlineStr">
        <is>
          <t>UPPSALA LÄN</t>
        </is>
      </c>
      <c r="E128" t="inlineStr">
        <is>
          <t>KNIVSTA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10898-2023</t>
        </is>
      </c>
      <c r="B129" s="1" t="n">
        <v>44991</v>
      </c>
      <c r="C129" s="1" t="n">
        <v>45294</v>
      </c>
      <c r="D129" t="inlineStr">
        <is>
          <t>UPPSALA LÄN</t>
        </is>
      </c>
      <c r="E129" t="inlineStr">
        <is>
          <t>KNIVSTA</t>
        </is>
      </c>
      <c r="F129" t="inlineStr">
        <is>
          <t>Holmen skog AB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10914-2023</t>
        </is>
      </c>
      <c r="B130" s="1" t="n">
        <v>44991</v>
      </c>
      <c r="C130" s="1" t="n">
        <v>45294</v>
      </c>
      <c r="D130" t="inlineStr">
        <is>
          <t>UPPSALA LÄN</t>
        </is>
      </c>
      <c r="E130" t="inlineStr">
        <is>
          <t>KNIVSTA</t>
        </is>
      </c>
      <c r="F130" t="inlineStr">
        <is>
          <t>Holmen skog AB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11452-2023</t>
        </is>
      </c>
      <c r="B131" s="1" t="n">
        <v>44993</v>
      </c>
      <c r="C131" s="1" t="n">
        <v>45294</v>
      </c>
      <c r="D131" t="inlineStr">
        <is>
          <t>UPPSALA LÄN</t>
        </is>
      </c>
      <c r="E131" t="inlineStr">
        <is>
          <t>KNIVSTA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11450-2023</t>
        </is>
      </c>
      <c r="B132" s="1" t="n">
        <v>44993</v>
      </c>
      <c r="C132" s="1" t="n">
        <v>45294</v>
      </c>
      <c r="D132" t="inlineStr">
        <is>
          <t>UPPSALA LÄN</t>
        </is>
      </c>
      <c r="E132" t="inlineStr">
        <is>
          <t>KNIVSTA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11845-2023</t>
        </is>
      </c>
      <c r="B133" s="1" t="n">
        <v>44995</v>
      </c>
      <c r="C133" s="1" t="n">
        <v>45294</v>
      </c>
      <c r="D133" t="inlineStr">
        <is>
          <t>UPPSALA LÄN</t>
        </is>
      </c>
      <c r="E133" t="inlineStr">
        <is>
          <t>KNIVSTA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11847-2023</t>
        </is>
      </c>
      <c r="B134" s="1" t="n">
        <v>44995</v>
      </c>
      <c r="C134" s="1" t="n">
        <v>45294</v>
      </c>
      <c r="D134" t="inlineStr">
        <is>
          <t>UPPSALA LÄN</t>
        </is>
      </c>
      <c r="E134" t="inlineStr">
        <is>
          <t>KNIVSTA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11841-2023</t>
        </is>
      </c>
      <c r="B135" s="1" t="n">
        <v>44995</v>
      </c>
      <c r="C135" s="1" t="n">
        <v>45294</v>
      </c>
      <c r="D135" t="inlineStr">
        <is>
          <t>UPPSALA LÄN</t>
        </is>
      </c>
      <c r="E135" t="inlineStr">
        <is>
          <t>KNIVSTA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15441-2023</t>
        </is>
      </c>
      <c r="B136" s="1" t="n">
        <v>45016</v>
      </c>
      <c r="C136" s="1" t="n">
        <v>45294</v>
      </c>
      <c r="D136" t="inlineStr">
        <is>
          <t>UPPSALA LÄN</t>
        </is>
      </c>
      <c r="E136" t="inlineStr">
        <is>
          <t>KNIVSTA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16300-2023</t>
        </is>
      </c>
      <c r="B137" s="1" t="n">
        <v>45028</v>
      </c>
      <c r="C137" s="1" t="n">
        <v>45294</v>
      </c>
      <c r="D137" t="inlineStr">
        <is>
          <t>UPPSALA LÄN</t>
        </is>
      </c>
      <c r="E137" t="inlineStr">
        <is>
          <t>KNIVSTA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16310-2023</t>
        </is>
      </c>
      <c r="B138" s="1" t="n">
        <v>45028</v>
      </c>
      <c r="C138" s="1" t="n">
        <v>45294</v>
      </c>
      <c r="D138" t="inlineStr">
        <is>
          <t>UPPSALA LÄN</t>
        </is>
      </c>
      <c r="E138" t="inlineStr">
        <is>
          <t>KNIVSTA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16305-2023</t>
        </is>
      </c>
      <c r="B139" s="1" t="n">
        <v>45028</v>
      </c>
      <c r="C139" s="1" t="n">
        <v>45294</v>
      </c>
      <c r="D139" t="inlineStr">
        <is>
          <t>UPPSALA LÄN</t>
        </is>
      </c>
      <c r="E139" t="inlineStr">
        <is>
          <t>KNIVSTA</t>
        </is>
      </c>
      <c r="G139" t="n">
        <v>7.2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16639-2023</t>
        </is>
      </c>
      <c r="B140" s="1" t="n">
        <v>45030</v>
      </c>
      <c r="C140" s="1" t="n">
        <v>45294</v>
      </c>
      <c r="D140" t="inlineStr">
        <is>
          <t>UPPSALA LÄN</t>
        </is>
      </c>
      <c r="E140" t="inlineStr">
        <is>
          <t>KNIVSTA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17091-2023</t>
        </is>
      </c>
      <c r="B141" s="1" t="n">
        <v>45034</v>
      </c>
      <c r="C141" s="1" t="n">
        <v>45294</v>
      </c>
      <c r="D141" t="inlineStr">
        <is>
          <t>UPPSALA LÄN</t>
        </is>
      </c>
      <c r="E141" t="inlineStr">
        <is>
          <t>KNIVSTA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17094-2023</t>
        </is>
      </c>
      <c r="B142" s="1" t="n">
        <v>45034</v>
      </c>
      <c r="C142" s="1" t="n">
        <v>45294</v>
      </c>
      <c r="D142" t="inlineStr">
        <is>
          <t>UPPSALA LÄN</t>
        </is>
      </c>
      <c r="E142" t="inlineStr">
        <is>
          <t>KNIVSTA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17101-2023</t>
        </is>
      </c>
      <c r="B143" s="1" t="n">
        <v>45034</v>
      </c>
      <c r="C143" s="1" t="n">
        <v>45294</v>
      </c>
      <c r="D143" t="inlineStr">
        <is>
          <t>UPPSALA LÄN</t>
        </is>
      </c>
      <c r="E143" t="inlineStr">
        <is>
          <t>KNIVSTA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23042-2023</t>
        </is>
      </c>
      <c r="B144" s="1" t="n">
        <v>45075</v>
      </c>
      <c r="C144" s="1" t="n">
        <v>45294</v>
      </c>
      <c r="D144" t="inlineStr">
        <is>
          <t>UPPSALA LÄN</t>
        </is>
      </c>
      <c r="E144" t="inlineStr">
        <is>
          <t>KNIVSTA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23239-2023</t>
        </is>
      </c>
      <c r="B145" s="1" t="n">
        <v>45075</v>
      </c>
      <c r="C145" s="1" t="n">
        <v>45294</v>
      </c>
      <c r="D145" t="inlineStr">
        <is>
          <t>UPPSALA LÄN</t>
        </is>
      </c>
      <c r="E145" t="inlineStr">
        <is>
          <t>KNIVSTA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23466-2023</t>
        </is>
      </c>
      <c r="B146" s="1" t="n">
        <v>45076</v>
      </c>
      <c r="C146" s="1" t="n">
        <v>45294</v>
      </c>
      <c r="D146" t="inlineStr">
        <is>
          <t>UPPSALA LÄN</t>
        </is>
      </c>
      <c r="E146" t="inlineStr">
        <is>
          <t>KNIVSTA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29220-2023</t>
        </is>
      </c>
      <c r="B147" s="1" t="n">
        <v>45097</v>
      </c>
      <c r="C147" s="1" t="n">
        <v>45294</v>
      </c>
      <c r="D147" t="inlineStr">
        <is>
          <t>UPPSALA LÄN</t>
        </is>
      </c>
      <c r="E147" t="inlineStr">
        <is>
          <t>KNIVSTA</t>
        </is>
      </c>
      <c r="G147" t="n">
        <v>21.3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30111-2023</t>
        </is>
      </c>
      <c r="B148" s="1" t="n">
        <v>45110</v>
      </c>
      <c r="C148" s="1" t="n">
        <v>45294</v>
      </c>
      <c r="D148" t="inlineStr">
        <is>
          <t>UPPSALA LÄN</t>
        </is>
      </c>
      <c r="E148" t="inlineStr">
        <is>
          <t>KNIVSTA</t>
        </is>
      </c>
      <c r="F148" t="inlineStr">
        <is>
          <t>Holmen skog AB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30128-2023</t>
        </is>
      </c>
      <c r="B149" s="1" t="n">
        <v>45110</v>
      </c>
      <c r="C149" s="1" t="n">
        <v>45294</v>
      </c>
      <c r="D149" t="inlineStr">
        <is>
          <t>UPPSALA LÄN</t>
        </is>
      </c>
      <c r="E149" t="inlineStr">
        <is>
          <t>KNIVSTA</t>
        </is>
      </c>
      <c r="F149" t="inlineStr">
        <is>
          <t>Holmen skog AB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30167-2023</t>
        </is>
      </c>
      <c r="B150" s="1" t="n">
        <v>45110</v>
      </c>
      <c r="C150" s="1" t="n">
        <v>45294</v>
      </c>
      <c r="D150" t="inlineStr">
        <is>
          <t>UPPSALA LÄN</t>
        </is>
      </c>
      <c r="E150" t="inlineStr">
        <is>
          <t>KNIVSTA</t>
        </is>
      </c>
      <c r="F150" t="inlineStr">
        <is>
          <t>Holmen skog AB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30178-2023</t>
        </is>
      </c>
      <c r="B151" s="1" t="n">
        <v>45110</v>
      </c>
      <c r="C151" s="1" t="n">
        <v>45294</v>
      </c>
      <c r="D151" t="inlineStr">
        <is>
          <t>UPPSALA LÄN</t>
        </is>
      </c>
      <c r="E151" t="inlineStr">
        <is>
          <t>KNIVSTA</t>
        </is>
      </c>
      <c r="F151" t="inlineStr">
        <is>
          <t>Holmen skog AB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30693-2023</t>
        </is>
      </c>
      <c r="B152" s="1" t="n">
        <v>45112</v>
      </c>
      <c r="C152" s="1" t="n">
        <v>45294</v>
      </c>
      <c r="D152" t="inlineStr">
        <is>
          <t>UPPSALA LÄN</t>
        </is>
      </c>
      <c r="E152" t="inlineStr">
        <is>
          <t>KNIVSTA</t>
        </is>
      </c>
      <c r="F152" t="inlineStr">
        <is>
          <t>Holmen skog AB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30719-2023</t>
        </is>
      </c>
      <c r="B153" s="1" t="n">
        <v>45112</v>
      </c>
      <c r="C153" s="1" t="n">
        <v>45294</v>
      </c>
      <c r="D153" t="inlineStr">
        <is>
          <t>UPPSALA LÄN</t>
        </is>
      </c>
      <c r="E153" t="inlineStr">
        <is>
          <t>KNIVSTA</t>
        </is>
      </c>
      <c r="F153" t="inlineStr">
        <is>
          <t>Holmen skog AB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30627-2023</t>
        </is>
      </c>
      <c r="B154" s="1" t="n">
        <v>45112</v>
      </c>
      <c r="C154" s="1" t="n">
        <v>45294</v>
      </c>
      <c r="D154" t="inlineStr">
        <is>
          <t>UPPSALA LÄN</t>
        </is>
      </c>
      <c r="E154" t="inlineStr">
        <is>
          <t>KNIVSTA</t>
        </is>
      </c>
      <c r="F154" t="inlineStr">
        <is>
          <t>Holmen skog AB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30764-2023</t>
        </is>
      </c>
      <c r="B155" s="1" t="n">
        <v>45112</v>
      </c>
      <c r="C155" s="1" t="n">
        <v>45294</v>
      </c>
      <c r="D155" t="inlineStr">
        <is>
          <t>UPPSALA LÄN</t>
        </is>
      </c>
      <c r="E155" t="inlineStr">
        <is>
          <t>KNIVSTA</t>
        </is>
      </c>
      <c r="F155" t="inlineStr">
        <is>
          <t>Holmen skog AB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32654-2023</t>
        </is>
      </c>
      <c r="B156" s="1" t="n">
        <v>45121</v>
      </c>
      <c r="C156" s="1" t="n">
        <v>45294</v>
      </c>
      <c r="D156" t="inlineStr">
        <is>
          <t>UPPSALA LÄN</t>
        </is>
      </c>
      <c r="E156" t="inlineStr">
        <is>
          <t>KNIVSTA</t>
        </is>
      </c>
      <c r="F156" t="inlineStr">
        <is>
          <t>Holmen skog AB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32658-2023</t>
        </is>
      </c>
      <c r="B157" s="1" t="n">
        <v>45121</v>
      </c>
      <c r="C157" s="1" t="n">
        <v>45294</v>
      </c>
      <c r="D157" t="inlineStr">
        <is>
          <t>UPPSALA LÄN</t>
        </is>
      </c>
      <c r="E157" t="inlineStr">
        <is>
          <t>KNIVSTA</t>
        </is>
      </c>
      <c r="F157" t="inlineStr">
        <is>
          <t>Holmen skog AB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32663-2023</t>
        </is>
      </c>
      <c r="B158" s="1" t="n">
        <v>45121</v>
      </c>
      <c r="C158" s="1" t="n">
        <v>45294</v>
      </c>
      <c r="D158" t="inlineStr">
        <is>
          <t>UPPSALA LÄN</t>
        </is>
      </c>
      <c r="E158" t="inlineStr">
        <is>
          <t>KNIVSTA</t>
        </is>
      </c>
      <c r="F158" t="inlineStr">
        <is>
          <t>Holmen skog AB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33776-2023</t>
        </is>
      </c>
      <c r="B159" s="1" t="n">
        <v>45133</v>
      </c>
      <c r="C159" s="1" t="n">
        <v>45294</v>
      </c>
      <c r="D159" t="inlineStr">
        <is>
          <t>UPPSALA LÄN</t>
        </is>
      </c>
      <c r="E159" t="inlineStr">
        <is>
          <t>KNIVSTA</t>
        </is>
      </c>
      <c r="F159" t="inlineStr">
        <is>
          <t>Holmen skog AB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33777-2023</t>
        </is>
      </c>
      <c r="B160" s="1" t="n">
        <v>45133</v>
      </c>
      <c r="C160" s="1" t="n">
        <v>45294</v>
      </c>
      <c r="D160" t="inlineStr">
        <is>
          <t>UPPSALA LÄN</t>
        </is>
      </c>
      <c r="E160" t="inlineStr">
        <is>
          <t>KNIVSTA</t>
        </is>
      </c>
      <c r="F160" t="inlineStr">
        <is>
          <t>Holmen skog AB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38584-2023</t>
        </is>
      </c>
      <c r="B161" s="1" t="n">
        <v>45162</v>
      </c>
      <c r="C161" s="1" t="n">
        <v>45294</v>
      </c>
      <c r="D161" t="inlineStr">
        <is>
          <t>UPPSALA LÄN</t>
        </is>
      </c>
      <c r="E161" t="inlineStr">
        <is>
          <t>KNIVSTA</t>
        </is>
      </c>
      <c r="F161" t="inlineStr">
        <is>
          <t>Holmen skog AB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40024-2023</t>
        </is>
      </c>
      <c r="B162" s="1" t="n">
        <v>45167</v>
      </c>
      <c r="C162" s="1" t="n">
        <v>45294</v>
      </c>
      <c r="D162" t="inlineStr">
        <is>
          <t>UPPSALA LÄN</t>
        </is>
      </c>
      <c r="E162" t="inlineStr">
        <is>
          <t>KNIVSTA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43699-2023</t>
        </is>
      </c>
      <c r="B163" s="1" t="n">
        <v>45187</v>
      </c>
      <c r="C163" s="1" t="n">
        <v>45294</v>
      </c>
      <c r="D163" t="inlineStr">
        <is>
          <t>UPPSALA LÄN</t>
        </is>
      </c>
      <c r="E163" t="inlineStr">
        <is>
          <t>KNIVSTA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43905-2023</t>
        </is>
      </c>
      <c r="B164" s="1" t="n">
        <v>45187</v>
      </c>
      <c r="C164" s="1" t="n">
        <v>45294</v>
      </c>
      <c r="D164" t="inlineStr">
        <is>
          <t>UPPSALA LÄN</t>
        </is>
      </c>
      <c r="E164" t="inlineStr">
        <is>
          <t>KNIVSTA</t>
        </is>
      </c>
      <c r="F164" t="inlineStr">
        <is>
          <t>Kyrkan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43908-2023</t>
        </is>
      </c>
      <c r="B165" s="1" t="n">
        <v>45187</v>
      </c>
      <c r="C165" s="1" t="n">
        <v>45294</v>
      </c>
      <c r="D165" t="inlineStr">
        <is>
          <t>UPPSALA LÄN</t>
        </is>
      </c>
      <c r="E165" t="inlineStr">
        <is>
          <t>KNIVSTA</t>
        </is>
      </c>
      <c r="F165" t="inlineStr">
        <is>
          <t>Kyrkan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45525-2023</t>
        </is>
      </c>
      <c r="B166" s="1" t="n">
        <v>45194</v>
      </c>
      <c r="C166" s="1" t="n">
        <v>45294</v>
      </c>
      <c r="D166" t="inlineStr">
        <is>
          <t>UPPSALA LÄN</t>
        </is>
      </c>
      <c r="E166" t="inlineStr">
        <is>
          <t>KNIVSTA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46160-2023</t>
        </is>
      </c>
      <c r="B167" s="1" t="n">
        <v>45196</v>
      </c>
      <c r="C167" s="1" t="n">
        <v>45294</v>
      </c>
      <c r="D167" t="inlineStr">
        <is>
          <t>UPPSALA LÄN</t>
        </is>
      </c>
      <c r="E167" t="inlineStr">
        <is>
          <t>KNIVSTA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48995-2023</t>
        </is>
      </c>
      <c r="B168" s="1" t="n">
        <v>45209</v>
      </c>
      <c r="C168" s="1" t="n">
        <v>45294</v>
      </c>
      <c r="D168" t="inlineStr">
        <is>
          <t>UPPSALA LÄN</t>
        </is>
      </c>
      <c r="E168" t="inlineStr">
        <is>
          <t>KNIVSTA</t>
        </is>
      </c>
      <c r="G168" t="n">
        <v>13.5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49894-2023</t>
        </is>
      </c>
      <c r="B169" s="1" t="n">
        <v>45213</v>
      </c>
      <c r="C169" s="1" t="n">
        <v>45294</v>
      </c>
      <c r="D169" t="inlineStr">
        <is>
          <t>UPPSALA LÄN</t>
        </is>
      </c>
      <c r="E169" t="inlineStr">
        <is>
          <t>KNIVSTA</t>
        </is>
      </c>
      <c r="G169" t="n">
        <v>17.8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49896-2023</t>
        </is>
      </c>
      <c r="B170" s="1" t="n">
        <v>45213</v>
      </c>
      <c r="C170" s="1" t="n">
        <v>45294</v>
      </c>
      <c r="D170" t="inlineStr">
        <is>
          <t>UPPSALA LÄN</t>
        </is>
      </c>
      <c r="E170" t="inlineStr">
        <is>
          <t>KNIVSTA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51622-2023</t>
        </is>
      </c>
      <c r="B171" s="1" t="n">
        <v>45222</v>
      </c>
      <c r="C171" s="1" t="n">
        <v>45294</v>
      </c>
      <c r="D171" t="inlineStr">
        <is>
          <t>UPPSALA LÄN</t>
        </is>
      </c>
      <c r="E171" t="inlineStr">
        <is>
          <t>KNIVSTA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51633-2023</t>
        </is>
      </c>
      <c r="B172" s="1" t="n">
        <v>45222</v>
      </c>
      <c r="C172" s="1" t="n">
        <v>45294</v>
      </c>
      <c r="D172" t="inlineStr">
        <is>
          <t>UPPSALA LÄN</t>
        </is>
      </c>
      <c r="E172" t="inlineStr">
        <is>
          <t>KNIVSTA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51849-2023</t>
        </is>
      </c>
      <c r="B173" s="1" t="n">
        <v>45223</v>
      </c>
      <c r="C173" s="1" t="n">
        <v>45294</v>
      </c>
      <c r="D173" t="inlineStr">
        <is>
          <t>UPPSALA LÄN</t>
        </is>
      </c>
      <c r="E173" t="inlineStr">
        <is>
          <t>KNIVSTA</t>
        </is>
      </c>
      <c r="G173" t="n">
        <v>16.3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56364-2023</t>
        </is>
      </c>
      <c r="B174" s="1" t="n">
        <v>45236</v>
      </c>
      <c r="C174" s="1" t="n">
        <v>45294</v>
      </c>
      <c r="D174" t="inlineStr">
        <is>
          <t>UPPSALA LÄN</t>
        </is>
      </c>
      <c r="E174" t="inlineStr">
        <is>
          <t>KNIVSTA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>
      <c r="A175" t="inlineStr">
        <is>
          <t>A 57351-2023</t>
        </is>
      </c>
      <c r="B175" s="1" t="n">
        <v>45245</v>
      </c>
      <c r="C175" s="1" t="n">
        <v>45294</v>
      </c>
      <c r="D175" t="inlineStr">
        <is>
          <t>UPPSALA LÄN</t>
        </is>
      </c>
      <c r="E175" t="inlineStr">
        <is>
          <t>KNIVSTA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2024-01-03T10:03:31Z</dcterms:created>
  <dcterms:modified xmlns:dcterms="http://purl.org/dc/terms/" xmlns:xsi="http://www.w3.org/2001/XMLSchema-instance" xsi:type="dcterms:W3CDTF">2024-01-03T10:03:31Z</dcterms:modified>
</cp:coreProperties>
</file>