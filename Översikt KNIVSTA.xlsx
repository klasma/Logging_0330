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46064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46064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46064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46064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46064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46064</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46064</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46064</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21831-2024</t>
        </is>
      </c>
      <c r="B10" s="1" t="n">
        <v>45442</v>
      </c>
      <c r="C10" s="1" t="n">
        <v>46064</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16973-2021</t>
        </is>
      </c>
      <c r="B11" s="1" t="n">
        <v>44295</v>
      </c>
      <c r="C11" s="1" t="n">
        <v>46064</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53813-2025</t>
        </is>
      </c>
      <c r="B12" s="1" t="n">
        <v>45960</v>
      </c>
      <c r="C12" s="1" t="n">
        <v>46064</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46064</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33770-2023</t>
        </is>
      </c>
      <c r="B14" s="1" t="n">
        <v>45133</v>
      </c>
      <c r="C14" s="1" t="n">
        <v>46064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46064</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2214-2026</t>
        </is>
      </c>
      <c r="B16" s="1" t="n">
        <v>46036</v>
      </c>
      <c r="C16" s="1" t="n">
        <v>46064</v>
      </c>
      <c r="D16" t="inlineStr">
        <is>
          <t>UPPSALA LÄN</t>
        </is>
      </c>
      <c r="E16" t="inlineStr">
        <is>
          <t>KNIVSTA</t>
        </is>
      </c>
      <c r="G16" t="n">
        <v>4.4</v>
      </c>
      <c r="H16" t="n">
        <v>0</v>
      </c>
      <c r="I16" t="n">
        <v>0</v>
      </c>
      <c r="J16" t="n">
        <v>1</v>
      </c>
      <c r="K16" t="n">
        <v>0</v>
      </c>
      <c r="L16" t="n">
        <v>0</v>
      </c>
      <c r="M16" t="n">
        <v>0</v>
      </c>
      <c r="N16" t="n">
        <v>0</v>
      </c>
      <c r="O16" t="n">
        <v>1</v>
      </c>
      <c r="P16" t="n">
        <v>0</v>
      </c>
      <c r="Q16" t="n">
        <v>1</v>
      </c>
      <c r="R16" s="2" t="inlineStr">
        <is>
          <t>Tallticka</t>
        </is>
      </c>
      <c r="S16">
        <f>HYPERLINK("https://klasma.github.io/Logging_0330/artfynd/A 2214-2026 artfynd.xlsx", "A 2214-2026")</f>
        <v/>
      </c>
      <c r="T16">
        <f>HYPERLINK("https://klasma.github.io/Logging_0330/kartor/A 2214-2026 karta.png", "A 2214-2026")</f>
        <v/>
      </c>
      <c r="U16">
        <f>HYPERLINK("https://klasma.github.io/Logging_0330/knärot/A 2214-2026 karta knärot.png", "A 2214-2026")</f>
        <v/>
      </c>
      <c r="V16">
        <f>HYPERLINK("https://klasma.github.io/Logging_0330/klagomål/A 2214-2026 FSC-klagomål.docx", "A 2214-2026")</f>
        <v/>
      </c>
      <c r="W16">
        <f>HYPERLINK("https://klasma.github.io/Logging_0330/klagomålsmail/A 2214-2026 FSC-klagomål mail.docx", "A 2214-2026")</f>
        <v/>
      </c>
      <c r="X16">
        <f>HYPERLINK("https://klasma.github.io/Logging_0330/tillsyn/A 2214-2026 tillsynsbegäran.docx", "A 2214-2026")</f>
        <v/>
      </c>
      <c r="Y16">
        <f>HYPERLINK("https://klasma.github.io/Logging_0330/tillsynsmail/A 2214-2026 tillsynsbegäran mail.docx", "A 2214-2026")</f>
        <v/>
      </c>
    </row>
    <row r="17" ht="15" customHeight="1">
      <c r="A17" t="inlineStr">
        <is>
          <t>A 11405-2025</t>
        </is>
      </c>
      <c r="B17" s="1" t="n">
        <v>45726</v>
      </c>
      <c r="C17" s="1" t="n">
        <v>46064</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16407-2025</t>
        </is>
      </c>
      <c r="B18" s="1" t="n">
        <v>45751.45120370371</v>
      </c>
      <c r="C18" s="1" t="n">
        <v>46064</v>
      </c>
      <c r="D18" t="inlineStr">
        <is>
          <t>UPPSALA LÄN</t>
        </is>
      </c>
      <c r="E18" t="inlineStr">
        <is>
          <t>KNIVSTA</t>
        </is>
      </c>
      <c r="G18" t="n">
        <v>1.1</v>
      </c>
      <c r="H18" t="n">
        <v>1</v>
      </c>
      <c r="I18" t="n">
        <v>0</v>
      </c>
      <c r="J18" t="n">
        <v>0</v>
      </c>
      <c r="K18" t="n">
        <v>0</v>
      </c>
      <c r="L18" t="n">
        <v>0</v>
      </c>
      <c r="M18" t="n">
        <v>0</v>
      </c>
      <c r="N18" t="n">
        <v>0</v>
      </c>
      <c r="O18" t="n">
        <v>0</v>
      </c>
      <c r="P18" t="n">
        <v>0</v>
      </c>
      <c r="Q18" t="n">
        <v>1</v>
      </c>
      <c r="R18" s="2" t="inlineStr">
        <is>
          <t>Blåsippa</t>
        </is>
      </c>
      <c r="S18">
        <f>HYPERLINK("https://klasma.github.io/Logging_0330/artfynd/A 16407-2025 artfynd.xlsx", "A 16407-2025")</f>
        <v/>
      </c>
      <c r="T18">
        <f>HYPERLINK("https://klasma.github.io/Logging_0330/kartor/A 16407-2025 karta.png", "A 16407-2025")</f>
        <v/>
      </c>
      <c r="V18">
        <f>HYPERLINK("https://klasma.github.io/Logging_0330/klagomål/A 16407-2025 FSC-klagomål.docx", "A 16407-2025")</f>
        <v/>
      </c>
      <c r="W18">
        <f>HYPERLINK("https://klasma.github.io/Logging_0330/klagomålsmail/A 16407-2025 FSC-klagomål mail.docx", "A 16407-2025")</f>
        <v/>
      </c>
      <c r="X18">
        <f>HYPERLINK("https://klasma.github.io/Logging_0330/tillsyn/A 16407-2025 tillsynsbegäran.docx", "A 16407-2025")</f>
        <v/>
      </c>
      <c r="Y18">
        <f>HYPERLINK("https://klasma.github.io/Logging_0330/tillsynsmail/A 16407-2025 tillsynsbegäran mail.docx", "A 16407-2025")</f>
        <v/>
      </c>
    </row>
    <row r="19" ht="15" customHeight="1">
      <c r="A19" t="inlineStr">
        <is>
          <t>A 9725-2021</t>
        </is>
      </c>
      <c r="B19" s="1" t="n">
        <v>44252</v>
      </c>
      <c r="C19" s="1" t="n">
        <v>46064</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46064</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46064</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46064</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46064</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46064</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46064</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46064</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46064</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46064</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46064</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46064</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46064</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46064</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46064</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46064</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46064</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46064</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46064</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46064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46064</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46064</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46064</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46064</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66305-2021</t>
        </is>
      </c>
      <c r="B43" s="1" t="n">
        <v>44518</v>
      </c>
      <c r="C43" s="1" t="n">
        <v>46064</v>
      </c>
      <c r="D43" t="inlineStr">
        <is>
          <t>UPPSALA LÄN</t>
        </is>
      </c>
      <c r="E43" t="inlineStr">
        <is>
          <t>KNIVSTA</t>
        </is>
      </c>
      <c r="G43" t="n">
        <v>8.300000000000001</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46064</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46064</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46064</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46064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30764-2023</t>
        </is>
      </c>
      <c r="B48" s="1" t="n">
        <v>45112</v>
      </c>
      <c r="C48" s="1" t="n">
        <v>46064</v>
      </c>
      <c r="D48" t="inlineStr">
        <is>
          <t>UPPSALA LÄN</t>
        </is>
      </c>
      <c r="E48" t="inlineStr">
        <is>
          <t>KNIVSTA</t>
        </is>
      </c>
      <c r="F48" t="inlineStr">
        <is>
          <t>Holmen skog AB</t>
        </is>
      </c>
      <c r="G48" t="n">
        <v>0.9</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46064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2171-2024</t>
        </is>
      </c>
      <c r="B50" s="1" t="n">
        <v>45309</v>
      </c>
      <c r="C50" s="1" t="n">
        <v>46064</v>
      </c>
      <c r="D50" t="inlineStr">
        <is>
          <t>UPPSALA LÄN</t>
        </is>
      </c>
      <c r="E50" t="inlineStr">
        <is>
          <t>KNIVSTA</t>
        </is>
      </c>
      <c r="F50" t="inlineStr">
        <is>
          <t>Holmen skog AB</t>
        </is>
      </c>
      <c r="G50" t="n">
        <v>3.3</v>
      </c>
      <c r="H50" t="n">
        <v>0</v>
      </c>
      <c r="I50" t="n">
        <v>0</v>
      </c>
      <c r="J50" t="n">
        <v>0</v>
      </c>
      <c r="K50" t="n">
        <v>0</v>
      </c>
      <c r="L50" t="n">
        <v>0</v>
      </c>
      <c r="M50" t="n">
        <v>0</v>
      </c>
      <c r="N50" t="n">
        <v>0</v>
      </c>
      <c r="O50" t="n">
        <v>0</v>
      </c>
      <c r="P50" t="n">
        <v>0</v>
      </c>
      <c r="Q50" t="n">
        <v>0</v>
      </c>
      <c r="R50" s="2" t="inlineStr"/>
    </row>
    <row r="51" ht="15" customHeight="1">
      <c r="A51" t="inlineStr">
        <is>
          <t>A 21130-2025</t>
        </is>
      </c>
      <c r="B51" s="1" t="n">
        <v>45778.35857638889</v>
      </c>
      <c r="C51" s="1" t="n">
        <v>46064</v>
      </c>
      <c r="D51" t="inlineStr">
        <is>
          <t>UPPSALA LÄN</t>
        </is>
      </c>
      <c r="E51" t="inlineStr">
        <is>
          <t>KNIVSTA</t>
        </is>
      </c>
      <c r="G51" t="n">
        <v>2.2</v>
      </c>
      <c r="H51" t="n">
        <v>0</v>
      </c>
      <c r="I51" t="n">
        <v>0</v>
      </c>
      <c r="J51" t="n">
        <v>0</v>
      </c>
      <c r="K51" t="n">
        <v>0</v>
      </c>
      <c r="L51" t="n">
        <v>0</v>
      </c>
      <c r="M51" t="n">
        <v>0</v>
      </c>
      <c r="N51" t="n">
        <v>0</v>
      </c>
      <c r="O51" t="n">
        <v>0</v>
      </c>
      <c r="P51" t="n">
        <v>0</v>
      </c>
      <c r="Q51" t="n">
        <v>0</v>
      </c>
      <c r="R51" s="2" t="inlineStr"/>
    </row>
    <row r="52" ht="15" customHeight="1">
      <c r="A52" t="inlineStr">
        <is>
          <t>A 794-2024</t>
        </is>
      </c>
      <c r="B52" s="1" t="n">
        <v>45300.58149305556</v>
      </c>
      <c r="C52" s="1" t="n">
        <v>46064</v>
      </c>
      <c r="D52" t="inlineStr">
        <is>
          <t>UPPSALA LÄN</t>
        </is>
      </c>
      <c r="E52" t="inlineStr">
        <is>
          <t>KNIVSTA</t>
        </is>
      </c>
      <c r="G52" t="n">
        <v>1.6</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46064</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11450-2023</t>
        </is>
      </c>
      <c r="B54" s="1" t="n">
        <v>44993</v>
      </c>
      <c r="C54" s="1" t="n">
        <v>46064</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45525-2023</t>
        </is>
      </c>
      <c r="B55" s="1" t="n">
        <v>45194</v>
      </c>
      <c r="C55" s="1" t="n">
        <v>46064</v>
      </c>
      <c r="D55" t="inlineStr">
        <is>
          <t>UPPSALA LÄN</t>
        </is>
      </c>
      <c r="E55" t="inlineStr">
        <is>
          <t>KNIVSTA</t>
        </is>
      </c>
      <c r="G55" t="n">
        <v>0.7</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46064</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20902-2024</t>
        </is>
      </c>
      <c r="B57" s="1" t="n">
        <v>45439.48104166667</v>
      </c>
      <c r="C57" s="1" t="n">
        <v>46064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46064</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26226-2025</t>
        </is>
      </c>
      <c r="B59" s="1" t="n">
        <v>45805.55829861111</v>
      </c>
      <c r="C59" s="1" t="n">
        <v>46064</v>
      </c>
      <c r="D59" t="inlineStr">
        <is>
          <t>UPPSALA LÄN</t>
        </is>
      </c>
      <c r="E59" t="inlineStr">
        <is>
          <t>KNIVSTA</t>
        </is>
      </c>
      <c r="G59" t="n">
        <v>9.1</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46064</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13040-2025</t>
        </is>
      </c>
      <c r="B61" s="1" t="n">
        <v>45734</v>
      </c>
      <c r="C61" s="1" t="n">
        <v>46064</v>
      </c>
      <c r="D61" t="inlineStr">
        <is>
          <t>UPPSALA LÄN</t>
        </is>
      </c>
      <c r="E61" t="inlineStr">
        <is>
          <t>KNIVSTA</t>
        </is>
      </c>
      <c r="F61" t="inlineStr">
        <is>
          <t>Allmännings- och besparingsskogar</t>
        </is>
      </c>
      <c r="G61" t="n">
        <v>1.6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46064</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60018-2024</t>
        </is>
      </c>
      <c r="B63" s="1" t="n">
        <v>45642</v>
      </c>
      <c r="C63" s="1" t="n">
        <v>46064</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28189-2025</t>
        </is>
      </c>
      <c r="B64" s="1" t="n">
        <v>45818.41357638889</v>
      </c>
      <c r="C64" s="1" t="n">
        <v>46064</v>
      </c>
      <c r="D64" t="inlineStr">
        <is>
          <t>UPPSALA LÄN</t>
        </is>
      </c>
      <c r="E64" t="inlineStr">
        <is>
          <t>KNIVSTA</t>
        </is>
      </c>
      <c r="G64" t="n">
        <v>7.6</v>
      </c>
      <c r="H64" t="n">
        <v>0</v>
      </c>
      <c r="I64" t="n">
        <v>0</v>
      </c>
      <c r="J64" t="n">
        <v>0</v>
      </c>
      <c r="K64" t="n">
        <v>0</v>
      </c>
      <c r="L64" t="n">
        <v>0</v>
      </c>
      <c r="M64" t="n">
        <v>0</v>
      </c>
      <c r="N64" t="n">
        <v>0</v>
      </c>
      <c r="O64" t="n">
        <v>0</v>
      </c>
      <c r="P64" t="n">
        <v>0</v>
      </c>
      <c r="Q64" t="n">
        <v>0</v>
      </c>
      <c r="R64" s="2" t="inlineStr"/>
    </row>
    <row r="65" ht="15" customHeight="1">
      <c r="A65" t="inlineStr">
        <is>
          <t>A 16396-2025</t>
        </is>
      </c>
      <c r="B65" s="1" t="n">
        <v>45751.44219907407</v>
      </c>
      <c r="C65" s="1" t="n">
        <v>46064</v>
      </c>
      <c r="D65" t="inlineStr">
        <is>
          <t>UPPSALA LÄN</t>
        </is>
      </c>
      <c r="E65" t="inlineStr">
        <is>
          <t>KNIVSTA</t>
        </is>
      </c>
      <c r="G65" t="n">
        <v>5.1</v>
      </c>
      <c r="H65" t="n">
        <v>0</v>
      </c>
      <c r="I65" t="n">
        <v>0</v>
      </c>
      <c r="J65" t="n">
        <v>0</v>
      </c>
      <c r="K65" t="n">
        <v>0</v>
      </c>
      <c r="L65" t="n">
        <v>0</v>
      </c>
      <c r="M65" t="n">
        <v>0</v>
      </c>
      <c r="N65" t="n">
        <v>0</v>
      </c>
      <c r="O65" t="n">
        <v>0</v>
      </c>
      <c r="P65" t="n">
        <v>0</v>
      </c>
      <c r="Q65" t="n">
        <v>0</v>
      </c>
      <c r="R65" s="2" t="inlineStr"/>
    </row>
    <row r="66" ht="15" customHeight="1">
      <c r="A66" t="inlineStr">
        <is>
          <t>A 47803-2025</t>
        </is>
      </c>
      <c r="B66" s="1" t="n">
        <v>45931</v>
      </c>
      <c r="C66" s="1" t="n">
        <v>46064</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46064</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46064</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33974-2025</t>
        </is>
      </c>
      <c r="B69" s="1" t="n">
        <v>45843.305625</v>
      </c>
      <c r="C69" s="1" t="n">
        <v>46064</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46064</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34859-2025</t>
        </is>
      </c>
      <c r="B71" s="1" t="n">
        <v>45849.43511574074</v>
      </c>
      <c r="C71" s="1" t="n">
        <v>46064</v>
      </c>
      <c r="D71" t="inlineStr">
        <is>
          <t>UPPSALA LÄN</t>
        </is>
      </c>
      <c r="E71" t="inlineStr">
        <is>
          <t>KNIVSTA</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34864-2025</t>
        </is>
      </c>
      <c r="B72" s="1" t="n">
        <v>45849.44028935185</v>
      </c>
      <c r="C72" s="1" t="n">
        <v>46064</v>
      </c>
      <c r="D72" t="inlineStr">
        <is>
          <t>UPPSALA LÄN</t>
        </is>
      </c>
      <c r="E72" t="inlineStr">
        <is>
          <t>KNIVSTA</t>
        </is>
      </c>
      <c r="F72" t="inlineStr">
        <is>
          <t>Holmen skog AB</t>
        </is>
      </c>
      <c r="G72" t="n">
        <v>1.3</v>
      </c>
      <c r="H72" t="n">
        <v>0</v>
      </c>
      <c r="I72" t="n">
        <v>0</v>
      </c>
      <c r="J72" t="n">
        <v>0</v>
      </c>
      <c r="K72" t="n">
        <v>0</v>
      </c>
      <c r="L72" t="n">
        <v>0</v>
      </c>
      <c r="M72" t="n">
        <v>0</v>
      </c>
      <c r="N72" t="n">
        <v>0</v>
      </c>
      <c r="O72" t="n">
        <v>0</v>
      </c>
      <c r="P72" t="n">
        <v>0</v>
      </c>
      <c r="Q72" t="n">
        <v>0</v>
      </c>
      <c r="R72" s="2" t="inlineStr"/>
    </row>
    <row r="73" ht="15" customHeight="1">
      <c r="A73" t="inlineStr">
        <is>
          <t>A 49090-2025</t>
        </is>
      </c>
      <c r="B73" s="1" t="n">
        <v>45937</v>
      </c>
      <c r="C73" s="1" t="n">
        <v>46064</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35318-2025</t>
        </is>
      </c>
      <c r="B74" s="1" t="n">
        <v>45854.47917824074</v>
      </c>
      <c r="C74" s="1" t="n">
        <v>46064</v>
      </c>
      <c r="D74" t="inlineStr">
        <is>
          <t>UPPSALA LÄN</t>
        </is>
      </c>
      <c r="E74" t="inlineStr">
        <is>
          <t>KNIVSTA</t>
        </is>
      </c>
      <c r="F74" t="inlineStr">
        <is>
          <t>Holmen skog AB</t>
        </is>
      </c>
      <c r="G74" t="n">
        <v>2.2</v>
      </c>
      <c r="H74" t="n">
        <v>0</v>
      </c>
      <c r="I74" t="n">
        <v>0</v>
      </c>
      <c r="J74" t="n">
        <v>0</v>
      </c>
      <c r="K74" t="n">
        <v>0</v>
      </c>
      <c r="L74" t="n">
        <v>0</v>
      </c>
      <c r="M74" t="n">
        <v>0</v>
      </c>
      <c r="N74" t="n">
        <v>0</v>
      </c>
      <c r="O74" t="n">
        <v>0</v>
      </c>
      <c r="P74" t="n">
        <v>0</v>
      </c>
      <c r="Q74" t="n">
        <v>0</v>
      </c>
      <c r="R74" s="2" t="inlineStr"/>
    </row>
    <row r="75" ht="15" customHeight="1">
      <c r="A75" t="inlineStr">
        <is>
          <t>A 36472-2025</t>
        </is>
      </c>
      <c r="B75" s="1" t="n">
        <v>45869.48162037037</v>
      </c>
      <c r="C75" s="1" t="n">
        <v>46064</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36473-2025</t>
        </is>
      </c>
      <c r="B76" s="1" t="n">
        <v>45869.48333333333</v>
      </c>
      <c r="C76" s="1" t="n">
        <v>46064</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36470-2025</t>
        </is>
      </c>
      <c r="B77" s="1" t="n">
        <v>45869.47915509259</v>
      </c>
      <c r="C77" s="1" t="n">
        <v>46064</v>
      </c>
      <c r="D77" t="inlineStr">
        <is>
          <t>UPPSALA LÄN</t>
        </is>
      </c>
      <c r="E77" t="inlineStr">
        <is>
          <t>KNIVSTA</t>
        </is>
      </c>
      <c r="G77" t="n">
        <v>3.6</v>
      </c>
      <c r="H77" t="n">
        <v>0</v>
      </c>
      <c r="I77" t="n">
        <v>0</v>
      </c>
      <c r="J77" t="n">
        <v>0</v>
      </c>
      <c r="K77" t="n">
        <v>0</v>
      </c>
      <c r="L77" t="n">
        <v>0</v>
      </c>
      <c r="M77" t="n">
        <v>0</v>
      </c>
      <c r="N77" t="n">
        <v>0</v>
      </c>
      <c r="O77" t="n">
        <v>0</v>
      </c>
      <c r="P77" t="n">
        <v>0</v>
      </c>
      <c r="Q77" t="n">
        <v>0</v>
      </c>
      <c r="R77" s="2" t="inlineStr"/>
    </row>
    <row r="78" ht="15" customHeight="1">
      <c r="A78" t="inlineStr">
        <is>
          <t>A 23239-2023</t>
        </is>
      </c>
      <c r="B78" s="1" t="n">
        <v>45075</v>
      </c>
      <c r="C78" s="1" t="n">
        <v>46064</v>
      </c>
      <c r="D78" t="inlineStr">
        <is>
          <t>UPPSALA LÄN</t>
        </is>
      </c>
      <c r="E78" t="inlineStr">
        <is>
          <t>KNIVSTA</t>
        </is>
      </c>
      <c r="G78" t="n">
        <v>1.8</v>
      </c>
      <c r="H78" t="n">
        <v>0</v>
      </c>
      <c r="I78" t="n">
        <v>0</v>
      </c>
      <c r="J78" t="n">
        <v>0</v>
      </c>
      <c r="K78" t="n">
        <v>0</v>
      </c>
      <c r="L78" t="n">
        <v>0</v>
      </c>
      <c r="M78" t="n">
        <v>0</v>
      </c>
      <c r="N78" t="n">
        <v>0</v>
      </c>
      <c r="O78" t="n">
        <v>0</v>
      </c>
      <c r="P78" t="n">
        <v>0</v>
      </c>
      <c r="Q78" t="n">
        <v>0</v>
      </c>
      <c r="R78" s="2" t="inlineStr"/>
    </row>
    <row r="79" ht="15" customHeight="1">
      <c r="A79" t="inlineStr">
        <is>
          <t>A 66284-2021</t>
        </is>
      </c>
      <c r="B79" s="1" t="n">
        <v>44518</v>
      </c>
      <c r="C79" s="1" t="n">
        <v>46064</v>
      </c>
      <c r="D79" t="inlineStr">
        <is>
          <t>UPPSALA LÄN</t>
        </is>
      </c>
      <c r="E79" t="inlineStr">
        <is>
          <t>KNIVSTA</t>
        </is>
      </c>
      <c r="G79" t="n">
        <v>6.9</v>
      </c>
      <c r="H79" t="n">
        <v>0</v>
      </c>
      <c r="I79" t="n">
        <v>0</v>
      </c>
      <c r="J79" t="n">
        <v>0</v>
      </c>
      <c r="K79" t="n">
        <v>0</v>
      </c>
      <c r="L79" t="n">
        <v>0</v>
      </c>
      <c r="M79" t="n">
        <v>0</v>
      </c>
      <c r="N79" t="n">
        <v>0</v>
      </c>
      <c r="O79" t="n">
        <v>0</v>
      </c>
      <c r="P79" t="n">
        <v>0</v>
      </c>
      <c r="Q79" t="n">
        <v>0</v>
      </c>
      <c r="R79" s="2" t="inlineStr"/>
    </row>
    <row r="80" ht="15" customHeight="1">
      <c r="A80" t="inlineStr">
        <is>
          <t>A 52666-2025</t>
        </is>
      </c>
      <c r="B80" s="1" t="n">
        <v>45955.74299768519</v>
      </c>
      <c r="C80" s="1" t="n">
        <v>46064</v>
      </c>
      <c r="D80" t="inlineStr">
        <is>
          <t>UPPSALA LÄN</t>
        </is>
      </c>
      <c r="E80" t="inlineStr">
        <is>
          <t>KNIVSTA</t>
        </is>
      </c>
      <c r="G80" t="n">
        <v>2.1</v>
      </c>
      <c r="H80" t="n">
        <v>0</v>
      </c>
      <c r="I80" t="n">
        <v>0</v>
      </c>
      <c r="J80" t="n">
        <v>0</v>
      </c>
      <c r="K80" t="n">
        <v>0</v>
      </c>
      <c r="L80" t="n">
        <v>0</v>
      </c>
      <c r="M80" t="n">
        <v>0</v>
      </c>
      <c r="N80" t="n">
        <v>0</v>
      </c>
      <c r="O80" t="n">
        <v>0</v>
      </c>
      <c r="P80" t="n">
        <v>0</v>
      </c>
      <c r="Q80" t="n">
        <v>0</v>
      </c>
      <c r="R80" s="2" t="inlineStr"/>
    </row>
    <row r="81" ht="15" customHeight="1">
      <c r="A81" t="inlineStr">
        <is>
          <t>A 52667-2025</t>
        </is>
      </c>
      <c r="B81" s="1" t="n">
        <v>45955.74666666667</v>
      </c>
      <c r="C81" s="1" t="n">
        <v>46064</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32975-2021</t>
        </is>
      </c>
      <c r="B82" s="1" t="n">
        <v>44376</v>
      </c>
      <c r="C82" s="1" t="n">
        <v>46064</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53898-2025</t>
        </is>
      </c>
      <c r="B83" s="1" t="n">
        <v>45961.43056712963</v>
      </c>
      <c r="C83" s="1" t="n">
        <v>46064</v>
      </c>
      <c r="D83" t="inlineStr">
        <is>
          <t>UPPSALA LÄN</t>
        </is>
      </c>
      <c r="E83" t="inlineStr">
        <is>
          <t>KNIVSTA</t>
        </is>
      </c>
      <c r="G83" t="n">
        <v>4.5</v>
      </c>
      <c r="H83" t="n">
        <v>0</v>
      </c>
      <c r="I83" t="n">
        <v>0</v>
      </c>
      <c r="J83" t="n">
        <v>0</v>
      </c>
      <c r="K83" t="n">
        <v>0</v>
      </c>
      <c r="L83" t="n">
        <v>0</v>
      </c>
      <c r="M83" t="n">
        <v>0</v>
      </c>
      <c r="N83" t="n">
        <v>0</v>
      </c>
      <c r="O83" t="n">
        <v>0</v>
      </c>
      <c r="P83" t="n">
        <v>0</v>
      </c>
      <c r="Q83" t="n">
        <v>0</v>
      </c>
      <c r="R83" s="2" t="inlineStr"/>
    </row>
    <row r="84" ht="15" customHeight="1">
      <c r="A84" t="inlineStr">
        <is>
          <t>A 57631-2025</t>
        </is>
      </c>
      <c r="B84" s="1" t="n">
        <v>45981.34748842593</v>
      </c>
      <c r="C84" s="1" t="n">
        <v>46064</v>
      </c>
      <c r="D84" t="inlineStr">
        <is>
          <t>UPPSALA LÄN</t>
        </is>
      </c>
      <c r="E84" t="inlineStr">
        <is>
          <t>KNIVSTA</t>
        </is>
      </c>
      <c r="G84" t="n">
        <v>3.4</v>
      </c>
      <c r="H84" t="n">
        <v>0</v>
      </c>
      <c r="I84" t="n">
        <v>0</v>
      </c>
      <c r="J84" t="n">
        <v>0</v>
      </c>
      <c r="K84" t="n">
        <v>0</v>
      </c>
      <c r="L84" t="n">
        <v>0</v>
      </c>
      <c r="M84" t="n">
        <v>0</v>
      </c>
      <c r="N84" t="n">
        <v>0</v>
      </c>
      <c r="O84" t="n">
        <v>0</v>
      </c>
      <c r="P84" t="n">
        <v>0</v>
      </c>
      <c r="Q84" t="n">
        <v>0</v>
      </c>
      <c r="R84" s="2" t="inlineStr"/>
    </row>
    <row r="85" ht="15" customHeight="1">
      <c r="A85" t="inlineStr">
        <is>
          <t>A 11847-2023</t>
        </is>
      </c>
      <c r="B85" s="1" t="n">
        <v>44995.33957175926</v>
      </c>
      <c r="C85" s="1" t="n">
        <v>46064</v>
      </c>
      <c r="D85" t="inlineStr">
        <is>
          <t>UPPSALA LÄN</t>
        </is>
      </c>
      <c r="E85" t="inlineStr">
        <is>
          <t>KNIVSTA</t>
        </is>
      </c>
      <c r="G85" t="n">
        <v>2.1</v>
      </c>
      <c r="H85" t="n">
        <v>0</v>
      </c>
      <c r="I85" t="n">
        <v>0</v>
      </c>
      <c r="J85" t="n">
        <v>0</v>
      </c>
      <c r="K85" t="n">
        <v>0</v>
      </c>
      <c r="L85" t="n">
        <v>0</v>
      </c>
      <c r="M85" t="n">
        <v>0</v>
      </c>
      <c r="N85" t="n">
        <v>0</v>
      </c>
      <c r="O85" t="n">
        <v>0</v>
      </c>
      <c r="P85" t="n">
        <v>0</v>
      </c>
      <c r="Q85" t="n">
        <v>0</v>
      </c>
      <c r="R85" s="2" t="inlineStr"/>
    </row>
    <row r="86" ht="15" customHeight="1">
      <c r="A86" t="inlineStr">
        <is>
          <t>A 662-2026</t>
        </is>
      </c>
      <c r="B86" s="1" t="n">
        <v>46029.58549768518</v>
      </c>
      <c r="C86" s="1" t="n">
        <v>46064</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666-2026</t>
        </is>
      </c>
      <c r="B87" s="1" t="n">
        <v>46029.58832175926</v>
      </c>
      <c r="C87" s="1" t="n">
        <v>46064</v>
      </c>
      <c r="D87" t="inlineStr">
        <is>
          <t>UPPSALA LÄN</t>
        </is>
      </c>
      <c r="E87" t="inlineStr">
        <is>
          <t>KNIVSTA</t>
        </is>
      </c>
      <c r="G87" t="n">
        <v>1.8</v>
      </c>
      <c r="H87" t="n">
        <v>0</v>
      </c>
      <c r="I87" t="n">
        <v>0</v>
      </c>
      <c r="J87" t="n">
        <v>0</v>
      </c>
      <c r="K87" t="n">
        <v>0</v>
      </c>
      <c r="L87" t="n">
        <v>0</v>
      </c>
      <c r="M87" t="n">
        <v>0</v>
      </c>
      <c r="N87" t="n">
        <v>0</v>
      </c>
      <c r="O87" t="n">
        <v>0</v>
      </c>
      <c r="P87" t="n">
        <v>0</v>
      </c>
      <c r="Q87" t="n">
        <v>0</v>
      </c>
      <c r="R87" s="2" t="inlineStr"/>
    </row>
    <row r="88" ht="15" customHeight="1">
      <c r="A88" t="inlineStr">
        <is>
          <t>A 53812-2025</t>
        </is>
      </c>
      <c r="B88" s="1" t="n">
        <v>45960</v>
      </c>
      <c r="C88" s="1" t="n">
        <v>46064</v>
      </c>
      <c r="D88" t="inlineStr">
        <is>
          <t>UPPSALA LÄN</t>
        </is>
      </c>
      <c r="E88" t="inlineStr">
        <is>
          <t>KNIVSTA</t>
        </is>
      </c>
      <c r="G88" t="n">
        <v>5.8</v>
      </c>
      <c r="H88" t="n">
        <v>0</v>
      </c>
      <c r="I88" t="n">
        <v>0</v>
      </c>
      <c r="J88" t="n">
        <v>0</v>
      </c>
      <c r="K88" t="n">
        <v>0</v>
      </c>
      <c r="L88" t="n">
        <v>0</v>
      </c>
      <c r="M88" t="n">
        <v>0</v>
      </c>
      <c r="N88" t="n">
        <v>0</v>
      </c>
      <c r="O88" t="n">
        <v>0</v>
      </c>
      <c r="P88" t="n">
        <v>0</v>
      </c>
      <c r="Q88" t="n">
        <v>0</v>
      </c>
      <c r="R88" s="2" t="inlineStr"/>
    </row>
    <row r="89" ht="15" customHeight="1">
      <c r="A89" t="inlineStr">
        <is>
          <t>A 60243-2025</t>
        </is>
      </c>
      <c r="B89" s="1" t="n">
        <v>45994.58650462963</v>
      </c>
      <c r="C89" s="1" t="n">
        <v>46064</v>
      </c>
      <c r="D89" t="inlineStr">
        <is>
          <t>UPPSALA LÄN</t>
        </is>
      </c>
      <c r="E89" t="inlineStr">
        <is>
          <t>KNIVSTA</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3015-2026</t>
        </is>
      </c>
      <c r="B90" s="1" t="n">
        <v>46038</v>
      </c>
      <c r="C90" s="1" t="n">
        <v>46064</v>
      </c>
      <c r="D90" t="inlineStr">
        <is>
          <t>UPPSALA LÄN</t>
        </is>
      </c>
      <c r="E90" t="inlineStr">
        <is>
          <t>KNIVSTA</t>
        </is>
      </c>
      <c r="G90" t="n">
        <v>1.5</v>
      </c>
      <c r="H90" t="n">
        <v>0</v>
      </c>
      <c r="I90" t="n">
        <v>0</v>
      </c>
      <c r="J90" t="n">
        <v>0</v>
      </c>
      <c r="K90" t="n">
        <v>0</v>
      </c>
      <c r="L90" t="n">
        <v>0</v>
      </c>
      <c r="M90" t="n">
        <v>0</v>
      </c>
      <c r="N90" t="n">
        <v>0</v>
      </c>
      <c r="O90" t="n">
        <v>0</v>
      </c>
      <c r="P90" t="n">
        <v>0</v>
      </c>
      <c r="Q90" t="n">
        <v>0</v>
      </c>
      <c r="R90" s="2" t="inlineStr"/>
    </row>
    <row r="91" ht="15" customHeight="1">
      <c r="A91" t="inlineStr">
        <is>
          <t>A 3016-2026</t>
        </is>
      </c>
      <c r="B91" s="1" t="n">
        <v>46038</v>
      </c>
      <c r="C91" s="1" t="n">
        <v>46064</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2952-2026</t>
        </is>
      </c>
      <c r="B92" s="1" t="n">
        <v>46037</v>
      </c>
      <c r="C92" s="1" t="n">
        <v>46064</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3375-2026</t>
        </is>
      </c>
      <c r="B93" s="1" t="n">
        <v>46042</v>
      </c>
      <c r="C93" s="1" t="n">
        <v>46064</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3836-2026</t>
        </is>
      </c>
      <c r="B94" s="1" t="n">
        <v>46043.5925</v>
      </c>
      <c r="C94" s="1" t="n">
        <v>46064</v>
      </c>
      <c r="D94" t="inlineStr">
        <is>
          <t>UPPSALA LÄN</t>
        </is>
      </c>
      <c r="E94" t="inlineStr">
        <is>
          <t>KNIVSTA</t>
        </is>
      </c>
      <c r="G94" t="n">
        <v>3.7</v>
      </c>
      <c r="H94" t="n">
        <v>0</v>
      </c>
      <c r="I94" t="n">
        <v>0</v>
      </c>
      <c r="J94" t="n">
        <v>0</v>
      </c>
      <c r="K94" t="n">
        <v>0</v>
      </c>
      <c r="L94" t="n">
        <v>0</v>
      </c>
      <c r="M94" t="n">
        <v>0</v>
      </c>
      <c r="N94" t="n">
        <v>0</v>
      </c>
      <c r="O94" t="n">
        <v>0</v>
      </c>
      <c r="P94" t="n">
        <v>0</v>
      </c>
      <c r="Q94" t="n">
        <v>0</v>
      </c>
      <c r="R94" s="2" t="inlineStr"/>
    </row>
    <row r="95" ht="15" customHeight="1">
      <c r="A95" t="inlineStr">
        <is>
          <t>A 3824-2026</t>
        </is>
      </c>
      <c r="B95" s="1" t="n">
        <v>46043.58570601852</v>
      </c>
      <c r="C95" s="1" t="n">
        <v>46064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30351-2022</t>
        </is>
      </c>
      <c r="B96" s="1" t="n">
        <v>44757</v>
      </c>
      <c r="C96" s="1" t="n">
        <v>46064</v>
      </c>
      <c r="D96" t="inlineStr">
        <is>
          <t>UPPSALA LÄN</t>
        </is>
      </c>
      <c r="E96" t="inlineStr">
        <is>
          <t>KNIVSTA</t>
        </is>
      </c>
      <c r="G96" t="n">
        <v>5.7</v>
      </c>
      <c r="H96" t="n">
        <v>0</v>
      </c>
      <c r="I96" t="n">
        <v>0</v>
      </c>
      <c r="J96" t="n">
        <v>0</v>
      </c>
      <c r="K96" t="n">
        <v>0</v>
      </c>
      <c r="L96" t="n">
        <v>0</v>
      </c>
      <c r="M96" t="n">
        <v>0</v>
      </c>
      <c r="N96" t="n">
        <v>0</v>
      </c>
      <c r="O96" t="n">
        <v>0</v>
      </c>
      <c r="P96" t="n">
        <v>0</v>
      </c>
      <c r="Q96" t="n">
        <v>0</v>
      </c>
      <c r="R96" s="2" t="inlineStr"/>
    </row>
    <row r="97" ht="15" customHeight="1">
      <c r="A97" t="inlineStr">
        <is>
          <t>A 3191-2024</t>
        </is>
      </c>
      <c r="B97" s="1" t="n">
        <v>45316.67186342592</v>
      </c>
      <c r="C97" s="1" t="n">
        <v>46064</v>
      </c>
      <c r="D97" t="inlineStr">
        <is>
          <t>UPPSALA LÄN</t>
        </is>
      </c>
      <c r="E97" t="inlineStr">
        <is>
          <t>KNIVSTA</t>
        </is>
      </c>
      <c r="G97" t="n">
        <v>0.6</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46064</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5276-2026</t>
        </is>
      </c>
      <c r="B99" s="1" t="n">
        <v>46037</v>
      </c>
      <c r="C99" s="1" t="n">
        <v>46064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51849-2023</t>
        </is>
      </c>
      <c r="B100" s="1" t="n">
        <v>45223.34391203704</v>
      </c>
      <c r="C100" s="1" t="n">
        <v>46064</v>
      </c>
      <c r="D100" t="inlineStr">
        <is>
          <t>UPPSALA LÄN</t>
        </is>
      </c>
      <c r="E100" t="inlineStr">
        <is>
          <t>KNIVSTA</t>
        </is>
      </c>
      <c r="G100" t="n">
        <v>16.3</v>
      </c>
      <c r="H100" t="n">
        <v>0</v>
      </c>
      <c r="I100" t="n">
        <v>0</v>
      </c>
      <c r="J100" t="n">
        <v>0</v>
      </c>
      <c r="K100" t="n">
        <v>0</v>
      </c>
      <c r="L100" t="n">
        <v>0</v>
      </c>
      <c r="M100" t="n">
        <v>0</v>
      </c>
      <c r="N100" t="n">
        <v>0</v>
      </c>
      <c r="O100" t="n">
        <v>0</v>
      </c>
      <c r="P100" t="n">
        <v>0</v>
      </c>
      <c r="Q100" t="n">
        <v>0</v>
      </c>
      <c r="R100" s="2" t="inlineStr"/>
    </row>
    <row r="101" ht="15" customHeight="1">
      <c r="A101" t="inlineStr">
        <is>
          <t>A 2944-2026</t>
        </is>
      </c>
      <c r="B101" s="1" t="n">
        <v>46037</v>
      </c>
      <c r="C101" s="1" t="n">
        <v>46064</v>
      </c>
      <c r="D101" t="inlineStr">
        <is>
          <t>UPPSALA LÄN</t>
        </is>
      </c>
      <c r="E101" t="inlineStr">
        <is>
          <t>KNIVSTA</t>
        </is>
      </c>
      <c r="G101" t="n">
        <v>4.7</v>
      </c>
      <c r="H101" t="n">
        <v>0</v>
      </c>
      <c r="I101" t="n">
        <v>0</v>
      </c>
      <c r="J101" t="n">
        <v>0</v>
      </c>
      <c r="K101" t="n">
        <v>0</v>
      </c>
      <c r="L101" t="n">
        <v>0</v>
      </c>
      <c r="M101" t="n">
        <v>0</v>
      </c>
      <c r="N101" t="n">
        <v>0</v>
      </c>
      <c r="O101" t="n">
        <v>0</v>
      </c>
      <c r="P101" t="n">
        <v>0</v>
      </c>
      <c r="Q101" t="n">
        <v>0</v>
      </c>
      <c r="R101" s="2" t="inlineStr"/>
    </row>
    <row r="102" ht="15" customHeight="1">
      <c r="A102" t="inlineStr">
        <is>
          <t>A 5908-2026</t>
        </is>
      </c>
      <c r="B102" s="1" t="n">
        <v>46052.44399305555</v>
      </c>
      <c r="C102" s="1" t="n">
        <v>46064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5402-2023</t>
        </is>
      </c>
      <c r="B103" s="1" t="n">
        <v>44959</v>
      </c>
      <c r="C103" s="1" t="n">
        <v>46064</v>
      </c>
      <c r="D103" t="inlineStr">
        <is>
          <t>UPPSALA LÄN</t>
        </is>
      </c>
      <c r="E103" t="inlineStr">
        <is>
          <t>KNIVSTA</t>
        </is>
      </c>
      <c r="G103" t="n">
        <v>4.3</v>
      </c>
      <c r="H103" t="n">
        <v>0</v>
      </c>
      <c r="I103" t="n">
        <v>0</v>
      </c>
      <c r="J103" t="n">
        <v>0</v>
      </c>
      <c r="K103" t="n">
        <v>0</v>
      </c>
      <c r="L103" t="n">
        <v>0</v>
      </c>
      <c r="M103" t="n">
        <v>0</v>
      </c>
      <c r="N103" t="n">
        <v>0</v>
      </c>
      <c r="O103" t="n">
        <v>0</v>
      </c>
      <c r="P103" t="n">
        <v>0</v>
      </c>
      <c r="Q103" t="n">
        <v>0</v>
      </c>
      <c r="R103" s="2" t="inlineStr"/>
    </row>
    <row r="104" ht="15" customHeight="1">
      <c r="A104" t="inlineStr">
        <is>
          <t>A 5910-2026</t>
        </is>
      </c>
      <c r="B104" s="1" t="n">
        <v>46052.44677083333</v>
      </c>
      <c r="C104" s="1" t="n">
        <v>46064</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66293-2021</t>
        </is>
      </c>
      <c r="B105" s="1" t="n">
        <v>44518</v>
      </c>
      <c r="C105" s="1" t="n">
        <v>46064</v>
      </c>
      <c r="D105" t="inlineStr">
        <is>
          <t>UPPSALA LÄN</t>
        </is>
      </c>
      <c r="E105" t="inlineStr">
        <is>
          <t>KNIVSTA</t>
        </is>
      </c>
      <c r="G105" t="n">
        <v>2.6</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46064</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2629-2025</t>
        </is>
      </c>
      <c r="B107" s="1" t="n">
        <v>45675.6953587963</v>
      </c>
      <c r="C107" s="1" t="n">
        <v>46064</v>
      </c>
      <c r="D107" t="inlineStr">
        <is>
          <t>UPPSALA LÄN</t>
        </is>
      </c>
      <c r="E107" t="inlineStr">
        <is>
          <t>KNIVSTA</t>
        </is>
      </c>
      <c r="G107" t="n">
        <v>1.1</v>
      </c>
      <c r="H107" t="n">
        <v>0</v>
      </c>
      <c r="I107" t="n">
        <v>0</v>
      </c>
      <c r="J107" t="n">
        <v>0</v>
      </c>
      <c r="K107" t="n">
        <v>0</v>
      </c>
      <c r="L107" t="n">
        <v>0</v>
      </c>
      <c r="M107" t="n">
        <v>0</v>
      </c>
      <c r="N107" t="n">
        <v>0</v>
      </c>
      <c r="O107" t="n">
        <v>0</v>
      </c>
      <c r="P107" t="n">
        <v>0</v>
      </c>
      <c r="Q107" t="n">
        <v>0</v>
      </c>
      <c r="R107" s="2" t="inlineStr"/>
    </row>
    <row r="108" ht="15" customHeight="1">
      <c r="A108" t="inlineStr">
        <is>
          <t>A 5320-2023</t>
        </is>
      </c>
      <c r="B108" s="1" t="n">
        <v>44959</v>
      </c>
      <c r="C108" s="1" t="n">
        <v>46064</v>
      </c>
      <c r="D108" t="inlineStr">
        <is>
          <t>UPPSALA LÄN</t>
        </is>
      </c>
      <c r="E108" t="inlineStr">
        <is>
          <t>KNIVSTA</t>
        </is>
      </c>
      <c r="G108" t="n">
        <v>1.5</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46064</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30627-2023</t>
        </is>
      </c>
      <c r="B110" s="1" t="n">
        <v>45112</v>
      </c>
      <c r="C110" s="1" t="n">
        <v>46064</v>
      </c>
      <c r="D110" t="inlineStr">
        <is>
          <t>UPPSALA LÄN</t>
        </is>
      </c>
      <c r="E110" t="inlineStr">
        <is>
          <t>KNIVSTA</t>
        </is>
      </c>
      <c r="F110" t="inlineStr">
        <is>
          <t>Holmen skog AB</t>
        </is>
      </c>
      <c r="G110" t="n">
        <v>1.6</v>
      </c>
      <c r="H110" t="n">
        <v>0</v>
      </c>
      <c r="I110" t="n">
        <v>0</v>
      </c>
      <c r="J110" t="n">
        <v>0</v>
      </c>
      <c r="K110" t="n">
        <v>0</v>
      </c>
      <c r="L110" t="n">
        <v>0</v>
      </c>
      <c r="M110" t="n">
        <v>0</v>
      </c>
      <c r="N110" t="n">
        <v>0</v>
      </c>
      <c r="O110" t="n">
        <v>0</v>
      </c>
      <c r="P110" t="n">
        <v>0</v>
      </c>
      <c r="Q110" t="n">
        <v>0</v>
      </c>
      <c r="R110" s="2" t="inlineStr"/>
    </row>
    <row r="111" ht="15" customHeight="1">
      <c r="A111" t="inlineStr">
        <is>
          <t>A 43908-2023</t>
        </is>
      </c>
      <c r="B111" s="1" t="n">
        <v>45187</v>
      </c>
      <c r="C111" s="1" t="n">
        <v>46064</v>
      </c>
      <c r="D111" t="inlineStr">
        <is>
          <t>UPPSALA LÄN</t>
        </is>
      </c>
      <c r="E111" t="inlineStr">
        <is>
          <t>KNIVSTA</t>
        </is>
      </c>
      <c r="F111" t="inlineStr">
        <is>
          <t>Kyrkan</t>
        </is>
      </c>
      <c r="G111" t="n">
        <v>1.7</v>
      </c>
      <c r="H111" t="n">
        <v>0</v>
      </c>
      <c r="I111" t="n">
        <v>0</v>
      </c>
      <c r="J111" t="n">
        <v>0</v>
      </c>
      <c r="K111" t="n">
        <v>0</v>
      </c>
      <c r="L111" t="n">
        <v>0</v>
      </c>
      <c r="M111" t="n">
        <v>0</v>
      </c>
      <c r="N111" t="n">
        <v>0</v>
      </c>
      <c r="O111" t="n">
        <v>0</v>
      </c>
      <c r="P111" t="n">
        <v>0</v>
      </c>
      <c r="Q111" t="n">
        <v>0</v>
      </c>
      <c r="R111" s="2" t="inlineStr"/>
    </row>
    <row r="112" ht="15" customHeight="1">
      <c r="A112" t="inlineStr">
        <is>
          <t>A 8343-2024</t>
        </is>
      </c>
      <c r="B112" s="1" t="n">
        <v>45352</v>
      </c>
      <c r="C112" s="1" t="n">
        <v>46064</v>
      </c>
      <c r="D112" t="inlineStr">
        <is>
          <t>UPPSALA LÄN</t>
        </is>
      </c>
      <c r="E112" t="inlineStr">
        <is>
          <t>KNIVSTA</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60885-2021</t>
        </is>
      </c>
      <c r="B113" s="1" t="n">
        <v>44497</v>
      </c>
      <c r="C113" s="1" t="n">
        <v>46064</v>
      </c>
      <c r="D113" t="inlineStr">
        <is>
          <t>UPPSALA LÄN</t>
        </is>
      </c>
      <c r="E113" t="inlineStr">
        <is>
          <t>KNIVSTA</t>
        </is>
      </c>
      <c r="G113" t="n">
        <v>1.5</v>
      </c>
      <c r="H113" t="n">
        <v>0</v>
      </c>
      <c r="I113" t="n">
        <v>0</v>
      </c>
      <c r="J113" t="n">
        <v>0</v>
      </c>
      <c r="K113" t="n">
        <v>0</v>
      </c>
      <c r="L113" t="n">
        <v>0</v>
      </c>
      <c r="M113" t="n">
        <v>0</v>
      </c>
      <c r="N113" t="n">
        <v>0</v>
      </c>
      <c r="O113" t="n">
        <v>0</v>
      </c>
      <c r="P113" t="n">
        <v>0</v>
      </c>
      <c r="Q113" t="n">
        <v>0</v>
      </c>
      <c r="R113" s="2" t="inlineStr"/>
    </row>
    <row r="114" ht="15" customHeight="1">
      <c r="A114" t="inlineStr">
        <is>
          <t>A 19676-2025</t>
        </is>
      </c>
      <c r="B114" s="1" t="n">
        <v>45770</v>
      </c>
      <c r="C114" s="1" t="n">
        <v>46064</v>
      </c>
      <c r="D114" t="inlineStr">
        <is>
          <t>UPPSALA LÄN</t>
        </is>
      </c>
      <c r="E114" t="inlineStr">
        <is>
          <t>KNIVSTA</t>
        </is>
      </c>
      <c r="G114" t="n">
        <v>0.9</v>
      </c>
      <c r="H114" t="n">
        <v>0</v>
      </c>
      <c r="I114" t="n">
        <v>0</v>
      </c>
      <c r="J114" t="n">
        <v>0</v>
      </c>
      <c r="K114" t="n">
        <v>0</v>
      </c>
      <c r="L114" t="n">
        <v>0</v>
      </c>
      <c r="M114" t="n">
        <v>0</v>
      </c>
      <c r="N114" t="n">
        <v>0</v>
      </c>
      <c r="O114" t="n">
        <v>0</v>
      </c>
      <c r="P114" t="n">
        <v>0</v>
      </c>
      <c r="Q114" t="n">
        <v>0</v>
      </c>
      <c r="R114" s="2" t="inlineStr"/>
    </row>
    <row r="115">
      <c r="A115" t="inlineStr">
        <is>
          <t>A 14267-2025</t>
        </is>
      </c>
      <c r="B115" s="1" t="n">
        <v>45740.63686342593</v>
      </c>
      <c r="C115" s="1" t="n">
        <v>46064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2026-02-11T10:59:17Z</dcterms:created>
  <dcterms:modified xmlns:dcterms="http://purl.org/dc/terms/" xmlns:xsi="http://www.w3.org/2001/XMLSchema-instance" xsi:type="dcterms:W3CDTF">2026-02-11T10:59:17Z</dcterms:modified>
</cp:coreProperties>
</file>