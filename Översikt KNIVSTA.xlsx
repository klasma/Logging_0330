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45510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45510</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45510</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45510</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45510</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45510</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45510</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45510</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45510</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45510</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45510</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55535-2023</t>
        </is>
      </c>
      <c r="B13" s="1" t="n">
        <v>45238</v>
      </c>
      <c r="C13" s="1" t="n">
        <v>45510</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45510</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45510</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45510</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22529-2024</t>
        </is>
      </c>
      <c r="B17" s="1" t="n">
        <v>45447</v>
      </c>
      <c r="C17" s="1" t="n">
        <v>45510</v>
      </c>
      <c r="D17" t="inlineStr">
        <is>
          <t>UPPSALA LÄN</t>
        </is>
      </c>
      <c r="E17" t="inlineStr">
        <is>
          <t>KNIVSTA</t>
        </is>
      </c>
      <c r="G17" t="n">
        <v>13.7</v>
      </c>
      <c r="H17" t="n">
        <v>2</v>
      </c>
      <c r="I17" t="n">
        <v>0</v>
      </c>
      <c r="J17" t="n">
        <v>0</v>
      </c>
      <c r="K17" t="n">
        <v>0</v>
      </c>
      <c r="L17" t="n">
        <v>0</v>
      </c>
      <c r="M17" t="n">
        <v>0</v>
      </c>
      <c r="N17" t="n">
        <v>0</v>
      </c>
      <c r="O17" t="n">
        <v>0</v>
      </c>
      <c r="P17" t="n">
        <v>0</v>
      </c>
      <c r="Q17" t="n">
        <v>2</v>
      </c>
      <c r="R17" s="2" t="inlineStr">
        <is>
          <t>Fläcknycklar
Revlummer</t>
        </is>
      </c>
      <c r="S17">
        <f>HYPERLINK("https://klasma.github.io/Logging_0330/artfynd/A 22529-2024 artfynd.xlsx", "A 22529-2024")</f>
        <v/>
      </c>
      <c r="T17">
        <f>HYPERLINK("https://klasma.github.io/Logging_0330/kartor/A 22529-2024 karta.png", "A 22529-2024")</f>
        <v/>
      </c>
      <c r="V17">
        <f>HYPERLINK("https://klasma.github.io/Logging_0330/klagomål/A 22529-2024 FSC-klagomål.docx", "A 22529-2024")</f>
        <v/>
      </c>
      <c r="W17">
        <f>HYPERLINK("https://klasma.github.io/Logging_0330/klagomålsmail/A 22529-2024 FSC-klagomål mail.docx", "A 22529-2024")</f>
        <v/>
      </c>
      <c r="X17">
        <f>HYPERLINK("https://klasma.github.io/Logging_0330/tillsyn/A 22529-2024 tillsynsbegäran.docx", "A 22529-2024")</f>
        <v/>
      </c>
      <c r="Y17">
        <f>HYPERLINK("https://klasma.github.io/Logging_0330/tillsynsmail/A 22529-2024 tillsynsbegäran mail.docx", "A 22529-2024")</f>
        <v/>
      </c>
    </row>
    <row r="18" ht="15" customHeight="1">
      <c r="A18" t="inlineStr">
        <is>
          <t>A 18172-2019</t>
        </is>
      </c>
      <c r="B18" s="1" t="n">
        <v>43558</v>
      </c>
      <c r="C18" s="1" t="n">
        <v>45510</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45510</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45510</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45510</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45510</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45510</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45510</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48995-2023</t>
        </is>
      </c>
      <c r="B25" s="1" t="n">
        <v>45209</v>
      </c>
      <c r="C25" s="1" t="n">
        <v>45510</v>
      </c>
      <c r="D25" t="inlineStr">
        <is>
          <t>UPPSALA LÄN</t>
        </is>
      </c>
      <c r="E25" t="inlineStr">
        <is>
          <t>KNIVSTA</t>
        </is>
      </c>
      <c r="G25" t="n">
        <v>13.5</v>
      </c>
      <c r="H25" t="n">
        <v>0</v>
      </c>
      <c r="I25" t="n">
        <v>1</v>
      </c>
      <c r="J25" t="n">
        <v>0</v>
      </c>
      <c r="K25" t="n">
        <v>0</v>
      </c>
      <c r="L25" t="n">
        <v>0</v>
      </c>
      <c r="M25" t="n">
        <v>0</v>
      </c>
      <c r="N25" t="n">
        <v>0</v>
      </c>
      <c r="O25" t="n">
        <v>0</v>
      </c>
      <c r="P25" t="n">
        <v>0</v>
      </c>
      <c r="Q25" t="n">
        <v>1</v>
      </c>
      <c r="R25" s="2" t="inlineStr">
        <is>
          <t>Tibast</t>
        </is>
      </c>
      <c r="S25">
        <f>HYPERLINK("https://klasma.github.io/Logging_0330/artfynd/A 48995-2023 artfynd.xlsx", "A 48995-2023")</f>
        <v/>
      </c>
      <c r="T25">
        <f>HYPERLINK("https://klasma.github.io/Logging_0330/kartor/A 48995-2023 karta.png", "A 48995-2023")</f>
        <v/>
      </c>
      <c r="V25">
        <f>HYPERLINK("https://klasma.github.io/Logging_0330/klagomål/A 48995-2023 FSC-klagomål.docx", "A 48995-2023")</f>
        <v/>
      </c>
      <c r="W25">
        <f>HYPERLINK("https://klasma.github.io/Logging_0330/klagomålsmail/A 48995-2023 FSC-klagomål mail.docx", "A 48995-2023")</f>
        <v/>
      </c>
      <c r="X25">
        <f>HYPERLINK("https://klasma.github.io/Logging_0330/tillsyn/A 48995-2023 tillsynsbegäran.docx", "A 48995-2023")</f>
        <v/>
      </c>
      <c r="Y25">
        <f>HYPERLINK("https://klasma.github.io/Logging_0330/tillsynsmail/A 48995-2023 tillsynsbegäran mail.docx", "A 48995-2023")</f>
        <v/>
      </c>
    </row>
    <row r="26" ht="15" customHeight="1">
      <c r="A26" t="inlineStr">
        <is>
          <t>A 21831-2024</t>
        </is>
      </c>
      <c r="B26" s="1" t="n">
        <v>45442</v>
      </c>
      <c r="C26" s="1" t="n">
        <v>45510</v>
      </c>
      <c r="D26" t="inlineStr">
        <is>
          <t>UPPSALA LÄN</t>
        </is>
      </c>
      <c r="E26" t="inlineStr">
        <is>
          <t>KNIVSTA</t>
        </is>
      </c>
      <c r="G26" t="n">
        <v>4.5</v>
      </c>
      <c r="H26" t="n">
        <v>1</v>
      </c>
      <c r="I26" t="n">
        <v>0</v>
      </c>
      <c r="J26" t="n">
        <v>0</v>
      </c>
      <c r="K26" t="n">
        <v>0</v>
      </c>
      <c r="L26" t="n">
        <v>0</v>
      </c>
      <c r="M26" t="n">
        <v>0</v>
      </c>
      <c r="N26" t="n">
        <v>0</v>
      </c>
      <c r="O26" t="n">
        <v>0</v>
      </c>
      <c r="P26" t="n">
        <v>0</v>
      </c>
      <c r="Q26" t="n">
        <v>1</v>
      </c>
      <c r="R26" s="2" t="inlineStr">
        <is>
          <t>Blåsippa</t>
        </is>
      </c>
      <c r="S26">
        <f>HYPERLINK("https://klasma.github.io/Logging_0330/artfynd/A 21831-2024 artfynd.xlsx", "A 21831-2024")</f>
        <v/>
      </c>
      <c r="T26">
        <f>HYPERLINK("https://klasma.github.io/Logging_0330/kartor/A 21831-2024 karta.png", "A 21831-2024")</f>
        <v/>
      </c>
      <c r="V26">
        <f>HYPERLINK("https://klasma.github.io/Logging_0330/klagomål/A 21831-2024 FSC-klagomål.docx", "A 21831-2024")</f>
        <v/>
      </c>
      <c r="W26">
        <f>HYPERLINK("https://klasma.github.io/Logging_0330/klagomålsmail/A 21831-2024 FSC-klagomål mail.docx", "A 21831-2024")</f>
        <v/>
      </c>
      <c r="X26">
        <f>HYPERLINK("https://klasma.github.io/Logging_0330/tillsyn/A 21831-2024 tillsynsbegäran.docx", "A 21831-2024")</f>
        <v/>
      </c>
      <c r="Y26">
        <f>HYPERLINK("https://klasma.github.io/Logging_0330/tillsynsmail/A 21831-2024 tillsynsbegäran mail.docx", "A 21831-2024")</f>
        <v/>
      </c>
    </row>
    <row r="27" ht="15" customHeight="1">
      <c r="A27" t="inlineStr">
        <is>
          <t>A 18506-2019</t>
        </is>
      </c>
      <c r="B27" s="1" t="n">
        <v>43559</v>
      </c>
      <c r="C27" s="1" t="n">
        <v>45510</v>
      </c>
      <c r="D27" t="inlineStr">
        <is>
          <t>UPPSALA LÄN</t>
        </is>
      </c>
      <c r="E27" t="inlineStr">
        <is>
          <t>KNIVSTA</t>
        </is>
      </c>
      <c r="F27" t="inlineStr">
        <is>
          <t>Holmen skog AB</t>
        </is>
      </c>
      <c r="G27" t="n">
        <v>1.2</v>
      </c>
      <c r="H27" t="n">
        <v>0</v>
      </c>
      <c r="I27" t="n">
        <v>0</v>
      </c>
      <c r="J27" t="n">
        <v>0</v>
      </c>
      <c r="K27" t="n">
        <v>0</v>
      </c>
      <c r="L27" t="n">
        <v>0</v>
      </c>
      <c r="M27" t="n">
        <v>0</v>
      </c>
      <c r="N27" t="n">
        <v>0</v>
      </c>
      <c r="O27" t="n">
        <v>0</v>
      </c>
      <c r="P27" t="n">
        <v>0</v>
      </c>
      <c r="Q27" t="n">
        <v>0</v>
      </c>
      <c r="R27" s="2" t="inlineStr"/>
    </row>
    <row r="28" ht="15" customHeight="1">
      <c r="A28" t="inlineStr">
        <is>
          <t>A 18503-2019</t>
        </is>
      </c>
      <c r="B28" s="1" t="n">
        <v>43559</v>
      </c>
      <c r="C28" s="1" t="n">
        <v>45510</v>
      </c>
      <c r="D28" t="inlineStr">
        <is>
          <t>UPPSALA LÄN</t>
        </is>
      </c>
      <c r="E28" t="inlineStr">
        <is>
          <t>KNIVSTA</t>
        </is>
      </c>
      <c r="F28" t="inlineStr">
        <is>
          <t>Holmen skog AB</t>
        </is>
      </c>
      <c r="G28" t="n">
        <v>2.7</v>
      </c>
      <c r="H28" t="n">
        <v>0</v>
      </c>
      <c r="I28" t="n">
        <v>0</v>
      </c>
      <c r="J28" t="n">
        <v>0</v>
      </c>
      <c r="K28" t="n">
        <v>0</v>
      </c>
      <c r="L28" t="n">
        <v>0</v>
      </c>
      <c r="M28" t="n">
        <v>0</v>
      </c>
      <c r="N28" t="n">
        <v>0</v>
      </c>
      <c r="O28" t="n">
        <v>0</v>
      </c>
      <c r="P28" t="n">
        <v>0</v>
      </c>
      <c r="Q28" t="n">
        <v>0</v>
      </c>
      <c r="R28" s="2" t="inlineStr"/>
    </row>
    <row r="29" ht="15" customHeight="1">
      <c r="A29" t="inlineStr">
        <is>
          <t>A 19512-2019</t>
        </is>
      </c>
      <c r="B29" s="1" t="n">
        <v>43565</v>
      </c>
      <c r="C29" s="1" t="n">
        <v>45510</v>
      </c>
      <c r="D29" t="inlineStr">
        <is>
          <t>UPPSALA LÄN</t>
        </is>
      </c>
      <c r="E29" t="inlineStr">
        <is>
          <t>KNIVSTA</t>
        </is>
      </c>
      <c r="G29" t="n">
        <v>5.6</v>
      </c>
      <c r="H29" t="n">
        <v>0</v>
      </c>
      <c r="I29" t="n">
        <v>0</v>
      </c>
      <c r="J29" t="n">
        <v>0</v>
      </c>
      <c r="K29" t="n">
        <v>0</v>
      </c>
      <c r="L29" t="n">
        <v>0</v>
      </c>
      <c r="M29" t="n">
        <v>0</v>
      </c>
      <c r="N29" t="n">
        <v>0</v>
      </c>
      <c r="O29" t="n">
        <v>0</v>
      </c>
      <c r="P29" t="n">
        <v>0</v>
      </c>
      <c r="Q29" t="n">
        <v>0</v>
      </c>
      <c r="R29" s="2" t="inlineStr"/>
    </row>
    <row r="30" ht="15" customHeight="1">
      <c r="A30" t="inlineStr">
        <is>
          <t>A 23051-2019</t>
        </is>
      </c>
      <c r="B30" s="1" t="n">
        <v>43591</v>
      </c>
      <c r="C30" s="1" t="n">
        <v>45510</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28551-2019</t>
        </is>
      </c>
      <c r="B31" s="1" t="n">
        <v>43626</v>
      </c>
      <c r="C31" s="1" t="n">
        <v>45510</v>
      </c>
      <c r="D31" t="inlineStr">
        <is>
          <t>UPPSALA LÄN</t>
        </is>
      </c>
      <c r="E31" t="inlineStr">
        <is>
          <t>KNIVSTA</t>
        </is>
      </c>
      <c r="G31" t="n">
        <v>11.1</v>
      </c>
      <c r="H31" t="n">
        <v>0</v>
      </c>
      <c r="I31" t="n">
        <v>0</v>
      </c>
      <c r="J31" t="n">
        <v>0</v>
      </c>
      <c r="K31" t="n">
        <v>0</v>
      </c>
      <c r="L31" t="n">
        <v>0</v>
      </c>
      <c r="M31" t="n">
        <v>0</v>
      </c>
      <c r="N31" t="n">
        <v>0</v>
      </c>
      <c r="O31" t="n">
        <v>0</v>
      </c>
      <c r="P31" t="n">
        <v>0</v>
      </c>
      <c r="Q31" t="n">
        <v>0</v>
      </c>
      <c r="R31" s="2" t="inlineStr"/>
    </row>
    <row r="32" ht="15" customHeight="1">
      <c r="A32" t="inlineStr">
        <is>
          <t>A 35059-2019</t>
        </is>
      </c>
      <c r="B32" s="1" t="n">
        <v>43661</v>
      </c>
      <c r="C32" s="1" t="n">
        <v>45510</v>
      </c>
      <c r="D32" t="inlineStr">
        <is>
          <t>UPPSALA LÄN</t>
        </is>
      </c>
      <c r="E32" t="inlineStr">
        <is>
          <t>KNIVSTA</t>
        </is>
      </c>
      <c r="G32" t="n">
        <v>1.3</v>
      </c>
      <c r="H32" t="n">
        <v>0</v>
      </c>
      <c r="I32" t="n">
        <v>0</v>
      </c>
      <c r="J32" t="n">
        <v>0</v>
      </c>
      <c r="K32" t="n">
        <v>0</v>
      </c>
      <c r="L32" t="n">
        <v>0</v>
      </c>
      <c r="M32" t="n">
        <v>0</v>
      </c>
      <c r="N32" t="n">
        <v>0</v>
      </c>
      <c r="O32" t="n">
        <v>0</v>
      </c>
      <c r="P32" t="n">
        <v>0</v>
      </c>
      <c r="Q32" t="n">
        <v>0</v>
      </c>
      <c r="R32" s="2" t="inlineStr"/>
    </row>
    <row r="33" ht="15" customHeight="1">
      <c r="A33" t="inlineStr">
        <is>
          <t>A 49082-2019</t>
        </is>
      </c>
      <c r="B33" s="1" t="n">
        <v>43731</v>
      </c>
      <c r="C33" s="1" t="n">
        <v>45510</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55170-2019</t>
        </is>
      </c>
      <c r="B34" s="1" t="n">
        <v>43756</v>
      </c>
      <c r="C34" s="1" t="n">
        <v>45510</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58146-2019</t>
        </is>
      </c>
      <c r="B35" s="1" t="n">
        <v>43769</v>
      </c>
      <c r="C35" s="1" t="n">
        <v>45510</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65903-2019</t>
        </is>
      </c>
      <c r="B36" s="1" t="n">
        <v>43800</v>
      </c>
      <c r="C36" s="1" t="n">
        <v>45510</v>
      </c>
      <c r="D36" t="inlineStr">
        <is>
          <t>UPPSALA LÄN</t>
        </is>
      </c>
      <c r="E36" t="inlineStr">
        <is>
          <t>KNIVSTA</t>
        </is>
      </c>
      <c r="G36" t="n">
        <v>1.7</v>
      </c>
      <c r="H36" t="n">
        <v>0</v>
      </c>
      <c r="I36" t="n">
        <v>0</v>
      </c>
      <c r="J36" t="n">
        <v>0</v>
      </c>
      <c r="K36" t="n">
        <v>0</v>
      </c>
      <c r="L36" t="n">
        <v>0</v>
      </c>
      <c r="M36" t="n">
        <v>0</v>
      </c>
      <c r="N36" t="n">
        <v>0</v>
      </c>
      <c r="O36" t="n">
        <v>0</v>
      </c>
      <c r="P36" t="n">
        <v>0</v>
      </c>
      <c r="Q36" t="n">
        <v>0</v>
      </c>
      <c r="R36" s="2" t="inlineStr"/>
    </row>
    <row r="37" ht="15" customHeight="1">
      <c r="A37" t="inlineStr">
        <is>
          <t>A 66607-2019</t>
        </is>
      </c>
      <c r="B37" s="1" t="n">
        <v>43809</v>
      </c>
      <c r="C37" s="1" t="n">
        <v>45510</v>
      </c>
      <c r="D37" t="inlineStr">
        <is>
          <t>UPPSALA LÄN</t>
        </is>
      </c>
      <c r="E37" t="inlineStr">
        <is>
          <t>KNIVSTA</t>
        </is>
      </c>
      <c r="G37" t="n">
        <v>2.4</v>
      </c>
      <c r="H37" t="n">
        <v>0</v>
      </c>
      <c r="I37" t="n">
        <v>0</v>
      </c>
      <c r="J37" t="n">
        <v>0</v>
      </c>
      <c r="K37" t="n">
        <v>0</v>
      </c>
      <c r="L37" t="n">
        <v>0</v>
      </c>
      <c r="M37" t="n">
        <v>0</v>
      </c>
      <c r="N37" t="n">
        <v>0</v>
      </c>
      <c r="O37" t="n">
        <v>0</v>
      </c>
      <c r="P37" t="n">
        <v>0</v>
      </c>
      <c r="Q37" t="n">
        <v>0</v>
      </c>
      <c r="R37" s="2" t="inlineStr"/>
    </row>
    <row r="38" ht="15" customHeight="1">
      <c r="A38" t="inlineStr">
        <is>
          <t>A 67165-2019</t>
        </is>
      </c>
      <c r="B38" s="1" t="n">
        <v>43811</v>
      </c>
      <c r="C38" s="1" t="n">
        <v>45510</v>
      </c>
      <c r="D38" t="inlineStr">
        <is>
          <t>UPPSALA LÄN</t>
        </is>
      </c>
      <c r="E38" t="inlineStr">
        <is>
          <t>KNIVSTA</t>
        </is>
      </c>
      <c r="G38" t="n">
        <v>8.9</v>
      </c>
      <c r="H38" t="n">
        <v>0</v>
      </c>
      <c r="I38" t="n">
        <v>0</v>
      </c>
      <c r="J38" t="n">
        <v>0</v>
      </c>
      <c r="K38" t="n">
        <v>0</v>
      </c>
      <c r="L38" t="n">
        <v>0</v>
      </c>
      <c r="M38" t="n">
        <v>0</v>
      </c>
      <c r="N38" t="n">
        <v>0</v>
      </c>
      <c r="O38" t="n">
        <v>0</v>
      </c>
      <c r="P38" t="n">
        <v>0</v>
      </c>
      <c r="Q38" t="n">
        <v>0</v>
      </c>
      <c r="R38" s="2" t="inlineStr"/>
    </row>
    <row r="39" ht="15" customHeight="1">
      <c r="A39" t="inlineStr">
        <is>
          <t>A 67166-2019</t>
        </is>
      </c>
      <c r="B39" s="1" t="n">
        <v>43811</v>
      </c>
      <c r="C39" s="1" t="n">
        <v>45510</v>
      </c>
      <c r="D39" t="inlineStr">
        <is>
          <t>UPPSALA LÄN</t>
        </is>
      </c>
      <c r="E39" t="inlineStr">
        <is>
          <t>KNIVSTA</t>
        </is>
      </c>
      <c r="G39" t="n">
        <v>4.5</v>
      </c>
      <c r="H39" t="n">
        <v>0</v>
      </c>
      <c r="I39" t="n">
        <v>0</v>
      </c>
      <c r="J39" t="n">
        <v>0</v>
      </c>
      <c r="K39" t="n">
        <v>0</v>
      </c>
      <c r="L39" t="n">
        <v>0</v>
      </c>
      <c r="M39" t="n">
        <v>0</v>
      </c>
      <c r="N39" t="n">
        <v>0</v>
      </c>
      <c r="O39" t="n">
        <v>0</v>
      </c>
      <c r="P39" t="n">
        <v>0</v>
      </c>
      <c r="Q39" t="n">
        <v>0</v>
      </c>
      <c r="R39" s="2" t="inlineStr"/>
    </row>
    <row r="40" ht="15" customHeight="1">
      <c r="A40" t="inlineStr">
        <is>
          <t>A 67598-2019</t>
        </is>
      </c>
      <c r="B40" s="1" t="n">
        <v>43815</v>
      </c>
      <c r="C40" s="1" t="n">
        <v>45510</v>
      </c>
      <c r="D40" t="inlineStr">
        <is>
          <t>UPPSALA LÄN</t>
        </is>
      </c>
      <c r="E40" t="inlineStr">
        <is>
          <t>KNIVSTA</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2663-2020</t>
        </is>
      </c>
      <c r="B41" s="1" t="n">
        <v>43849</v>
      </c>
      <c r="C41" s="1" t="n">
        <v>45510</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4567-2020</t>
        </is>
      </c>
      <c r="B42" s="1" t="n">
        <v>43858</v>
      </c>
      <c r="C42" s="1" t="n">
        <v>45510</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13547-2020</t>
        </is>
      </c>
      <c r="B43" s="1" t="n">
        <v>43902</v>
      </c>
      <c r="C43" s="1" t="n">
        <v>45510</v>
      </c>
      <c r="D43" t="inlineStr">
        <is>
          <t>UPPSALA LÄN</t>
        </is>
      </c>
      <c r="E43" t="inlineStr">
        <is>
          <t>KNIVSTA</t>
        </is>
      </c>
      <c r="G43" t="n">
        <v>5.9</v>
      </c>
      <c r="H43" t="n">
        <v>0</v>
      </c>
      <c r="I43" t="n">
        <v>0</v>
      </c>
      <c r="J43" t="n">
        <v>0</v>
      </c>
      <c r="K43" t="n">
        <v>0</v>
      </c>
      <c r="L43" t="n">
        <v>0</v>
      </c>
      <c r="M43" t="n">
        <v>0</v>
      </c>
      <c r="N43" t="n">
        <v>0</v>
      </c>
      <c r="O43" t="n">
        <v>0</v>
      </c>
      <c r="P43" t="n">
        <v>0</v>
      </c>
      <c r="Q43" t="n">
        <v>0</v>
      </c>
      <c r="R43" s="2" t="inlineStr"/>
    </row>
    <row r="44" ht="15" customHeight="1">
      <c r="A44" t="inlineStr">
        <is>
          <t>A 13996-2020</t>
        </is>
      </c>
      <c r="B44" s="1" t="n">
        <v>43906</v>
      </c>
      <c r="C44" s="1" t="n">
        <v>45510</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14005-2020</t>
        </is>
      </c>
      <c r="B45" s="1" t="n">
        <v>43906</v>
      </c>
      <c r="C45" s="1" t="n">
        <v>45510</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20395-2020</t>
        </is>
      </c>
      <c r="B46" s="1" t="n">
        <v>43945</v>
      </c>
      <c r="C46" s="1" t="n">
        <v>45510</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25658-2020</t>
        </is>
      </c>
      <c r="B47" s="1" t="n">
        <v>43983</v>
      </c>
      <c r="C47" s="1" t="n">
        <v>45510</v>
      </c>
      <c r="D47" t="inlineStr">
        <is>
          <t>UPPSALA LÄN</t>
        </is>
      </c>
      <c r="E47" t="inlineStr">
        <is>
          <t>KNIVSTA</t>
        </is>
      </c>
      <c r="G47" t="n">
        <v>15.2</v>
      </c>
      <c r="H47" t="n">
        <v>0</v>
      </c>
      <c r="I47" t="n">
        <v>0</v>
      </c>
      <c r="J47" t="n">
        <v>0</v>
      </c>
      <c r="K47" t="n">
        <v>0</v>
      </c>
      <c r="L47" t="n">
        <v>0</v>
      </c>
      <c r="M47" t="n">
        <v>0</v>
      </c>
      <c r="N47" t="n">
        <v>0</v>
      </c>
      <c r="O47" t="n">
        <v>0</v>
      </c>
      <c r="P47" t="n">
        <v>0</v>
      </c>
      <c r="Q47" t="n">
        <v>0</v>
      </c>
      <c r="R47" s="2" t="inlineStr"/>
    </row>
    <row r="48" ht="15" customHeight="1">
      <c r="A48" t="inlineStr">
        <is>
          <t>A 32953-2020</t>
        </is>
      </c>
      <c r="B48" s="1" t="n">
        <v>44020</v>
      </c>
      <c r="C48" s="1" t="n">
        <v>45510</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44089-2020</t>
        </is>
      </c>
      <c r="B49" s="1" t="n">
        <v>44083</v>
      </c>
      <c r="C49" s="1" t="n">
        <v>45510</v>
      </c>
      <c r="D49" t="inlineStr">
        <is>
          <t>UPPSALA LÄN</t>
        </is>
      </c>
      <c r="E49" t="inlineStr">
        <is>
          <t>KNIVSTA</t>
        </is>
      </c>
      <c r="F49" t="inlineStr">
        <is>
          <t>Holmen skog AB</t>
        </is>
      </c>
      <c r="G49" t="n">
        <v>3.4</v>
      </c>
      <c r="H49" t="n">
        <v>0</v>
      </c>
      <c r="I49" t="n">
        <v>0</v>
      </c>
      <c r="J49" t="n">
        <v>0</v>
      </c>
      <c r="K49" t="n">
        <v>0</v>
      </c>
      <c r="L49" t="n">
        <v>0</v>
      </c>
      <c r="M49" t="n">
        <v>0</v>
      </c>
      <c r="N49" t="n">
        <v>0</v>
      </c>
      <c r="O49" t="n">
        <v>0</v>
      </c>
      <c r="P49" t="n">
        <v>0</v>
      </c>
      <c r="Q49" t="n">
        <v>0</v>
      </c>
      <c r="R49" s="2" t="inlineStr"/>
    </row>
    <row r="50" ht="15" customHeight="1">
      <c r="A50" t="inlineStr">
        <is>
          <t>A 46988-2020</t>
        </is>
      </c>
      <c r="B50" s="1" t="n">
        <v>44096</v>
      </c>
      <c r="C50" s="1" t="n">
        <v>45510</v>
      </c>
      <c r="D50" t="inlineStr">
        <is>
          <t>UPPSALA LÄN</t>
        </is>
      </c>
      <c r="E50" t="inlineStr">
        <is>
          <t>KNIVSTA</t>
        </is>
      </c>
      <c r="F50" t="inlineStr">
        <is>
          <t>Holmen skog AB</t>
        </is>
      </c>
      <c r="G50" t="n">
        <v>2.9</v>
      </c>
      <c r="H50" t="n">
        <v>0</v>
      </c>
      <c r="I50" t="n">
        <v>0</v>
      </c>
      <c r="J50" t="n">
        <v>0</v>
      </c>
      <c r="K50" t="n">
        <v>0</v>
      </c>
      <c r="L50" t="n">
        <v>0</v>
      </c>
      <c r="M50" t="n">
        <v>0</v>
      </c>
      <c r="N50" t="n">
        <v>0</v>
      </c>
      <c r="O50" t="n">
        <v>0</v>
      </c>
      <c r="P50" t="n">
        <v>0</v>
      </c>
      <c r="Q50" t="n">
        <v>0</v>
      </c>
      <c r="R50" s="2" t="inlineStr"/>
    </row>
    <row r="51" ht="15" customHeight="1">
      <c r="A51" t="inlineStr">
        <is>
          <t>A 57286-2020</t>
        </is>
      </c>
      <c r="B51" s="1" t="n">
        <v>44139</v>
      </c>
      <c r="C51" s="1" t="n">
        <v>45510</v>
      </c>
      <c r="D51" t="inlineStr">
        <is>
          <t>UPPSALA LÄN</t>
        </is>
      </c>
      <c r="E51" t="inlineStr">
        <is>
          <t>KNIVSTA</t>
        </is>
      </c>
      <c r="G51" t="n">
        <v>6</v>
      </c>
      <c r="H51" t="n">
        <v>0</v>
      </c>
      <c r="I51" t="n">
        <v>0</v>
      </c>
      <c r="J51" t="n">
        <v>0</v>
      </c>
      <c r="K51" t="n">
        <v>0</v>
      </c>
      <c r="L51" t="n">
        <v>0</v>
      </c>
      <c r="M51" t="n">
        <v>0</v>
      </c>
      <c r="N51" t="n">
        <v>0</v>
      </c>
      <c r="O51" t="n">
        <v>0</v>
      </c>
      <c r="P51" t="n">
        <v>0</v>
      </c>
      <c r="Q51" t="n">
        <v>0</v>
      </c>
      <c r="R51" s="2" t="inlineStr"/>
    </row>
    <row r="52" ht="15" customHeight="1">
      <c r="A52" t="inlineStr">
        <is>
          <t>A 57559-2020</t>
        </is>
      </c>
      <c r="B52" s="1" t="n">
        <v>44140</v>
      </c>
      <c r="C52" s="1" t="n">
        <v>45510</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45510</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9725-2021</t>
        </is>
      </c>
      <c r="B54" s="1" t="n">
        <v>44252</v>
      </c>
      <c r="C54" s="1" t="n">
        <v>45510</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12864-2021</t>
        </is>
      </c>
      <c r="B55" s="1" t="n">
        <v>44271</v>
      </c>
      <c r="C55" s="1" t="n">
        <v>45510</v>
      </c>
      <c r="D55" t="inlineStr">
        <is>
          <t>UPPSALA LÄN</t>
        </is>
      </c>
      <c r="E55" t="inlineStr">
        <is>
          <t>KNIVSTA</t>
        </is>
      </c>
      <c r="F55" t="inlineStr">
        <is>
          <t>Kyrkan</t>
        </is>
      </c>
      <c r="G55" t="n">
        <v>4.7</v>
      </c>
      <c r="H55" t="n">
        <v>0</v>
      </c>
      <c r="I55" t="n">
        <v>0</v>
      </c>
      <c r="J55" t="n">
        <v>0</v>
      </c>
      <c r="K55" t="n">
        <v>0</v>
      </c>
      <c r="L55" t="n">
        <v>0</v>
      </c>
      <c r="M55" t="n">
        <v>0</v>
      </c>
      <c r="N55" t="n">
        <v>0</v>
      </c>
      <c r="O55" t="n">
        <v>0</v>
      </c>
      <c r="P55" t="n">
        <v>0</v>
      </c>
      <c r="Q55" t="n">
        <v>0</v>
      </c>
      <c r="R55" s="2" t="inlineStr"/>
    </row>
    <row r="56" ht="15" customHeight="1">
      <c r="A56" t="inlineStr">
        <is>
          <t>A 18897-2021</t>
        </is>
      </c>
      <c r="B56" s="1" t="n">
        <v>44308</v>
      </c>
      <c r="C56" s="1" t="n">
        <v>45510</v>
      </c>
      <c r="D56" t="inlineStr">
        <is>
          <t>UPPSALA LÄN</t>
        </is>
      </c>
      <c r="E56" t="inlineStr">
        <is>
          <t>KNIVSTA</t>
        </is>
      </c>
      <c r="F56" t="inlineStr">
        <is>
          <t>Holmen skog AB</t>
        </is>
      </c>
      <c r="G56" t="n">
        <v>1.2</v>
      </c>
      <c r="H56" t="n">
        <v>0</v>
      </c>
      <c r="I56" t="n">
        <v>0</v>
      </c>
      <c r="J56" t="n">
        <v>0</v>
      </c>
      <c r="K56" t="n">
        <v>0</v>
      </c>
      <c r="L56" t="n">
        <v>0</v>
      </c>
      <c r="M56" t="n">
        <v>0</v>
      </c>
      <c r="N56" t="n">
        <v>0</v>
      </c>
      <c r="O56" t="n">
        <v>0</v>
      </c>
      <c r="P56" t="n">
        <v>0</v>
      </c>
      <c r="Q56" t="n">
        <v>0</v>
      </c>
      <c r="R56" s="2" t="inlineStr"/>
    </row>
    <row r="57" ht="15" customHeight="1">
      <c r="A57" t="inlineStr">
        <is>
          <t>A 19796-2021</t>
        </is>
      </c>
      <c r="B57" s="1" t="n">
        <v>44313</v>
      </c>
      <c r="C57" s="1" t="n">
        <v>45510</v>
      </c>
      <c r="D57" t="inlineStr">
        <is>
          <t>UPPSALA LÄN</t>
        </is>
      </c>
      <c r="E57" t="inlineStr">
        <is>
          <t>KNIVSTA</t>
        </is>
      </c>
      <c r="G57" t="n">
        <v>14.6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45510</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20827-2021</t>
        </is>
      </c>
      <c r="B59" s="1" t="n">
        <v>44318</v>
      </c>
      <c r="C59" s="1" t="n">
        <v>45510</v>
      </c>
      <c r="D59" t="inlineStr">
        <is>
          <t>UPPSALA LÄN</t>
        </is>
      </c>
      <c r="E59" t="inlineStr">
        <is>
          <t>KNIVSTA</t>
        </is>
      </c>
      <c r="G59" t="n">
        <v>3</v>
      </c>
      <c r="H59" t="n">
        <v>0</v>
      </c>
      <c r="I59" t="n">
        <v>0</v>
      </c>
      <c r="J59" t="n">
        <v>0</v>
      </c>
      <c r="K59" t="n">
        <v>0</v>
      </c>
      <c r="L59" t="n">
        <v>0</v>
      </c>
      <c r="M59" t="n">
        <v>0</v>
      </c>
      <c r="N59" t="n">
        <v>0</v>
      </c>
      <c r="O59" t="n">
        <v>0</v>
      </c>
      <c r="P59" t="n">
        <v>0</v>
      </c>
      <c r="Q59" t="n">
        <v>0</v>
      </c>
      <c r="R59" s="2" t="inlineStr"/>
    </row>
    <row r="60" ht="15" customHeight="1">
      <c r="A60" t="inlineStr">
        <is>
          <t>A 25259-2021</t>
        </is>
      </c>
      <c r="B60" s="1" t="n">
        <v>44342</v>
      </c>
      <c r="C60" s="1" t="n">
        <v>45510</v>
      </c>
      <c r="D60" t="inlineStr">
        <is>
          <t>UPPSALA LÄN</t>
        </is>
      </c>
      <c r="E60" t="inlineStr">
        <is>
          <t>KNIVSTA</t>
        </is>
      </c>
      <c r="F60" t="inlineStr">
        <is>
          <t>Holmen skog AB</t>
        </is>
      </c>
      <c r="G60" t="n">
        <v>1</v>
      </c>
      <c r="H60" t="n">
        <v>0</v>
      </c>
      <c r="I60" t="n">
        <v>0</v>
      </c>
      <c r="J60" t="n">
        <v>0</v>
      </c>
      <c r="K60" t="n">
        <v>0</v>
      </c>
      <c r="L60" t="n">
        <v>0</v>
      </c>
      <c r="M60" t="n">
        <v>0</v>
      </c>
      <c r="N60" t="n">
        <v>0</v>
      </c>
      <c r="O60" t="n">
        <v>0</v>
      </c>
      <c r="P60" t="n">
        <v>0</v>
      </c>
      <c r="Q60" t="n">
        <v>0</v>
      </c>
      <c r="R60" s="2" t="inlineStr"/>
    </row>
    <row r="61" ht="15" customHeight="1">
      <c r="A61" t="inlineStr">
        <is>
          <t>A 25359-2021</t>
        </is>
      </c>
      <c r="B61" s="1" t="n">
        <v>44342</v>
      </c>
      <c r="C61" s="1" t="n">
        <v>45510</v>
      </c>
      <c r="D61" t="inlineStr">
        <is>
          <t>UPPSALA LÄN</t>
        </is>
      </c>
      <c r="E61" t="inlineStr">
        <is>
          <t>KNIVSTA</t>
        </is>
      </c>
      <c r="F61" t="inlineStr">
        <is>
          <t>Holmen skog AB</t>
        </is>
      </c>
      <c r="G61" t="n">
        <v>4.6</v>
      </c>
      <c r="H61" t="n">
        <v>0</v>
      </c>
      <c r="I61" t="n">
        <v>0</v>
      </c>
      <c r="J61" t="n">
        <v>0</v>
      </c>
      <c r="K61" t="n">
        <v>0</v>
      </c>
      <c r="L61" t="n">
        <v>0</v>
      </c>
      <c r="M61" t="n">
        <v>0</v>
      </c>
      <c r="N61" t="n">
        <v>0</v>
      </c>
      <c r="O61" t="n">
        <v>0</v>
      </c>
      <c r="P61" t="n">
        <v>0</v>
      </c>
      <c r="Q61" t="n">
        <v>0</v>
      </c>
      <c r="R61" s="2" t="inlineStr"/>
    </row>
    <row r="62" ht="15" customHeight="1">
      <c r="A62" t="inlineStr">
        <is>
          <t>A 28468-2021</t>
        </is>
      </c>
      <c r="B62" s="1" t="n">
        <v>44356</v>
      </c>
      <c r="C62" s="1" t="n">
        <v>45510</v>
      </c>
      <c r="D62" t="inlineStr">
        <is>
          <t>UPPSALA LÄN</t>
        </is>
      </c>
      <c r="E62" t="inlineStr">
        <is>
          <t>KNIVSTA</t>
        </is>
      </c>
      <c r="F62" t="inlineStr">
        <is>
          <t>Holmen skog AB</t>
        </is>
      </c>
      <c r="G62" t="n">
        <v>3.5</v>
      </c>
      <c r="H62" t="n">
        <v>0</v>
      </c>
      <c r="I62" t="n">
        <v>0</v>
      </c>
      <c r="J62" t="n">
        <v>0</v>
      </c>
      <c r="K62" t="n">
        <v>0</v>
      </c>
      <c r="L62" t="n">
        <v>0</v>
      </c>
      <c r="M62" t="n">
        <v>0</v>
      </c>
      <c r="N62" t="n">
        <v>0</v>
      </c>
      <c r="O62" t="n">
        <v>0</v>
      </c>
      <c r="P62" t="n">
        <v>0</v>
      </c>
      <c r="Q62" t="n">
        <v>0</v>
      </c>
      <c r="R62" s="2" t="inlineStr"/>
    </row>
    <row r="63" ht="15" customHeight="1">
      <c r="A63" t="inlineStr">
        <is>
          <t>A 31143-2021</t>
        </is>
      </c>
      <c r="B63" s="1" t="n">
        <v>44368</v>
      </c>
      <c r="C63" s="1" t="n">
        <v>45510</v>
      </c>
      <c r="D63" t="inlineStr">
        <is>
          <t>UPPSALA LÄN</t>
        </is>
      </c>
      <c r="E63" t="inlineStr">
        <is>
          <t>KNIVSTA</t>
        </is>
      </c>
      <c r="G63" t="n">
        <v>13.1</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45510</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35232-2021</t>
        </is>
      </c>
      <c r="B65" s="1" t="n">
        <v>44384</v>
      </c>
      <c r="C65" s="1" t="n">
        <v>45510</v>
      </c>
      <c r="D65" t="inlineStr">
        <is>
          <t>UPPSALA LÄN</t>
        </is>
      </c>
      <c r="E65" t="inlineStr">
        <is>
          <t>KNIVSTA</t>
        </is>
      </c>
      <c r="G65" t="n">
        <v>1.1</v>
      </c>
      <c r="H65" t="n">
        <v>0</v>
      </c>
      <c r="I65" t="n">
        <v>0</v>
      </c>
      <c r="J65" t="n">
        <v>0</v>
      </c>
      <c r="K65" t="n">
        <v>0</v>
      </c>
      <c r="L65" t="n">
        <v>0</v>
      </c>
      <c r="M65" t="n">
        <v>0</v>
      </c>
      <c r="N65" t="n">
        <v>0</v>
      </c>
      <c r="O65" t="n">
        <v>0</v>
      </c>
      <c r="P65" t="n">
        <v>0</v>
      </c>
      <c r="Q65" t="n">
        <v>0</v>
      </c>
      <c r="R65" s="2" t="inlineStr"/>
    </row>
    <row r="66" ht="15" customHeight="1">
      <c r="A66" t="inlineStr">
        <is>
          <t>A 47652-2021</t>
        </is>
      </c>
      <c r="B66" s="1" t="n">
        <v>44448</v>
      </c>
      <c r="C66" s="1" t="n">
        <v>45510</v>
      </c>
      <c r="D66" t="inlineStr">
        <is>
          <t>UPPSALA LÄN</t>
        </is>
      </c>
      <c r="E66" t="inlineStr">
        <is>
          <t>KNIVSTA</t>
        </is>
      </c>
      <c r="G66" t="n">
        <v>2.7</v>
      </c>
      <c r="H66" t="n">
        <v>0</v>
      </c>
      <c r="I66" t="n">
        <v>0</v>
      </c>
      <c r="J66" t="n">
        <v>0</v>
      </c>
      <c r="K66" t="n">
        <v>0</v>
      </c>
      <c r="L66" t="n">
        <v>0</v>
      </c>
      <c r="M66" t="n">
        <v>0</v>
      </c>
      <c r="N66" t="n">
        <v>0</v>
      </c>
      <c r="O66" t="n">
        <v>0</v>
      </c>
      <c r="P66" t="n">
        <v>0</v>
      </c>
      <c r="Q66" t="n">
        <v>0</v>
      </c>
      <c r="R66" s="2" t="inlineStr"/>
    </row>
    <row r="67" ht="15" customHeight="1">
      <c r="A67" t="inlineStr">
        <is>
          <t>A 47654-2021</t>
        </is>
      </c>
      <c r="B67" s="1" t="n">
        <v>44448</v>
      </c>
      <c r="C67" s="1" t="n">
        <v>45510</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54155-2021</t>
        </is>
      </c>
      <c r="B68" s="1" t="n">
        <v>44470</v>
      </c>
      <c r="C68" s="1" t="n">
        <v>45510</v>
      </c>
      <c r="D68" t="inlineStr">
        <is>
          <t>UPPSALA LÄN</t>
        </is>
      </c>
      <c r="E68" t="inlineStr">
        <is>
          <t>KNIVSTA</t>
        </is>
      </c>
      <c r="G68" t="n">
        <v>3.2</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45510</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62441-2021</t>
        </is>
      </c>
      <c r="B70" s="1" t="n">
        <v>44503</v>
      </c>
      <c r="C70" s="1" t="n">
        <v>45510</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63460-2021</t>
        </is>
      </c>
      <c r="B71" s="1" t="n">
        <v>44508</v>
      </c>
      <c r="C71" s="1" t="n">
        <v>45510</v>
      </c>
      <c r="D71" t="inlineStr">
        <is>
          <t>UPPSALA LÄN</t>
        </is>
      </c>
      <c r="E71" t="inlineStr">
        <is>
          <t>KNIVSTA</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62451-2021</t>
        </is>
      </c>
      <c r="B72" s="1" t="n">
        <v>44509</v>
      </c>
      <c r="C72" s="1" t="n">
        <v>45510</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64044-2021</t>
        </is>
      </c>
      <c r="B73" s="1" t="n">
        <v>44510</v>
      </c>
      <c r="C73" s="1" t="n">
        <v>45510</v>
      </c>
      <c r="D73" t="inlineStr">
        <is>
          <t>UPPSALA LÄN</t>
        </is>
      </c>
      <c r="E73" t="inlineStr">
        <is>
          <t>KNIVSTA</t>
        </is>
      </c>
      <c r="G73" t="n">
        <v>0.5</v>
      </c>
      <c r="H73" t="n">
        <v>0</v>
      </c>
      <c r="I73" t="n">
        <v>0</v>
      </c>
      <c r="J73" t="n">
        <v>0</v>
      </c>
      <c r="K73" t="n">
        <v>0</v>
      </c>
      <c r="L73" t="n">
        <v>0</v>
      </c>
      <c r="M73" t="n">
        <v>0</v>
      </c>
      <c r="N73" t="n">
        <v>0</v>
      </c>
      <c r="O73" t="n">
        <v>0</v>
      </c>
      <c r="P73" t="n">
        <v>0</v>
      </c>
      <c r="Q73" t="n">
        <v>0</v>
      </c>
      <c r="R73" s="2" t="inlineStr"/>
    </row>
    <row r="74" ht="15" customHeight="1">
      <c r="A74" t="inlineStr">
        <is>
          <t>A 66256-2021</t>
        </is>
      </c>
      <c r="B74" s="1" t="n">
        <v>44518</v>
      </c>
      <c r="C74" s="1" t="n">
        <v>45510</v>
      </c>
      <c r="D74" t="inlineStr">
        <is>
          <t>UPPSALA LÄN</t>
        </is>
      </c>
      <c r="E74" t="inlineStr">
        <is>
          <t>KNIVSTA</t>
        </is>
      </c>
      <c r="G74" t="n">
        <v>0.3</v>
      </c>
      <c r="H74" t="n">
        <v>0</v>
      </c>
      <c r="I74" t="n">
        <v>0</v>
      </c>
      <c r="J74" t="n">
        <v>0</v>
      </c>
      <c r="K74" t="n">
        <v>0</v>
      </c>
      <c r="L74" t="n">
        <v>0</v>
      </c>
      <c r="M74" t="n">
        <v>0</v>
      </c>
      <c r="N74" t="n">
        <v>0</v>
      </c>
      <c r="O74" t="n">
        <v>0</v>
      </c>
      <c r="P74" t="n">
        <v>0</v>
      </c>
      <c r="Q74" t="n">
        <v>0</v>
      </c>
      <c r="R74" s="2" t="inlineStr"/>
    </row>
    <row r="75" ht="15" customHeight="1">
      <c r="A75" t="inlineStr">
        <is>
          <t>A 66298-2021</t>
        </is>
      </c>
      <c r="B75" s="1" t="n">
        <v>44518</v>
      </c>
      <c r="C75" s="1" t="n">
        <v>45510</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66310-2021</t>
        </is>
      </c>
      <c r="B76" s="1" t="n">
        <v>44518</v>
      </c>
      <c r="C76" s="1" t="n">
        <v>45510</v>
      </c>
      <c r="D76" t="inlineStr">
        <is>
          <t>UPPSALA LÄN</t>
        </is>
      </c>
      <c r="E76" t="inlineStr">
        <is>
          <t>KNIVSTA</t>
        </is>
      </c>
      <c r="G76" t="n">
        <v>14.1</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45510</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45510</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66336-2021</t>
        </is>
      </c>
      <c r="B79" s="1" t="n">
        <v>44518</v>
      </c>
      <c r="C79" s="1" t="n">
        <v>45510</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45510</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70700-2021</t>
        </is>
      </c>
      <c r="B81" s="1" t="n">
        <v>44537</v>
      </c>
      <c r="C81" s="1" t="n">
        <v>45510</v>
      </c>
      <c r="D81" t="inlineStr">
        <is>
          <t>UPPSALA LÄN</t>
        </is>
      </c>
      <c r="E81" t="inlineStr">
        <is>
          <t>KNIVSTA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72471-2021</t>
        </is>
      </c>
      <c r="B82" s="1" t="n">
        <v>44545</v>
      </c>
      <c r="C82" s="1" t="n">
        <v>45510</v>
      </c>
      <c r="D82" t="inlineStr">
        <is>
          <t>UPPSALA LÄN</t>
        </is>
      </c>
      <c r="E82" t="inlineStr">
        <is>
          <t>KNIVSTA</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72883-2021</t>
        </is>
      </c>
      <c r="B83" s="1" t="n">
        <v>44547</v>
      </c>
      <c r="C83" s="1" t="n">
        <v>45510</v>
      </c>
      <c r="D83" t="inlineStr">
        <is>
          <t>UPPSALA LÄN</t>
        </is>
      </c>
      <c r="E83" t="inlineStr">
        <is>
          <t>KNIVSTA</t>
        </is>
      </c>
      <c r="F83" t="inlineStr">
        <is>
          <t>Holmen skog AB</t>
        </is>
      </c>
      <c r="G83" t="n">
        <v>7.7</v>
      </c>
      <c r="H83" t="n">
        <v>0</v>
      </c>
      <c r="I83" t="n">
        <v>0</v>
      </c>
      <c r="J83" t="n">
        <v>0</v>
      </c>
      <c r="K83" t="n">
        <v>0</v>
      </c>
      <c r="L83" t="n">
        <v>0</v>
      </c>
      <c r="M83" t="n">
        <v>0</v>
      </c>
      <c r="N83" t="n">
        <v>0</v>
      </c>
      <c r="O83" t="n">
        <v>0</v>
      </c>
      <c r="P83" t="n">
        <v>0</v>
      </c>
      <c r="Q83" t="n">
        <v>0</v>
      </c>
      <c r="R83" s="2" t="inlineStr"/>
    </row>
    <row r="84" ht="15" customHeight="1">
      <c r="A84" t="inlineStr">
        <is>
          <t>A 72885-2021</t>
        </is>
      </c>
      <c r="B84" s="1" t="n">
        <v>44547</v>
      </c>
      <c r="C84" s="1" t="n">
        <v>45510</v>
      </c>
      <c r="D84" t="inlineStr">
        <is>
          <t>UPPSALA LÄN</t>
        </is>
      </c>
      <c r="E84" t="inlineStr">
        <is>
          <t>KNIVSTA</t>
        </is>
      </c>
      <c r="F84" t="inlineStr">
        <is>
          <t>Holmen skog AB</t>
        </is>
      </c>
      <c r="G84" t="n">
        <v>5.3</v>
      </c>
      <c r="H84" t="n">
        <v>0</v>
      </c>
      <c r="I84" t="n">
        <v>0</v>
      </c>
      <c r="J84" t="n">
        <v>0</v>
      </c>
      <c r="K84" t="n">
        <v>0</v>
      </c>
      <c r="L84" t="n">
        <v>0</v>
      </c>
      <c r="M84" t="n">
        <v>0</v>
      </c>
      <c r="N84" t="n">
        <v>0</v>
      </c>
      <c r="O84" t="n">
        <v>0</v>
      </c>
      <c r="P84" t="n">
        <v>0</v>
      </c>
      <c r="Q84" t="n">
        <v>0</v>
      </c>
      <c r="R84" s="2" t="inlineStr"/>
    </row>
    <row r="85" ht="15" customHeight="1">
      <c r="A85" t="inlineStr">
        <is>
          <t>A 72967-2021</t>
        </is>
      </c>
      <c r="B85" s="1" t="n">
        <v>44548</v>
      </c>
      <c r="C85" s="1" t="n">
        <v>45510</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72966-2021</t>
        </is>
      </c>
      <c r="B86" s="1" t="n">
        <v>44548</v>
      </c>
      <c r="C86" s="1" t="n">
        <v>45510</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73754-2021</t>
        </is>
      </c>
      <c r="B87" s="1" t="n">
        <v>44552</v>
      </c>
      <c r="C87" s="1" t="n">
        <v>45510</v>
      </c>
      <c r="D87" t="inlineStr">
        <is>
          <t>UPPSALA LÄN</t>
        </is>
      </c>
      <c r="E87" t="inlineStr">
        <is>
          <t>KNIVSTA</t>
        </is>
      </c>
      <c r="F87" t="inlineStr">
        <is>
          <t>Holmen skog AB</t>
        </is>
      </c>
      <c r="G87" t="n">
        <v>8.6</v>
      </c>
      <c r="H87" t="n">
        <v>0</v>
      </c>
      <c r="I87" t="n">
        <v>0</v>
      </c>
      <c r="J87" t="n">
        <v>0</v>
      </c>
      <c r="K87" t="n">
        <v>0</v>
      </c>
      <c r="L87" t="n">
        <v>0</v>
      </c>
      <c r="M87" t="n">
        <v>0</v>
      </c>
      <c r="N87" t="n">
        <v>0</v>
      </c>
      <c r="O87" t="n">
        <v>0</v>
      </c>
      <c r="P87" t="n">
        <v>0</v>
      </c>
      <c r="Q87" t="n">
        <v>0</v>
      </c>
      <c r="R87" s="2" t="inlineStr"/>
    </row>
    <row r="88" ht="15" customHeight="1">
      <c r="A88" t="inlineStr">
        <is>
          <t>A 1323-2022</t>
        </is>
      </c>
      <c r="B88" s="1" t="n">
        <v>44572</v>
      </c>
      <c r="C88" s="1" t="n">
        <v>45510</v>
      </c>
      <c r="D88" t="inlineStr">
        <is>
          <t>UPPSALA LÄN</t>
        </is>
      </c>
      <c r="E88" t="inlineStr">
        <is>
          <t>KNIVSTA</t>
        </is>
      </c>
      <c r="F88" t="inlineStr">
        <is>
          <t>Holmen skog AB</t>
        </is>
      </c>
      <c r="G88" t="n">
        <v>1.8</v>
      </c>
      <c r="H88" t="n">
        <v>0</v>
      </c>
      <c r="I88" t="n">
        <v>0</v>
      </c>
      <c r="J88" t="n">
        <v>0</v>
      </c>
      <c r="K88" t="n">
        <v>0</v>
      </c>
      <c r="L88" t="n">
        <v>0</v>
      </c>
      <c r="M88" t="n">
        <v>0</v>
      </c>
      <c r="N88" t="n">
        <v>0</v>
      </c>
      <c r="O88" t="n">
        <v>0</v>
      </c>
      <c r="P88" t="n">
        <v>0</v>
      </c>
      <c r="Q88" t="n">
        <v>0</v>
      </c>
      <c r="R88" s="2" t="inlineStr"/>
    </row>
    <row r="89" ht="15" customHeight="1">
      <c r="A89" t="inlineStr">
        <is>
          <t>A 8576-2022</t>
        </is>
      </c>
      <c r="B89" s="1" t="n">
        <v>44613</v>
      </c>
      <c r="C89" s="1" t="n">
        <v>45510</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45510</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16775-2022</t>
        </is>
      </c>
      <c r="B91" s="1" t="n">
        <v>44673</v>
      </c>
      <c r="C91" s="1" t="n">
        <v>45510</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18258-2022</t>
        </is>
      </c>
      <c r="B92" s="1" t="n">
        <v>44685</v>
      </c>
      <c r="C92" s="1" t="n">
        <v>45510</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18820-2022</t>
        </is>
      </c>
      <c r="B93" s="1" t="n">
        <v>44690</v>
      </c>
      <c r="C93" s="1" t="n">
        <v>45510</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24132-2022</t>
        </is>
      </c>
      <c r="B94" s="1" t="n">
        <v>44725</v>
      </c>
      <c r="C94" s="1" t="n">
        <v>45510</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45510</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26239-2022</t>
        </is>
      </c>
      <c r="B96" s="1" t="n">
        <v>44735</v>
      </c>
      <c r="C96" s="1" t="n">
        <v>45510</v>
      </c>
      <c r="D96" t="inlineStr">
        <is>
          <t>UPPSALA LÄN</t>
        </is>
      </c>
      <c r="E96" t="inlineStr">
        <is>
          <t>KNIVSTA</t>
        </is>
      </c>
      <c r="G96" t="n">
        <v>4.4</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45510</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45510</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45510</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45510</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46149-2022</t>
        </is>
      </c>
      <c r="B101" s="1" t="n">
        <v>44847</v>
      </c>
      <c r="C101" s="1" t="n">
        <v>45510</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45510</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11191-2023</t>
        </is>
      </c>
      <c r="B103" s="1" t="n">
        <v>44987</v>
      </c>
      <c r="C103" s="1" t="n">
        <v>45510</v>
      </c>
      <c r="D103" t="inlineStr">
        <is>
          <t>UPPSALA LÄN</t>
        </is>
      </c>
      <c r="E103" t="inlineStr">
        <is>
          <t>KNIVSTA</t>
        </is>
      </c>
      <c r="G103" t="n">
        <v>2</v>
      </c>
      <c r="H103" t="n">
        <v>0</v>
      </c>
      <c r="I103" t="n">
        <v>0</v>
      </c>
      <c r="J103" t="n">
        <v>0</v>
      </c>
      <c r="K103" t="n">
        <v>0</v>
      </c>
      <c r="L103" t="n">
        <v>0</v>
      </c>
      <c r="M103" t="n">
        <v>0</v>
      </c>
      <c r="N103" t="n">
        <v>0</v>
      </c>
      <c r="O103" t="n">
        <v>0</v>
      </c>
      <c r="P103" t="n">
        <v>0</v>
      </c>
      <c r="Q103" t="n">
        <v>0</v>
      </c>
      <c r="R103" s="2" t="inlineStr"/>
    </row>
    <row r="104" ht="15" customHeight="1">
      <c r="A104" t="inlineStr">
        <is>
          <t>A 10898-2023</t>
        </is>
      </c>
      <c r="B104" s="1" t="n">
        <v>44991</v>
      </c>
      <c r="C104" s="1" t="n">
        <v>45510</v>
      </c>
      <c r="D104" t="inlineStr">
        <is>
          <t>UPPSALA LÄN</t>
        </is>
      </c>
      <c r="E104" t="inlineStr">
        <is>
          <t>KNIVSTA</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10914-2023</t>
        </is>
      </c>
      <c r="B105" s="1" t="n">
        <v>44991</v>
      </c>
      <c r="C105" s="1" t="n">
        <v>45510</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45510</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11450-2023</t>
        </is>
      </c>
      <c r="B107" s="1" t="n">
        <v>44993</v>
      </c>
      <c r="C107" s="1" t="n">
        <v>45510</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11845-2023</t>
        </is>
      </c>
      <c r="B108" s="1" t="n">
        <v>44995</v>
      </c>
      <c r="C108" s="1" t="n">
        <v>45510</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11847-2023</t>
        </is>
      </c>
      <c r="B109" s="1" t="n">
        <v>44995</v>
      </c>
      <c r="C109" s="1" t="n">
        <v>45510</v>
      </c>
      <c r="D109" t="inlineStr">
        <is>
          <t>UPPSALA LÄN</t>
        </is>
      </c>
      <c r="E109" t="inlineStr">
        <is>
          <t>KNIVSTA</t>
        </is>
      </c>
      <c r="G109" t="n">
        <v>2.1</v>
      </c>
      <c r="H109" t="n">
        <v>0</v>
      </c>
      <c r="I109" t="n">
        <v>0</v>
      </c>
      <c r="J109" t="n">
        <v>0</v>
      </c>
      <c r="K109" t="n">
        <v>0</v>
      </c>
      <c r="L109" t="n">
        <v>0</v>
      </c>
      <c r="M109" t="n">
        <v>0</v>
      </c>
      <c r="N109" t="n">
        <v>0</v>
      </c>
      <c r="O109" t="n">
        <v>0</v>
      </c>
      <c r="P109" t="n">
        <v>0</v>
      </c>
      <c r="Q109" t="n">
        <v>0</v>
      </c>
      <c r="R109" s="2" t="inlineStr"/>
    </row>
    <row r="110" ht="15" customHeight="1">
      <c r="A110" t="inlineStr">
        <is>
          <t>A 11841-2023</t>
        </is>
      </c>
      <c r="B110" s="1" t="n">
        <v>44995</v>
      </c>
      <c r="C110" s="1" t="n">
        <v>45510</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15441-2023</t>
        </is>
      </c>
      <c r="B111" s="1" t="n">
        <v>45016</v>
      </c>
      <c r="C111" s="1" t="n">
        <v>45510</v>
      </c>
      <c r="D111" t="inlineStr">
        <is>
          <t>UPPSALA LÄN</t>
        </is>
      </c>
      <c r="E111" t="inlineStr">
        <is>
          <t>KNIVSTA</t>
        </is>
      </c>
      <c r="G111" t="n">
        <v>2.1</v>
      </c>
      <c r="H111" t="n">
        <v>0</v>
      </c>
      <c r="I111" t="n">
        <v>0</v>
      </c>
      <c r="J111" t="n">
        <v>0</v>
      </c>
      <c r="K111" t="n">
        <v>0</v>
      </c>
      <c r="L111" t="n">
        <v>0</v>
      </c>
      <c r="M111" t="n">
        <v>0</v>
      </c>
      <c r="N111" t="n">
        <v>0</v>
      </c>
      <c r="O111" t="n">
        <v>0</v>
      </c>
      <c r="P111" t="n">
        <v>0</v>
      </c>
      <c r="Q111" t="n">
        <v>0</v>
      </c>
      <c r="R111" s="2" t="inlineStr"/>
    </row>
    <row r="112" ht="15" customHeight="1">
      <c r="A112" t="inlineStr">
        <is>
          <t>A 16300-2023</t>
        </is>
      </c>
      <c r="B112" s="1" t="n">
        <v>45028</v>
      </c>
      <c r="C112" s="1" t="n">
        <v>45510</v>
      </c>
      <c r="D112" t="inlineStr">
        <is>
          <t>UPPSALA LÄN</t>
        </is>
      </c>
      <c r="E112" t="inlineStr">
        <is>
          <t>KNIVSTA</t>
        </is>
      </c>
      <c r="G112" t="n">
        <v>4</v>
      </c>
      <c r="H112" t="n">
        <v>0</v>
      </c>
      <c r="I112" t="n">
        <v>0</v>
      </c>
      <c r="J112" t="n">
        <v>0</v>
      </c>
      <c r="K112" t="n">
        <v>0</v>
      </c>
      <c r="L112" t="n">
        <v>0</v>
      </c>
      <c r="M112" t="n">
        <v>0</v>
      </c>
      <c r="N112" t="n">
        <v>0</v>
      </c>
      <c r="O112" t="n">
        <v>0</v>
      </c>
      <c r="P112" t="n">
        <v>0</v>
      </c>
      <c r="Q112" t="n">
        <v>0</v>
      </c>
      <c r="R112" s="2" t="inlineStr"/>
    </row>
    <row r="113" ht="15" customHeight="1">
      <c r="A113" t="inlineStr">
        <is>
          <t>A 16310-2023</t>
        </is>
      </c>
      <c r="B113" s="1" t="n">
        <v>45028</v>
      </c>
      <c r="C113" s="1" t="n">
        <v>45510</v>
      </c>
      <c r="D113" t="inlineStr">
        <is>
          <t>UPPSALA LÄN</t>
        </is>
      </c>
      <c r="E113" t="inlineStr">
        <is>
          <t>KNIVSTA</t>
        </is>
      </c>
      <c r="G113" t="n">
        <v>2.8</v>
      </c>
      <c r="H113" t="n">
        <v>0</v>
      </c>
      <c r="I113" t="n">
        <v>0</v>
      </c>
      <c r="J113" t="n">
        <v>0</v>
      </c>
      <c r="K113" t="n">
        <v>0</v>
      </c>
      <c r="L113" t="n">
        <v>0</v>
      </c>
      <c r="M113" t="n">
        <v>0</v>
      </c>
      <c r="N113" t="n">
        <v>0</v>
      </c>
      <c r="O113" t="n">
        <v>0</v>
      </c>
      <c r="P113" t="n">
        <v>0</v>
      </c>
      <c r="Q113" t="n">
        <v>0</v>
      </c>
      <c r="R113" s="2" t="inlineStr"/>
    </row>
    <row r="114" ht="15" customHeight="1">
      <c r="A114" t="inlineStr">
        <is>
          <t>A 16305-2023</t>
        </is>
      </c>
      <c r="B114" s="1" t="n">
        <v>45028</v>
      </c>
      <c r="C114" s="1" t="n">
        <v>45510</v>
      </c>
      <c r="D114" t="inlineStr">
        <is>
          <t>UPPSALA LÄN</t>
        </is>
      </c>
      <c r="E114" t="inlineStr">
        <is>
          <t>KNIVSTA</t>
        </is>
      </c>
      <c r="G114" t="n">
        <v>7.2</v>
      </c>
      <c r="H114" t="n">
        <v>0</v>
      </c>
      <c r="I114" t="n">
        <v>0</v>
      </c>
      <c r="J114" t="n">
        <v>0</v>
      </c>
      <c r="K114" t="n">
        <v>0</v>
      </c>
      <c r="L114" t="n">
        <v>0</v>
      </c>
      <c r="M114" t="n">
        <v>0</v>
      </c>
      <c r="N114" t="n">
        <v>0</v>
      </c>
      <c r="O114" t="n">
        <v>0</v>
      </c>
      <c r="P114" t="n">
        <v>0</v>
      </c>
      <c r="Q114" t="n">
        <v>0</v>
      </c>
      <c r="R114" s="2" t="inlineStr"/>
    </row>
    <row r="115" ht="15" customHeight="1">
      <c r="A115" t="inlineStr">
        <is>
          <t>A 16639-2023</t>
        </is>
      </c>
      <c r="B115" s="1" t="n">
        <v>45030</v>
      </c>
      <c r="C115" s="1" t="n">
        <v>45510</v>
      </c>
      <c r="D115" t="inlineStr">
        <is>
          <t>UPPSALA LÄN</t>
        </is>
      </c>
      <c r="E115" t="inlineStr">
        <is>
          <t>KNIVSTA</t>
        </is>
      </c>
      <c r="G115" t="n">
        <v>7</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v>
      </c>
      <c r="C116" s="1" t="n">
        <v>45510</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ht="15" customHeight="1">
      <c r="A117" t="inlineStr">
        <is>
          <t>A 17094-2023</t>
        </is>
      </c>
      <c r="B117" s="1" t="n">
        <v>45034</v>
      </c>
      <c r="C117" s="1" t="n">
        <v>45510</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17101-2023</t>
        </is>
      </c>
      <c r="B118" s="1" t="n">
        <v>45034</v>
      </c>
      <c r="C118" s="1" t="n">
        <v>45510</v>
      </c>
      <c r="D118" t="inlineStr">
        <is>
          <t>UPPSALA LÄN</t>
        </is>
      </c>
      <c r="E118" t="inlineStr">
        <is>
          <t>KNIVSTA</t>
        </is>
      </c>
      <c r="G118" t="n">
        <v>4.2</v>
      </c>
      <c r="H118" t="n">
        <v>0</v>
      </c>
      <c r="I118" t="n">
        <v>0</v>
      </c>
      <c r="J118" t="n">
        <v>0</v>
      </c>
      <c r="K118" t="n">
        <v>0</v>
      </c>
      <c r="L118" t="n">
        <v>0</v>
      </c>
      <c r="M118" t="n">
        <v>0</v>
      </c>
      <c r="N118" t="n">
        <v>0</v>
      </c>
      <c r="O118" t="n">
        <v>0</v>
      </c>
      <c r="P118" t="n">
        <v>0</v>
      </c>
      <c r="Q118" t="n">
        <v>0</v>
      </c>
      <c r="R118" s="2" t="inlineStr"/>
    </row>
    <row r="119" ht="15" customHeight="1">
      <c r="A119" t="inlineStr">
        <is>
          <t>A 23042-2023</t>
        </is>
      </c>
      <c r="B119" s="1" t="n">
        <v>45075</v>
      </c>
      <c r="C119" s="1" t="n">
        <v>45510</v>
      </c>
      <c r="D119" t="inlineStr">
        <is>
          <t>UPPSALA LÄN</t>
        </is>
      </c>
      <c r="E119" t="inlineStr">
        <is>
          <t>KNIVSTA</t>
        </is>
      </c>
      <c r="G119" t="n">
        <v>1.6</v>
      </c>
      <c r="H119" t="n">
        <v>0</v>
      </c>
      <c r="I119" t="n">
        <v>0</v>
      </c>
      <c r="J119" t="n">
        <v>0</v>
      </c>
      <c r="K119" t="n">
        <v>0</v>
      </c>
      <c r="L119" t="n">
        <v>0</v>
      </c>
      <c r="M119" t="n">
        <v>0</v>
      </c>
      <c r="N119" t="n">
        <v>0</v>
      </c>
      <c r="O119" t="n">
        <v>0</v>
      </c>
      <c r="P119" t="n">
        <v>0</v>
      </c>
      <c r="Q119" t="n">
        <v>0</v>
      </c>
      <c r="R119" s="2" t="inlineStr"/>
    </row>
    <row r="120" ht="15" customHeight="1">
      <c r="A120" t="inlineStr">
        <is>
          <t>A 23239-2023</t>
        </is>
      </c>
      <c r="B120" s="1" t="n">
        <v>45075</v>
      </c>
      <c r="C120" s="1" t="n">
        <v>45510</v>
      </c>
      <c r="D120" t="inlineStr">
        <is>
          <t>UPPSALA LÄN</t>
        </is>
      </c>
      <c r="E120" t="inlineStr">
        <is>
          <t>KNIVSTA</t>
        </is>
      </c>
      <c r="G120" t="n">
        <v>1.8</v>
      </c>
      <c r="H120" t="n">
        <v>0</v>
      </c>
      <c r="I120" t="n">
        <v>0</v>
      </c>
      <c r="J120" t="n">
        <v>0</v>
      </c>
      <c r="K120" t="n">
        <v>0</v>
      </c>
      <c r="L120" t="n">
        <v>0</v>
      </c>
      <c r="M120" t="n">
        <v>0</v>
      </c>
      <c r="N120" t="n">
        <v>0</v>
      </c>
      <c r="O120" t="n">
        <v>0</v>
      </c>
      <c r="P120" t="n">
        <v>0</v>
      </c>
      <c r="Q120" t="n">
        <v>0</v>
      </c>
      <c r="R120" s="2" t="inlineStr"/>
    </row>
    <row r="121" ht="15" customHeight="1">
      <c r="A121" t="inlineStr">
        <is>
          <t>A 23466-2023</t>
        </is>
      </c>
      <c r="B121" s="1" t="n">
        <v>45076</v>
      </c>
      <c r="C121" s="1" t="n">
        <v>45510</v>
      </c>
      <c r="D121" t="inlineStr">
        <is>
          <t>UPPSALA LÄN</t>
        </is>
      </c>
      <c r="E121" t="inlineStr">
        <is>
          <t>KNIVSTA</t>
        </is>
      </c>
      <c r="G121" t="n">
        <v>2.6</v>
      </c>
      <c r="H121" t="n">
        <v>0</v>
      </c>
      <c r="I121" t="n">
        <v>0</v>
      </c>
      <c r="J121" t="n">
        <v>0</v>
      </c>
      <c r="K121" t="n">
        <v>0</v>
      </c>
      <c r="L121" t="n">
        <v>0</v>
      </c>
      <c r="M121" t="n">
        <v>0</v>
      </c>
      <c r="N121" t="n">
        <v>0</v>
      </c>
      <c r="O121" t="n">
        <v>0</v>
      </c>
      <c r="P121" t="n">
        <v>0</v>
      </c>
      <c r="Q121" t="n">
        <v>0</v>
      </c>
      <c r="R121" s="2" t="inlineStr"/>
    </row>
    <row r="122" ht="15" customHeight="1">
      <c r="A122" t="inlineStr">
        <is>
          <t>A 29220-2023</t>
        </is>
      </c>
      <c r="B122" s="1" t="n">
        <v>45097</v>
      </c>
      <c r="C122" s="1" t="n">
        <v>45510</v>
      </c>
      <c r="D122" t="inlineStr">
        <is>
          <t>UPPSALA LÄN</t>
        </is>
      </c>
      <c r="E122" t="inlineStr">
        <is>
          <t>KNIVSTA</t>
        </is>
      </c>
      <c r="G122" t="n">
        <v>21.3</v>
      </c>
      <c r="H122" t="n">
        <v>0</v>
      </c>
      <c r="I122" t="n">
        <v>0</v>
      </c>
      <c r="J122" t="n">
        <v>0</v>
      </c>
      <c r="K122" t="n">
        <v>0</v>
      </c>
      <c r="L122" t="n">
        <v>0</v>
      </c>
      <c r="M122" t="n">
        <v>0</v>
      </c>
      <c r="N122" t="n">
        <v>0</v>
      </c>
      <c r="O122" t="n">
        <v>0</v>
      </c>
      <c r="P122" t="n">
        <v>0</v>
      </c>
      <c r="Q122" t="n">
        <v>0</v>
      </c>
      <c r="R122" s="2" t="inlineStr"/>
    </row>
    <row r="123" ht="15" customHeight="1">
      <c r="A123" t="inlineStr">
        <is>
          <t>A 30111-2023</t>
        </is>
      </c>
      <c r="B123" s="1" t="n">
        <v>45110</v>
      </c>
      <c r="C123" s="1" t="n">
        <v>45510</v>
      </c>
      <c r="D123" t="inlineStr">
        <is>
          <t>UPPSALA LÄN</t>
        </is>
      </c>
      <c r="E123" t="inlineStr">
        <is>
          <t>KNIVSTA</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30128-2023</t>
        </is>
      </c>
      <c r="B124" s="1" t="n">
        <v>45110</v>
      </c>
      <c r="C124" s="1" t="n">
        <v>45510</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30167-2023</t>
        </is>
      </c>
      <c r="B125" s="1" t="n">
        <v>45110</v>
      </c>
      <c r="C125" s="1" t="n">
        <v>45510</v>
      </c>
      <c r="D125" t="inlineStr">
        <is>
          <t>UPPSALA LÄN</t>
        </is>
      </c>
      <c r="E125" t="inlineStr">
        <is>
          <t>KNIVSTA</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30178-2023</t>
        </is>
      </c>
      <c r="B126" s="1" t="n">
        <v>45110</v>
      </c>
      <c r="C126" s="1" t="n">
        <v>45510</v>
      </c>
      <c r="D126" t="inlineStr">
        <is>
          <t>UPPSALA LÄN</t>
        </is>
      </c>
      <c r="E126" t="inlineStr">
        <is>
          <t>KNIVSTA</t>
        </is>
      </c>
      <c r="F126" t="inlineStr">
        <is>
          <t>Holmen skog AB</t>
        </is>
      </c>
      <c r="G126" t="n">
        <v>2.9</v>
      </c>
      <c r="H126" t="n">
        <v>0</v>
      </c>
      <c r="I126" t="n">
        <v>0</v>
      </c>
      <c r="J126" t="n">
        <v>0</v>
      </c>
      <c r="K126" t="n">
        <v>0</v>
      </c>
      <c r="L126" t="n">
        <v>0</v>
      </c>
      <c r="M126" t="n">
        <v>0</v>
      </c>
      <c r="N126" t="n">
        <v>0</v>
      </c>
      <c r="O126" t="n">
        <v>0</v>
      </c>
      <c r="P126" t="n">
        <v>0</v>
      </c>
      <c r="Q126" t="n">
        <v>0</v>
      </c>
      <c r="R126" s="2" t="inlineStr"/>
    </row>
    <row r="127" ht="15" customHeight="1">
      <c r="A127" t="inlineStr">
        <is>
          <t>A 30693-2023</t>
        </is>
      </c>
      <c r="B127" s="1" t="n">
        <v>45112</v>
      </c>
      <c r="C127" s="1" t="n">
        <v>45510</v>
      </c>
      <c r="D127" t="inlineStr">
        <is>
          <t>UPPSALA LÄN</t>
        </is>
      </c>
      <c r="E127" t="inlineStr">
        <is>
          <t>KNIVSTA</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30719-2023</t>
        </is>
      </c>
      <c r="B128" s="1" t="n">
        <v>45112</v>
      </c>
      <c r="C128" s="1" t="n">
        <v>45510</v>
      </c>
      <c r="D128" t="inlineStr">
        <is>
          <t>UPPSALA LÄN</t>
        </is>
      </c>
      <c r="E128" t="inlineStr">
        <is>
          <t>KNIVSTA</t>
        </is>
      </c>
      <c r="F128" t="inlineStr">
        <is>
          <t>Holmen skog AB</t>
        </is>
      </c>
      <c r="G128" t="n">
        <v>4.9</v>
      </c>
      <c r="H128" t="n">
        <v>0</v>
      </c>
      <c r="I128" t="n">
        <v>0</v>
      </c>
      <c r="J128" t="n">
        <v>0</v>
      </c>
      <c r="K128" t="n">
        <v>0</v>
      </c>
      <c r="L128" t="n">
        <v>0</v>
      </c>
      <c r="M128" t="n">
        <v>0</v>
      </c>
      <c r="N128" t="n">
        <v>0</v>
      </c>
      <c r="O128" t="n">
        <v>0</v>
      </c>
      <c r="P128" t="n">
        <v>0</v>
      </c>
      <c r="Q128" t="n">
        <v>0</v>
      </c>
      <c r="R128" s="2" t="inlineStr"/>
    </row>
    <row r="129" ht="15" customHeight="1">
      <c r="A129" t="inlineStr">
        <is>
          <t>A 30627-2023</t>
        </is>
      </c>
      <c r="B129" s="1" t="n">
        <v>45112</v>
      </c>
      <c r="C129" s="1" t="n">
        <v>45510</v>
      </c>
      <c r="D129" t="inlineStr">
        <is>
          <t>UPPSALA LÄN</t>
        </is>
      </c>
      <c r="E129" t="inlineStr">
        <is>
          <t>KNIVSTA</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30764-2023</t>
        </is>
      </c>
      <c r="B130" s="1" t="n">
        <v>45112</v>
      </c>
      <c r="C130" s="1" t="n">
        <v>45510</v>
      </c>
      <c r="D130" t="inlineStr">
        <is>
          <t>UPPSALA LÄN</t>
        </is>
      </c>
      <c r="E130" t="inlineStr">
        <is>
          <t>KNIVSTA</t>
        </is>
      </c>
      <c r="F130" t="inlineStr">
        <is>
          <t>Holmen skog AB</t>
        </is>
      </c>
      <c r="G130" t="n">
        <v>0.9</v>
      </c>
      <c r="H130" t="n">
        <v>0</v>
      </c>
      <c r="I130" t="n">
        <v>0</v>
      </c>
      <c r="J130" t="n">
        <v>0</v>
      </c>
      <c r="K130" t="n">
        <v>0</v>
      </c>
      <c r="L130" t="n">
        <v>0</v>
      </c>
      <c r="M130" t="n">
        <v>0</v>
      </c>
      <c r="N130" t="n">
        <v>0</v>
      </c>
      <c r="O130" t="n">
        <v>0</v>
      </c>
      <c r="P130" t="n">
        <v>0</v>
      </c>
      <c r="Q130" t="n">
        <v>0</v>
      </c>
      <c r="R130" s="2" t="inlineStr"/>
    </row>
    <row r="131" ht="15" customHeight="1">
      <c r="A131" t="inlineStr">
        <is>
          <t>A 32654-2023</t>
        </is>
      </c>
      <c r="B131" s="1" t="n">
        <v>45121</v>
      </c>
      <c r="C131" s="1" t="n">
        <v>45510</v>
      </c>
      <c r="D131" t="inlineStr">
        <is>
          <t>UPPSALA LÄN</t>
        </is>
      </c>
      <c r="E131" t="inlineStr">
        <is>
          <t>KNIVSTA</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32658-2023</t>
        </is>
      </c>
      <c r="B132" s="1" t="n">
        <v>45121</v>
      </c>
      <c r="C132" s="1" t="n">
        <v>45510</v>
      </c>
      <c r="D132" t="inlineStr">
        <is>
          <t>UPPSALA LÄN</t>
        </is>
      </c>
      <c r="E132" t="inlineStr">
        <is>
          <t>KNIVSTA</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32663-2023</t>
        </is>
      </c>
      <c r="B133" s="1" t="n">
        <v>45121</v>
      </c>
      <c r="C133" s="1" t="n">
        <v>45510</v>
      </c>
      <c r="D133" t="inlineStr">
        <is>
          <t>UPPSALA LÄN</t>
        </is>
      </c>
      <c r="E133" t="inlineStr">
        <is>
          <t>KNIVSTA</t>
        </is>
      </c>
      <c r="F133" t="inlineStr">
        <is>
          <t>Holmen skog AB</t>
        </is>
      </c>
      <c r="G133" t="n">
        <v>0.7</v>
      </c>
      <c r="H133" t="n">
        <v>0</v>
      </c>
      <c r="I133" t="n">
        <v>0</v>
      </c>
      <c r="J133" t="n">
        <v>0</v>
      </c>
      <c r="K133" t="n">
        <v>0</v>
      </c>
      <c r="L133" t="n">
        <v>0</v>
      </c>
      <c r="M133" t="n">
        <v>0</v>
      </c>
      <c r="N133" t="n">
        <v>0</v>
      </c>
      <c r="O133" t="n">
        <v>0</v>
      </c>
      <c r="P133" t="n">
        <v>0</v>
      </c>
      <c r="Q133" t="n">
        <v>0</v>
      </c>
      <c r="R133" s="2" t="inlineStr"/>
    </row>
    <row r="134" ht="15" customHeight="1">
      <c r="A134" t="inlineStr">
        <is>
          <t>A 33776-2023</t>
        </is>
      </c>
      <c r="B134" s="1" t="n">
        <v>45133</v>
      </c>
      <c r="C134" s="1" t="n">
        <v>45510</v>
      </c>
      <c r="D134" t="inlineStr">
        <is>
          <t>UPPSALA LÄN</t>
        </is>
      </c>
      <c r="E134" t="inlineStr">
        <is>
          <t>KNIVSTA</t>
        </is>
      </c>
      <c r="F134" t="inlineStr">
        <is>
          <t>Holmen skog AB</t>
        </is>
      </c>
      <c r="G134" t="n">
        <v>3.9</v>
      </c>
      <c r="H134" t="n">
        <v>0</v>
      </c>
      <c r="I134" t="n">
        <v>0</v>
      </c>
      <c r="J134" t="n">
        <v>0</v>
      </c>
      <c r="K134" t="n">
        <v>0</v>
      </c>
      <c r="L134" t="n">
        <v>0</v>
      </c>
      <c r="M134" t="n">
        <v>0</v>
      </c>
      <c r="N134" t="n">
        <v>0</v>
      </c>
      <c r="O134" t="n">
        <v>0</v>
      </c>
      <c r="P134" t="n">
        <v>0</v>
      </c>
      <c r="Q134" t="n">
        <v>0</v>
      </c>
      <c r="R134" s="2" t="inlineStr"/>
    </row>
    <row r="135" ht="15" customHeight="1">
      <c r="A135" t="inlineStr">
        <is>
          <t>A 33777-2023</t>
        </is>
      </c>
      <c r="B135" s="1" t="n">
        <v>45133</v>
      </c>
      <c r="C135" s="1" t="n">
        <v>45510</v>
      </c>
      <c r="D135" t="inlineStr">
        <is>
          <t>UPPSALA LÄN</t>
        </is>
      </c>
      <c r="E135" t="inlineStr">
        <is>
          <t>KNIVSTA</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38584-2023</t>
        </is>
      </c>
      <c r="B136" s="1" t="n">
        <v>45162</v>
      </c>
      <c r="C136" s="1" t="n">
        <v>45510</v>
      </c>
      <c r="D136" t="inlineStr">
        <is>
          <t>UPPSALA LÄN</t>
        </is>
      </c>
      <c r="E136" t="inlineStr">
        <is>
          <t>KNIVSTA</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40024-2023</t>
        </is>
      </c>
      <c r="B137" s="1" t="n">
        <v>45167</v>
      </c>
      <c r="C137" s="1" t="n">
        <v>45510</v>
      </c>
      <c r="D137" t="inlineStr">
        <is>
          <t>UPPSALA LÄN</t>
        </is>
      </c>
      <c r="E137" t="inlineStr">
        <is>
          <t>KNIVSTA</t>
        </is>
      </c>
      <c r="G137" t="n">
        <v>5.3</v>
      </c>
      <c r="H137" t="n">
        <v>0</v>
      </c>
      <c r="I137" t="n">
        <v>0</v>
      </c>
      <c r="J137" t="n">
        <v>0</v>
      </c>
      <c r="K137" t="n">
        <v>0</v>
      </c>
      <c r="L137" t="n">
        <v>0</v>
      </c>
      <c r="M137" t="n">
        <v>0</v>
      </c>
      <c r="N137" t="n">
        <v>0</v>
      </c>
      <c r="O137" t="n">
        <v>0</v>
      </c>
      <c r="P137" t="n">
        <v>0</v>
      </c>
      <c r="Q137" t="n">
        <v>0</v>
      </c>
      <c r="R137" s="2" t="inlineStr"/>
    </row>
    <row r="138" ht="15" customHeight="1">
      <c r="A138" t="inlineStr">
        <is>
          <t>A 43699-2023</t>
        </is>
      </c>
      <c r="B138" s="1" t="n">
        <v>45187</v>
      </c>
      <c r="C138" s="1" t="n">
        <v>45510</v>
      </c>
      <c r="D138" t="inlineStr">
        <is>
          <t>UPPSALA LÄN</t>
        </is>
      </c>
      <c r="E138" t="inlineStr">
        <is>
          <t>KNIVSTA</t>
        </is>
      </c>
      <c r="G138" t="n">
        <v>5.2</v>
      </c>
      <c r="H138" t="n">
        <v>0</v>
      </c>
      <c r="I138" t="n">
        <v>0</v>
      </c>
      <c r="J138" t="n">
        <v>0</v>
      </c>
      <c r="K138" t="n">
        <v>0</v>
      </c>
      <c r="L138" t="n">
        <v>0</v>
      </c>
      <c r="M138" t="n">
        <v>0</v>
      </c>
      <c r="N138" t="n">
        <v>0</v>
      </c>
      <c r="O138" t="n">
        <v>0</v>
      </c>
      <c r="P138" t="n">
        <v>0</v>
      </c>
      <c r="Q138" t="n">
        <v>0</v>
      </c>
      <c r="R138" s="2" t="inlineStr"/>
    </row>
    <row r="139" ht="15" customHeight="1">
      <c r="A139" t="inlineStr">
        <is>
          <t>A 43905-2023</t>
        </is>
      </c>
      <c r="B139" s="1" t="n">
        <v>45187</v>
      </c>
      <c r="C139" s="1" t="n">
        <v>45510</v>
      </c>
      <c r="D139" t="inlineStr">
        <is>
          <t>UPPSALA LÄN</t>
        </is>
      </c>
      <c r="E139" t="inlineStr">
        <is>
          <t>KNIVSTA</t>
        </is>
      </c>
      <c r="F139" t="inlineStr">
        <is>
          <t>Kyrkan</t>
        </is>
      </c>
      <c r="G139" t="n">
        <v>2.4</v>
      </c>
      <c r="H139" t="n">
        <v>0</v>
      </c>
      <c r="I139" t="n">
        <v>0</v>
      </c>
      <c r="J139" t="n">
        <v>0</v>
      </c>
      <c r="K139" t="n">
        <v>0</v>
      </c>
      <c r="L139" t="n">
        <v>0</v>
      </c>
      <c r="M139" t="n">
        <v>0</v>
      </c>
      <c r="N139" t="n">
        <v>0</v>
      </c>
      <c r="O139" t="n">
        <v>0</v>
      </c>
      <c r="P139" t="n">
        <v>0</v>
      </c>
      <c r="Q139" t="n">
        <v>0</v>
      </c>
      <c r="R139" s="2" t="inlineStr"/>
    </row>
    <row r="140" ht="15" customHeight="1">
      <c r="A140" t="inlineStr">
        <is>
          <t>A 43908-2023</t>
        </is>
      </c>
      <c r="B140" s="1" t="n">
        <v>45187</v>
      </c>
      <c r="C140" s="1" t="n">
        <v>45510</v>
      </c>
      <c r="D140" t="inlineStr">
        <is>
          <t>UPPSALA LÄN</t>
        </is>
      </c>
      <c r="E140" t="inlineStr">
        <is>
          <t>KNIVSTA</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45525-2023</t>
        </is>
      </c>
      <c r="B141" s="1" t="n">
        <v>45194</v>
      </c>
      <c r="C141" s="1" t="n">
        <v>45510</v>
      </c>
      <c r="D141" t="inlineStr">
        <is>
          <t>UPPSALA LÄN</t>
        </is>
      </c>
      <c r="E141" t="inlineStr">
        <is>
          <t>KNIVSTA</t>
        </is>
      </c>
      <c r="G141" t="n">
        <v>0.7</v>
      </c>
      <c r="H141" t="n">
        <v>0</v>
      </c>
      <c r="I141" t="n">
        <v>0</v>
      </c>
      <c r="J141" t="n">
        <v>0</v>
      </c>
      <c r="K141" t="n">
        <v>0</v>
      </c>
      <c r="L141" t="n">
        <v>0</v>
      </c>
      <c r="M141" t="n">
        <v>0</v>
      </c>
      <c r="N141" t="n">
        <v>0</v>
      </c>
      <c r="O141" t="n">
        <v>0</v>
      </c>
      <c r="P141" t="n">
        <v>0</v>
      </c>
      <c r="Q141" t="n">
        <v>0</v>
      </c>
      <c r="R141" s="2" t="inlineStr"/>
    </row>
    <row r="142" ht="15" customHeight="1">
      <c r="A142" t="inlineStr">
        <is>
          <t>A 46160-2023</t>
        </is>
      </c>
      <c r="B142" s="1" t="n">
        <v>45196</v>
      </c>
      <c r="C142" s="1" t="n">
        <v>45510</v>
      </c>
      <c r="D142" t="inlineStr">
        <is>
          <t>UPPSALA LÄN</t>
        </is>
      </c>
      <c r="E142" t="inlineStr">
        <is>
          <t>KNIVSTA</t>
        </is>
      </c>
      <c r="G142" t="n">
        <v>0.5</v>
      </c>
      <c r="H142" t="n">
        <v>0</v>
      </c>
      <c r="I142" t="n">
        <v>0</v>
      </c>
      <c r="J142" t="n">
        <v>0</v>
      </c>
      <c r="K142" t="n">
        <v>0</v>
      </c>
      <c r="L142" t="n">
        <v>0</v>
      </c>
      <c r="M142" t="n">
        <v>0</v>
      </c>
      <c r="N142" t="n">
        <v>0</v>
      </c>
      <c r="O142" t="n">
        <v>0</v>
      </c>
      <c r="P142" t="n">
        <v>0</v>
      </c>
      <c r="Q142" t="n">
        <v>0</v>
      </c>
      <c r="R142" s="2" t="inlineStr"/>
    </row>
    <row r="143" ht="15" customHeight="1">
      <c r="A143" t="inlineStr">
        <is>
          <t>A 49894-2023</t>
        </is>
      </c>
      <c r="B143" s="1" t="n">
        <v>45213</v>
      </c>
      <c r="C143" s="1" t="n">
        <v>45510</v>
      </c>
      <c r="D143" t="inlineStr">
        <is>
          <t>UPPSALA LÄN</t>
        </is>
      </c>
      <c r="E143" t="inlineStr">
        <is>
          <t>KNIVSTA</t>
        </is>
      </c>
      <c r="G143" t="n">
        <v>17.8</v>
      </c>
      <c r="H143" t="n">
        <v>0</v>
      </c>
      <c r="I143" t="n">
        <v>0</v>
      </c>
      <c r="J143" t="n">
        <v>0</v>
      </c>
      <c r="K143" t="n">
        <v>0</v>
      </c>
      <c r="L143" t="n">
        <v>0</v>
      </c>
      <c r="M143" t="n">
        <v>0</v>
      </c>
      <c r="N143" t="n">
        <v>0</v>
      </c>
      <c r="O143" t="n">
        <v>0</v>
      </c>
      <c r="P143" t="n">
        <v>0</v>
      </c>
      <c r="Q143" t="n">
        <v>0</v>
      </c>
      <c r="R143" s="2" t="inlineStr"/>
    </row>
    <row r="144" ht="15" customHeight="1">
      <c r="A144" t="inlineStr">
        <is>
          <t>A 49896-2023</t>
        </is>
      </c>
      <c r="B144" s="1" t="n">
        <v>45213</v>
      </c>
      <c r="C144" s="1" t="n">
        <v>45510</v>
      </c>
      <c r="D144" t="inlineStr">
        <is>
          <t>UPPSALA LÄN</t>
        </is>
      </c>
      <c r="E144" t="inlineStr">
        <is>
          <t>KNIVSTA</t>
        </is>
      </c>
      <c r="G144" t="n">
        <v>4.8</v>
      </c>
      <c r="H144" t="n">
        <v>0</v>
      </c>
      <c r="I144" t="n">
        <v>0</v>
      </c>
      <c r="J144" t="n">
        <v>0</v>
      </c>
      <c r="K144" t="n">
        <v>0</v>
      </c>
      <c r="L144" t="n">
        <v>0</v>
      </c>
      <c r="M144" t="n">
        <v>0</v>
      </c>
      <c r="N144" t="n">
        <v>0</v>
      </c>
      <c r="O144" t="n">
        <v>0</v>
      </c>
      <c r="P144" t="n">
        <v>0</v>
      </c>
      <c r="Q144" t="n">
        <v>0</v>
      </c>
      <c r="R144" s="2" t="inlineStr"/>
    </row>
    <row r="145" ht="15" customHeight="1">
      <c r="A145" t="inlineStr">
        <is>
          <t>A 51622-2023</t>
        </is>
      </c>
      <c r="B145" s="1" t="n">
        <v>45222</v>
      </c>
      <c r="C145" s="1" t="n">
        <v>45510</v>
      </c>
      <c r="D145" t="inlineStr">
        <is>
          <t>UPPSALA LÄN</t>
        </is>
      </c>
      <c r="E145" t="inlineStr">
        <is>
          <t>KNIVSTA</t>
        </is>
      </c>
      <c r="G145" t="n">
        <v>5.6</v>
      </c>
      <c r="H145" t="n">
        <v>0</v>
      </c>
      <c r="I145" t="n">
        <v>0</v>
      </c>
      <c r="J145" t="n">
        <v>0</v>
      </c>
      <c r="K145" t="n">
        <v>0</v>
      </c>
      <c r="L145" t="n">
        <v>0</v>
      </c>
      <c r="M145" t="n">
        <v>0</v>
      </c>
      <c r="N145" t="n">
        <v>0</v>
      </c>
      <c r="O145" t="n">
        <v>0</v>
      </c>
      <c r="P145" t="n">
        <v>0</v>
      </c>
      <c r="Q145" t="n">
        <v>0</v>
      </c>
      <c r="R145" s="2" t="inlineStr"/>
    </row>
    <row r="146" ht="15" customHeight="1">
      <c r="A146" t="inlineStr">
        <is>
          <t>A 51633-2023</t>
        </is>
      </c>
      <c r="B146" s="1" t="n">
        <v>45222</v>
      </c>
      <c r="C146" s="1" t="n">
        <v>45510</v>
      </c>
      <c r="D146" t="inlineStr">
        <is>
          <t>UPPSALA LÄN</t>
        </is>
      </c>
      <c r="E146" t="inlineStr">
        <is>
          <t>KNIVSTA</t>
        </is>
      </c>
      <c r="G146" t="n">
        <v>3.4</v>
      </c>
      <c r="H146" t="n">
        <v>0</v>
      </c>
      <c r="I146" t="n">
        <v>0</v>
      </c>
      <c r="J146" t="n">
        <v>0</v>
      </c>
      <c r="K146" t="n">
        <v>0</v>
      </c>
      <c r="L146" t="n">
        <v>0</v>
      </c>
      <c r="M146" t="n">
        <v>0</v>
      </c>
      <c r="N146" t="n">
        <v>0</v>
      </c>
      <c r="O146" t="n">
        <v>0</v>
      </c>
      <c r="P146" t="n">
        <v>0</v>
      </c>
      <c r="Q146" t="n">
        <v>0</v>
      </c>
      <c r="R146" s="2" t="inlineStr"/>
    </row>
    <row r="147" ht="15" customHeight="1">
      <c r="A147" t="inlineStr">
        <is>
          <t>A 51849-2023</t>
        </is>
      </c>
      <c r="B147" s="1" t="n">
        <v>45223</v>
      </c>
      <c r="C147" s="1" t="n">
        <v>45510</v>
      </c>
      <c r="D147" t="inlineStr">
        <is>
          <t>UPPSALA LÄN</t>
        </is>
      </c>
      <c r="E147" t="inlineStr">
        <is>
          <t>KNIVSTA</t>
        </is>
      </c>
      <c r="G147" t="n">
        <v>16.3</v>
      </c>
      <c r="H147" t="n">
        <v>0</v>
      </c>
      <c r="I147" t="n">
        <v>0</v>
      </c>
      <c r="J147" t="n">
        <v>0</v>
      </c>
      <c r="K147" t="n">
        <v>0</v>
      </c>
      <c r="L147" t="n">
        <v>0</v>
      </c>
      <c r="M147" t="n">
        <v>0</v>
      </c>
      <c r="N147" t="n">
        <v>0</v>
      </c>
      <c r="O147" t="n">
        <v>0</v>
      </c>
      <c r="P147" t="n">
        <v>0</v>
      </c>
      <c r="Q147" t="n">
        <v>0</v>
      </c>
      <c r="R147" s="2" t="inlineStr"/>
    </row>
    <row r="148" ht="15" customHeight="1">
      <c r="A148" t="inlineStr">
        <is>
          <t>A 56364-2023</t>
        </is>
      </c>
      <c r="B148" s="1" t="n">
        <v>45236</v>
      </c>
      <c r="C148" s="1" t="n">
        <v>45510</v>
      </c>
      <c r="D148" t="inlineStr">
        <is>
          <t>UPPSALA LÄN</t>
        </is>
      </c>
      <c r="E148" t="inlineStr">
        <is>
          <t>KNIVSTA</t>
        </is>
      </c>
      <c r="G148" t="n">
        <v>5.4</v>
      </c>
      <c r="H148" t="n">
        <v>0</v>
      </c>
      <c r="I148" t="n">
        <v>0</v>
      </c>
      <c r="J148" t="n">
        <v>0</v>
      </c>
      <c r="K148" t="n">
        <v>0</v>
      </c>
      <c r="L148" t="n">
        <v>0</v>
      </c>
      <c r="M148" t="n">
        <v>0</v>
      </c>
      <c r="N148" t="n">
        <v>0</v>
      </c>
      <c r="O148" t="n">
        <v>0</v>
      </c>
      <c r="P148" t="n">
        <v>0</v>
      </c>
      <c r="Q148" t="n">
        <v>0</v>
      </c>
      <c r="R148" s="2" t="inlineStr"/>
    </row>
    <row r="149" ht="15" customHeight="1">
      <c r="A149" t="inlineStr">
        <is>
          <t>A 57351-2023</t>
        </is>
      </c>
      <c r="B149" s="1" t="n">
        <v>45245</v>
      </c>
      <c r="C149" s="1" t="n">
        <v>45510</v>
      </c>
      <c r="D149" t="inlineStr">
        <is>
          <t>UPPSALA LÄN</t>
        </is>
      </c>
      <c r="E149" t="inlineStr">
        <is>
          <t>KNIVSTA</t>
        </is>
      </c>
      <c r="G149" t="n">
        <v>1.1</v>
      </c>
      <c r="H149" t="n">
        <v>0</v>
      </c>
      <c r="I149" t="n">
        <v>0</v>
      </c>
      <c r="J149" t="n">
        <v>0</v>
      </c>
      <c r="K149" t="n">
        <v>0</v>
      </c>
      <c r="L149" t="n">
        <v>0</v>
      </c>
      <c r="M149" t="n">
        <v>0</v>
      </c>
      <c r="N149" t="n">
        <v>0</v>
      </c>
      <c r="O149" t="n">
        <v>0</v>
      </c>
      <c r="P149" t="n">
        <v>0</v>
      </c>
      <c r="Q149" t="n">
        <v>0</v>
      </c>
      <c r="R149" s="2" t="inlineStr"/>
    </row>
    <row r="150" ht="15" customHeight="1">
      <c r="A150" t="inlineStr">
        <is>
          <t>A 61724-2023</t>
        </is>
      </c>
      <c r="B150" s="1" t="n">
        <v>45264</v>
      </c>
      <c r="C150" s="1" t="n">
        <v>45510</v>
      </c>
      <c r="D150" t="inlineStr">
        <is>
          <t>UPPSALA LÄN</t>
        </is>
      </c>
      <c r="E150" t="inlineStr">
        <is>
          <t>KNIVSTA</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792-2024</t>
        </is>
      </c>
      <c r="B151" s="1" t="n">
        <v>45300</v>
      </c>
      <c r="C151" s="1" t="n">
        <v>45510</v>
      </c>
      <c r="D151" t="inlineStr">
        <is>
          <t>UPPSALA LÄN</t>
        </is>
      </c>
      <c r="E151" t="inlineStr">
        <is>
          <t>KNIVSTA</t>
        </is>
      </c>
      <c r="G151" t="n">
        <v>4.1</v>
      </c>
      <c r="H151" t="n">
        <v>0</v>
      </c>
      <c r="I151" t="n">
        <v>0</v>
      </c>
      <c r="J151" t="n">
        <v>0</v>
      </c>
      <c r="K151" t="n">
        <v>0</v>
      </c>
      <c r="L151" t="n">
        <v>0</v>
      </c>
      <c r="M151" t="n">
        <v>0</v>
      </c>
      <c r="N151" t="n">
        <v>0</v>
      </c>
      <c r="O151" t="n">
        <v>0</v>
      </c>
      <c r="P151" t="n">
        <v>0</v>
      </c>
      <c r="Q151" t="n">
        <v>0</v>
      </c>
      <c r="R151" s="2" t="inlineStr"/>
    </row>
    <row r="152" ht="15" customHeight="1">
      <c r="A152" t="inlineStr">
        <is>
          <t>A 794-2024</t>
        </is>
      </c>
      <c r="B152" s="1" t="n">
        <v>45300</v>
      </c>
      <c r="C152" s="1" t="n">
        <v>45510</v>
      </c>
      <c r="D152" t="inlineStr">
        <is>
          <t>UPPSALA LÄN</t>
        </is>
      </c>
      <c r="E152" t="inlineStr">
        <is>
          <t>KNIVSTA</t>
        </is>
      </c>
      <c r="G152" t="n">
        <v>1.6</v>
      </c>
      <c r="H152" t="n">
        <v>0</v>
      </c>
      <c r="I152" t="n">
        <v>0</v>
      </c>
      <c r="J152" t="n">
        <v>0</v>
      </c>
      <c r="K152" t="n">
        <v>0</v>
      </c>
      <c r="L152" t="n">
        <v>0</v>
      </c>
      <c r="M152" t="n">
        <v>0</v>
      </c>
      <c r="N152" t="n">
        <v>0</v>
      </c>
      <c r="O152" t="n">
        <v>0</v>
      </c>
      <c r="P152" t="n">
        <v>0</v>
      </c>
      <c r="Q152" t="n">
        <v>0</v>
      </c>
      <c r="R152" s="2" t="inlineStr"/>
    </row>
    <row r="153" ht="15" customHeight="1">
      <c r="A153" t="inlineStr">
        <is>
          <t>A 1629-2024</t>
        </is>
      </c>
      <c r="B153" s="1" t="n">
        <v>45306</v>
      </c>
      <c r="C153" s="1" t="n">
        <v>45510</v>
      </c>
      <c r="D153" t="inlineStr">
        <is>
          <t>UPPSALA LÄN</t>
        </is>
      </c>
      <c r="E153" t="inlineStr">
        <is>
          <t>KNIVSTA</t>
        </is>
      </c>
      <c r="F153" t="inlineStr">
        <is>
          <t>Holmen skog AB</t>
        </is>
      </c>
      <c r="G153" t="n">
        <v>3.6</v>
      </c>
      <c r="H153" t="n">
        <v>0</v>
      </c>
      <c r="I153" t="n">
        <v>0</v>
      </c>
      <c r="J153" t="n">
        <v>0</v>
      </c>
      <c r="K153" t="n">
        <v>0</v>
      </c>
      <c r="L153" t="n">
        <v>0</v>
      </c>
      <c r="M153" t="n">
        <v>0</v>
      </c>
      <c r="N153" t="n">
        <v>0</v>
      </c>
      <c r="O153" t="n">
        <v>0</v>
      </c>
      <c r="P153" t="n">
        <v>0</v>
      </c>
      <c r="Q153" t="n">
        <v>0</v>
      </c>
      <c r="R153" s="2" t="inlineStr"/>
    </row>
    <row r="154" ht="15" customHeight="1">
      <c r="A154" t="inlineStr">
        <is>
          <t>A 1787-2024</t>
        </is>
      </c>
      <c r="B154" s="1" t="n">
        <v>45307</v>
      </c>
      <c r="C154" s="1" t="n">
        <v>45510</v>
      </c>
      <c r="D154" t="inlineStr">
        <is>
          <t>UPPSALA LÄN</t>
        </is>
      </c>
      <c r="E154" t="inlineStr">
        <is>
          <t>KNIVSTA</t>
        </is>
      </c>
      <c r="G154" t="n">
        <v>7.7</v>
      </c>
      <c r="H154" t="n">
        <v>0</v>
      </c>
      <c r="I154" t="n">
        <v>0</v>
      </c>
      <c r="J154" t="n">
        <v>0</v>
      </c>
      <c r="K154" t="n">
        <v>0</v>
      </c>
      <c r="L154" t="n">
        <v>0</v>
      </c>
      <c r="M154" t="n">
        <v>0</v>
      </c>
      <c r="N154" t="n">
        <v>0</v>
      </c>
      <c r="O154" t="n">
        <v>0</v>
      </c>
      <c r="P154" t="n">
        <v>0</v>
      </c>
      <c r="Q154" t="n">
        <v>0</v>
      </c>
      <c r="R154" s="2" t="inlineStr"/>
    </row>
    <row r="155" ht="15" customHeight="1">
      <c r="A155" t="inlineStr">
        <is>
          <t>A 1791-2024</t>
        </is>
      </c>
      <c r="B155" s="1" t="n">
        <v>45307</v>
      </c>
      <c r="C155" s="1" t="n">
        <v>45510</v>
      </c>
      <c r="D155" t="inlineStr">
        <is>
          <t>UPPSALA LÄN</t>
        </is>
      </c>
      <c r="E155" t="inlineStr">
        <is>
          <t>KNIVSTA</t>
        </is>
      </c>
      <c r="G155" t="n">
        <v>1.4</v>
      </c>
      <c r="H155" t="n">
        <v>0</v>
      </c>
      <c r="I155" t="n">
        <v>0</v>
      </c>
      <c r="J155" t="n">
        <v>0</v>
      </c>
      <c r="K155" t="n">
        <v>0</v>
      </c>
      <c r="L155" t="n">
        <v>0</v>
      </c>
      <c r="M155" t="n">
        <v>0</v>
      </c>
      <c r="N155" t="n">
        <v>0</v>
      </c>
      <c r="O155" t="n">
        <v>0</v>
      </c>
      <c r="P155" t="n">
        <v>0</v>
      </c>
      <c r="Q155" t="n">
        <v>0</v>
      </c>
      <c r="R155" s="2" t="inlineStr"/>
    </row>
    <row r="156" ht="15" customHeight="1">
      <c r="A156" t="inlineStr">
        <is>
          <t>A 2182-2024</t>
        </is>
      </c>
      <c r="B156" s="1" t="n">
        <v>45309</v>
      </c>
      <c r="C156" s="1" t="n">
        <v>45510</v>
      </c>
      <c r="D156" t="inlineStr">
        <is>
          <t>UPPSALA LÄN</t>
        </is>
      </c>
      <c r="E156" t="inlineStr">
        <is>
          <t>KNIVSTA</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2190-2024</t>
        </is>
      </c>
      <c r="B157" s="1" t="n">
        <v>45309</v>
      </c>
      <c r="C157" s="1" t="n">
        <v>45510</v>
      </c>
      <c r="D157" t="inlineStr">
        <is>
          <t>UPPSALA LÄN</t>
        </is>
      </c>
      <c r="E157" t="inlineStr">
        <is>
          <t>KNIVSTA</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2171-2024</t>
        </is>
      </c>
      <c r="B158" s="1" t="n">
        <v>45309</v>
      </c>
      <c r="C158" s="1" t="n">
        <v>45510</v>
      </c>
      <c r="D158" t="inlineStr">
        <is>
          <t>UPPSALA LÄN</t>
        </is>
      </c>
      <c r="E158" t="inlineStr">
        <is>
          <t>KNIVSTA</t>
        </is>
      </c>
      <c r="F158" t="inlineStr">
        <is>
          <t>Holmen skog AB</t>
        </is>
      </c>
      <c r="G158" t="n">
        <v>3.3</v>
      </c>
      <c r="H158" t="n">
        <v>0</v>
      </c>
      <c r="I158" t="n">
        <v>0</v>
      </c>
      <c r="J158" t="n">
        <v>0</v>
      </c>
      <c r="K158" t="n">
        <v>0</v>
      </c>
      <c r="L158" t="n">
        <v>0</v>
      </c>
      <c r="M158" t="n">
        <v>0</v>
      </c>
      <c r="N158" t="n">
        <v>0</v>
      </c>
      <c r="O158" t="n">
        <v>0</v>
      </c>
      <c r="P158" t="n">
        <v>0</v>
      </c>
      <c r="Q158" t="n">
        <v>0</v>
      </c>
      <c r="R158" s="2" t="inlineStr"/>
    </row>
    <row r="159" ht="15" customHeight="1">
      <c r="A159" t="inlineStr">
        <is>
          <t>A 2169-2024</t>
        </is>
      </c>
      <c r="B159" s="1" t="n">
        <v>45309</v>
      </c>
      <c r="C159" s="1" t="n">
        <v>45510</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2188-2024</t>
        </is>
      </c>
      <c r="B160" s="1" t="n">
        <v>45309</v>
      </c>
      <c r="C160" s="1" t="n">
        <v>45510</v>
      </c>
      <c r="D160" t="inlineStr">
        <is>
          <t>UPPSALA LÄN</t>
        </is>
      </c>
      <c r="E160" t="inlineStr">
        <is>
          <t>KNIVSTA</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3191-2024</t>
        </is>
      </c>
      <c r="B161" s="1" t="n">
        <v>45316</v>
      </c>
      <c r="C161" s="1" t="n">
        <v>45510</v>
      </c>
      <c r="D161" t="inlineStr">
        <is>
          <t>UPPSALA LÄN</t>
        </is>
      </c>
      <c r="E161" t="inlineStr">
        <is>
          <t>KNIVSTA</t>
        </is>
      </c>
      <c r="G161" t="n">
        <v>0.6</v>
      </c>
      <c r="H161" t="n">
        <v>0</v>
      </c>
      <c r="I161" t="n">
        <v>0</v>
      </c>
      <c r="J161" t="n">
        <v>0</v>
      </c>
      <c r="K161" t="n">
        <v>0</v>
      </c>
      <c r="L161" t="n">
        <v>0</v>
      </c>
      <c r="M161" t="n">
        <v>0</v>
      </c>
      <c r="N161" t="n">
        <v>0</v>
      </c>
      <c r="O161" t="n">
        <v>0</v>
      </c>
      <c r="P161" t="n">
        <v>0</v>
      </c>
      <c r="Q161" t="n">
        <v>0</v>
      </c>
      <c r="R161" s="2" t="inlineStr"/>
    </row>
    <row r="162" ht="15" customHeight="1">
      <c r="A162" t="inlineStr">
        <is>
          <t>A 6234-2024</t>
        </is>
      </c>
      <c r="B162" s="1" t="n">
        <v>45337</v>
      </c>
      <c r="C162" s="1" t="n">
        <v>45510</v>
      </c>
      <c r="D162" t="inlineStr">
        <is>
          <t>UPPSALA LÄN</t>
        </is>
      </c>
      <c r="E162" t="inlineStr">
        <is>
          <t>KNIVSTA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6227-2024</t>
        </is>
      </c>
      <c r="B163" s="1" t="n">
        <v>45337</v>
      </c>
      <c r="C163" s="1" t="n">
        <v>45510</v>
      </c>
      <c r="D163" t="inlineStr">
        <is>
          <t>UPPSALA LÄN</t>
        </is>
      </c>
      <c r="E163" t="inlineStr">
        <is>
          <t>KNIVSTA</t>
        </is>
      </c>
      <c r="F163" t="inlineStr">
        <is>
          <t>Holmen skog AB</t>
        </is>
      </c>
      <c r="G163" t="n">
        <v>5.9</v>
      </c>
      <c r="H163" t="n">
        <v>0</v>
      </c>
      <c r="I163" t="n">
        <v>0</v>
      </c>
      <c r="J163" t="n">
        <v>0</v>
      </c>
      <c r="K163" t="n">
        <v>0</v>
      </c>
      <c r="L163" t="n">
        <v>0</v>
      </c>
      <c r="M163" t="n">
        <v>0</v>
      </c>
      <c r="N163" t="n">
        <v>0</v>
      </c>
      <c r="O163" t="n">
        <v>0</v>
      </c>
      <c r="P163" t="n">
        <v>0</v>
      </c>
      <c r="Q163" t="n">
        <v>0</v>
      </c>
      <c r="R163" s="2" t="inlineStr"/>
    </row>
    <row r="164" ht="15" customHeight="1">
      <c r="A164" t="inlineStr">
        <is>
          <t>A 8343-2024</t>
        </is>
      </c>
      <c r="B164" s="1" t="n">
        <v>45352</v>
      </c>
      <c r="C164" s="1" t="n">
        <v>45510</v>
      </c>
      <c r="D164" t="inlineStr">
        <is>
          <t>UPPSALA LÄN</t>
        </is>
      </c>
      <c r="E164" t="inlineStr">
        <is>
          <t>KNIVSTA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8357-2024</t>
        </is>
      </c>
      <c r="B165" s="1" t="n">
        <v>45352</v>
      </c>
      <c r="C165" s="1" t="n">
        <v>45510</v>
      </c>
      <c r="D165" t="inlineStr">
        <is>
          <t>UPPSALA LÄN</t>
        </is>
      </c>
      <c r="E165" t="inlineStr">
        <is>
          <t>KNIVSTA</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8944-2024</t>
        </is>
      </c>
      <c r="B166" s="1" t="n">
        <v>45357</v>
      </c>
      <c r="C166" s="1" t="n">
        <v>45510</v>
      </c>
      <c r="D166" t="inlineStr">
        <is>
          <t>UPPSALA LÄN</t>
        </is>
      </c>
      <c r="E166" t="inlineStr">
        <is>
          <t>KNIVSTA</t>
        </is>
      </c>
      <c r="G166" t="n">
        <v>0.9</v>
      </c>
      <c r="H166" t="n">
        <v>0</v>
      </c>
      <c r="I166" t="n">
        <v>0</v>
      </c>
      <c r="J166" t="n">
        <v>0</v>
      </c>
      <c r="K166" t="n">
        <v>0</v>
      </c>
      <c r="L166" t="n">
        <v>0</v>
      </c>
      <c r="M166" t="n">
        <v>0</v>
      </c>
      <c r="N166" t="n">
        <v>0</v>
      </c>
      <c r="O166" t="n">
        <v>0</v>
      </c>
      <c r="P166" t="n">
        <v>0</v>
      </c>
      <c r="Q166" t="n">
        <v>0</v>
      </c>
      <c r="R166" s="2" t="inlineStr"/>
    </row>
    <row r="167" ht="15" customHeight="1">
      <c r="A167" t="inlineStr">
        <is>
          <t>A 9970-2024</t>
        </is>
      </c>
      <c r="B167" s="1" t="n">
        <v>45363</v>
      </c>
      <c r="C167" s="1" t="n">
        <v>45510</v>
      </c>
      <c r="D167" t="inlineStr">
        <is>
          <t>UPPSALA LÄN</t>
        </is>
      </c>
      <c r="E167" t="inlineStr">
        <is>
          <t>KNIVSTA</t>
        </is>
      </c>
      <c r="F167" t="inlineStr">
        <is>
          <t>Holmen skog AB</t>
        </is>
      </c>
      <c r="G167" t="n">
        <v>1.5</v>
      </c>
      <c r="H167" t="n">
        <v>0</v>
      </c>
      <c r="I167" t="n">
        <v>0</v>
      </c>
      <c r="J167" t="n">
        <v>0</v>
      </c>
      <c r="K167" t="n">
        <v>0</v>
      </c>
      <c r="L167" t="n">
        <v>0</v>
      </c>
      <c r="M167" t="n">
        <v>0</v>
      </c>
      <c r="N167" t="n">
        <v>0</v>
      </c>
      <c r="O167" t="n">
        <v>0</v>
      </c>
      <c r="P167" t="n">
        <v>0</v>
      </c>
      <c r="Q167" t="n">
        <v>0</v>
      </c>
      <c r="R167" s="2" t="inlineStr"/>
    </row>
    <row r="168" ht="15" customHeight="1">
      <c r="A168" t="inlineStr">
        <is>
          <t>A 13678-2024</t>
        </is>
      </c>
      <c r="B168" s="1" t="n">
        <v>45390</v>
      </c>
      <c r="C168" s="1" t="n">
        <v>45510</v>
      </c>
      <c r="D168" t="inlineStr">
        <is>
          <t>UPPSALA LÄN</t>
        </is>
      </c>
      <c r="E168" t="inlineStr">
        <is>
          <t>KNIVSTA</t>
        </is>
      </c>
      <c r="F168" t="inlineStr">
        <is>
          <t>Holmen skog AB</t>
        </is>
      </c>
      <c r="G168" t="n">
        <v>7.4</v>
      </c>
      <c r="H168" t="n">
        <v>0</v>
      </c>
      <c r="I168" t="n">
        <v>0</v>
      </c>
      <c r="J168" t="n">
        <v>0</v>
      </c>
      <c r="K168" t="n">
        <v>0</v>
      </c>
      <c r="L168" t="n">
        <v>0</v>
      </c>
      <c r="M168" t="n">
        <v>0</v>
      </c>
      <c r="N168" t="n">
        <v>0</v>
      </c>
      <c r="O168" t="n">
        <v>0</v>
      </c>
      <c r="P168" t="n">
        <v>0</v>
      </c>
      <c r="Q168" t="n">
        <v>0</v>
      </c>
      <c r="R168" s="2" t="inlineStr"/>
    </row>
    <row r="169" ht="15" customHeight="1">
      <c r="A169" t="inlineStr">
        <is>
          <t>A 13697-2024</t>
        </is>
      </c>
      <c r="B169" s="1" t="n">
        <v>45390</v>
      </c>
      <c r="C169" s="1" t="n">
        <v>45510</v>
      </c>
      <c r="D169" t="inlineStr">
        <is>
          <t>UPPSALA LÄN</t>
        </is>
      </c>
      <c r="E169" t="inlineStr">
        <is>
          <t>KNIVSTA</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15304-2024</t>
        </is>
      </c>
      <c r="B170" s="1" t="n">
        <v>45400</v>
      </c>
      <c r="C170" s="1" t="n">
        <v>45510</v>
      </c>
      <c r="D170" t="inlineStr">
        <is>
          <t>UPPSALA LÄN</t>
        </is>
      </c>
      <c r="E170" t="inlineStr">
        <is>
          <t>KNIVSTA</t>
        </is>
      </c>
      <c r="G170" t="n">
        <v>1.3</v>
      </c>
      <c r="H170" t="n">
        <v>0</v>
      </c>
      <c r="I170" t="n">
        <v>0</v>
      </c>
      <c r="J170" t="n">
        <v>0</v>
      </c>
      <c r="K170" t="n">
        <v>0</v>
      </c>
      <c r="L170" t="n">
        <v>0</v>
      </c>
      <c r="M170" t="n">
        <v>0</v>
      </c>
      <c r="N170" t="n">
        <v>0</v>
      </c>
      <c r="O170" t="n">
        <v>0</v>
      </c>
      <c r="P170" t="n">
        <v>0</v>
      </c>
      <c r="Q170" t="n">
        <v>0</v>
      </c>
      <c r="R170" s="2" t="inlineStr"/>
    </row>
    <row r="171" ht="15" customHeight="1">
      <c r="A171" t="inlineStr">
        <is>
          <t>A 15666-2024</t>
        </is>
      </c>
      <c r="B171" s="1" t="n">
        <v>45404</v>
      </c>
      <c r="C171" s="1" t="n">
        <v>45510</v>
      </c>
      <c r="D171" t="inlineStr">
        <is>
          <t>UPPSALA LÄN</t>
        </is>
      </c>
      <c r="E171" t="inlineStr">
        <is>
          <t>KNIVSTA</t>
        </is>
      </c>
      <c r="G171" t="n">
        <v>1.1</v>
      </c>
      <c r="H171" t="n">
        <v>0</v>
      </c>
      <c r="I171" t="n">
        <v>0</v>
      </c>
      <c r="J171" t="n">
        <v>0</v>
      </c>
      <c r="K171" t="n">
        <v>0</v>
      </c>
      <c r="L171" t="n">
        <v>0</v>
      </c>
      <c r="M171" t="n">
        <v>0</v>
      </c>
      <c r="N171" t="n">
        <v>0</v>
      </c>
      <c r="O171" t="n">
        <v>0</v>
      </c>
      <c r="P171" t="n">
        <v>0</v>
      </c>
      <c r="Q171" t="n">
        <v>0</v>
      </c>
      <c r="R171" s="2" t="inlineStr"/>
    </row>
    <row r="172" ht="15" customHeight="1">
      <c r="A172" t="inlineStr">
        <is>
          <t>A 17331-2024</t>
        </is>
      </c>
      <c r="B172" s="1" t="n">
        <v>45414</v>
      </c>
      <c r="C172" s="1" t="n">
        <v>45510</v>
      </c>
      <c r="D172" t="inlineStr">
        <is>
          <t>UPPSALA LÄN</t>
        </is>
      </c>
      <c r="E172" t="inlineStr">
        <is>
          <t>KNIVSTA</t>
        </is>
      </c>
      <c r="G172" t="n">
        <v>8</v>
      </c>
      <c r="H172" t="n">
        <v>0</v>
      </c>
      <c r="I172" t="n">
        <v>0</v>
      </c>
      <c r="J172" t="n">
        <v>0</v>
      </c>
      <c r="K172" t="n">
        <v>0</v>
      </c>
      <c r="L172" t="n">
        <v>0</v>
      </c>
      <c r="M172" t="n">
        <v>0</v>
      </c>
      <c r="N172" t="n">
        <v>0</v>
      </c>
      <c r="O172" t="n">
        <v>0</v>
      </c>
      <c r="P172" t="n">
        <v>0</v>
      </c>
      <c r="Q172" t="n">
        <v>0</v>
      </c>
      <c r="R172" s="2" t="inlineStr"/>
    </row>
    <row r="173" ht="15" customHeight="1">
      <c r="A173" t="inlineStr">
        <is>
          <t>A 17333-2024</t>
        </is>
      </c>
      <c r="B173" s="1" t="n">
        <v>45414</v>
      </c>
      <c r="C173" s="1" t="n">
        <v>45510</v>
      </c>
      <c r="D173" t="inlineStr">
        <is>
          <t>UPPSALA LÄN</t>
        </is>
      </c>
      <c r="E173" t="inlineStr">
        <is>
          <t>KNIVSTA</t>
        </is>
      </c>
      <c r="G173" t="n">
        <v>0.9</v>
      </c>
      <c r="H173" t="n">
        <v>0</v>
      </c>
      <c r="I173" t="n">
        <v>0</v>
      </c>
      <c r="J173" t="n">
        <v>0</v>
      </c>
      <c r="K173" t="n">
        <v>0</v>
      </c>
      <c r="L173" t="n">
        <v>0</v>
      </c>
      <c r="M173" t="n">
        <v>0</v>
      </c>
      <c r="N173" t="n">
        <v>0</v>
      </c>
      <c r="O173" t="n">
        <v>0</v>
      </c>
      <c r="P173" t="n">
        <v>0</v>
      </c>
      <c r="Q173" t="n">
        <v>0</v>
      </c>
      <c r="R173" s="2" t="inlineStr"/>
    </row>
    <row r="174" ht="15" customHeight="1">
      <c r="A174" t="inlineStr">
        <is>
          <t>A 17341-2024</t>
        </is>
      </c>
      <c r="B174" s="1" t="n">
        <v>45414</v>
      </c>
      <c r="C174" s="1" t="n">
        <v>45510</v>
      </c>
      <c r="D174" t="inlineStr">
        <is>
          <t>UPPSALA LÄN</t>
        </is>
      </c>
      <c r="E174" t="inlineStr">
        <is>
          <t>KNIVSTA</t>
        </is>
      </c>
      <c r="G174" t="n">
        <v>7.5</v>
      </c>
      <c r="H174" t="n">
        <v>0</v>
      </c>
      <c r="I174" t="n">
        <v>0</v>
      </c>
      <c r="J174" t="n">
        <v>0</v>
      </c>
      <c r="K174" t="n">
        <v>0</v>
      </c>
      <c r="L174" t="n">
        <v>0</v>
      </c>
      <c r="M174" t="n">
        <v>0</v>
      </c>
      <c r="N174" t="n">
        <v>0</v>
      </c>
      <c r="O174" t="n">
        <v>0</v>
      </c>
      <c r="P174" t="n">
        <v>0</v>
      </c>
      <c r="Q174" t="n">
        <v>0</v>
      </c>
      <c r="R174" s="2" t="inlineStr"/>
    </row>
    <row r="175" ht="15" customHeight="1">
      <c r="A175" t="inlineStr">
        <is>
          <t>A 17904-2024</t>
        </is>
      </c>
      <c r="B175" s="1" t="n">
        <v>45419</v>
      </c>
      <c r="C175" s="1" t="n">
        <v>45510</v>
      </c>
      <c r="D175" t="inlineStr">
        <is>
          <t>UPPSALA LÄN</t>
        </is>
      </c>
      <c r="E175" t="inlineStr">
        <is>
          <t>KNIVSTA</t>
        </is>
      </c>
      <c r="G175" t="n">
        <v>6.7</v>
      </c>
      <c r="H175" t="n">
        <v>0</v>
      </c>
      <c r="I175" t="n">
        <v>0</v>
      </c>
      <c r="J175" t="n">
        <v>0</v>
      </c>
      <c r="K175" t="n">
        <v>0</v>
      </c>
      <c r="L175" t="n">
        <v>0</v>
      </c>
      <c r="M175" t="n">
        <v>0</v>
      </c>
      <c r="N175" t="n">
        <v>0</v>
      </c>
      <c r="O175" t="n">
        <v>0</v>
      </c>
      <c r="P175" t="n">
        <v>0</v>
      </c>
      <c r="Q175" t="n">
        <v>0</v>
      </c>
      <c r="R175" s="2" t="inlineStr"/>
    </row>
    <row r="176" ht="15" customHeight="1">
      <c r="A176" t="inlineStr">
        <is>
          <t>A 20536-2024</t>
        </is>
      </c>
      <c r="B176" s="1" t="n">
        <v>45436</v>
      </c>
      <c r="C176" s="1" t="n">
        <v>45510</v>
      </c>
      <c r="D176" t="inlineStr">
        <is>
          <t>UPPSALA LÄN</t>
        </is>
      </c>
      <c r="E176" t="inlineStr">
        <is>
          <t>KNIVSTA</t>
        </is>
      </c>
      <c r="G176" t="n">
        <v>6.3</v>
      </c>
      <c r="H176" t="n">
        <v>0</v>
      </c>
      <c r="I176" t="n">
        <v>0</v>
      </c>
      <c r="J176" t="n">
        <v>0</v>
      </c>
      <c r="K176" t="n">
        <v>0</v>
      </c>
      <c r="L176" t="n">
        <v>0</v>
      </c>
      <c r="M176" t="n">
        <v>0</v>
      </c>
      <c r="N176" t="n">
        <v>0</v>
      </c>
      <c r="O176" t="n">
        <v>0</v>
      </c>
      <c r="P176" t="n">
        <v>0</v>
      </c>
      <c r="Q176" t="n">
        <v>0</v>
      </c>
      <c r="R176" s="2" t="inlineStr"/>
    </row>
    <row r="177" ht="15" customHeight="1">
      <c r="A177" t="inlineStr">
        <is>
          <t>A 20902-2024</t>
        </is>
      </c>
      <c r="B177" s="1" t="n">
        <v>45439</v>
      </c>
      <c r="C177" s="1" t="n">
        <v>45510</v>
      </c>
      <c r="D177" t="inlineStr">
        <is>
          <t>UPPSALA LÄN</t>
        </is>
      </c>
      <c r="E177" t="inlineStr">
        <is>
          <t>KNIVSTA</t>
        </is>
      </c>
      <c r="G177" t="n">
        <v>1</v>
      </c>
      <c r="H177" t="n">
        <v>0</v>
      </c>
      <c r="I177" t="n">
        <v>0</v>
      </c>
      <c r="J177" t="n">
        <v>0</v>
      </c>
      <c r="K177" t="n">
        <v>0</v>
      </c>
      <c r="L177" t="n">
        <v>0</v>
      </c>
      <c r="M177" t="n">
        <v>0</v>
      </c>
      <c r="N177" t="n">
        <v>0</v>
      </c>
      <c r="O177" t="n">
        <v>0</v>
      </c>
      <c r="P177" t="n">
        <v>0</v>
      </c>
      <c r="Q177" t="n">
        <v>0</v>
      </c>
      <c r="R177" s="2" t="inlineStr"/>
    </row>
    <row r="178">
      <c r="A178" t="inlineStr">
        <is>
          <t>A 31070-2024</t>
        </is>
      </c>
      <c r="B178" s="1" t="n">
        <v>45502</v>
      </c>
      <c r="C178" s="1" t="n">
        <v>45510</v>
      </c>
      <c r="D178" t="inlineStr">
        <is>
          <t>UPPSALA LÄN</t>
        </is>
      </c>
      <c r="E178" t="inlineStr">
        <is>
          <t>KNIVSTA</t>
        </is>
      </c>
      <c r="G178" t="n">
        <v>5.9</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2024-08-06T10:57:40Z</dcterms:created>
  <dcterms:modified xmlns:dcterms="http://purl.org/dc/terms/" xmlns:xsi="http://www.w3.org/2001/XMLSchema-instance" xsi:type="dcterms:W3CDTF">2024-08-06T10:57:40Z</dcterms:modified>
</cp:coreProperties>
</file>