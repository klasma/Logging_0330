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45795</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45795</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45795</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45795</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45795</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45795</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45795</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45795</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45795</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45795</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45795</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45795</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45795</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45795</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45795</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45795</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45795</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45795</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45795</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45795</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45795</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36637-2019</t>
        </is>
      </c>
      <c r="B23" s="1" t="n">
        <v>43671</v>
      </c>
      <c r="C23" s="1" t="n">
        <v>45795</v>
      </c>
      <c r="D23" t="inlineStr">
        <is>
          <t>UPPSALA LÄN</t>
        </is>
      </c>
      <c r="E23" t="inlineStr">
        <is>
          <t>KNIVSTA</t>
        </is>
      </c>
      <c r="G23" t="n">
        <v>3</v>
      </c>
      <c r="H23" t="n">
        <v>1</v>
      </c>
      <c r="I23" t="n">
        <v>0</v>
      </c>
      <c r="J23" t="n">
        <v>0</v>
      </c>
      <c r="K23" t="n">
        <v>0</v>
      </c>
      <c r="L23" t="n">
        <v>0</v>
      </c>
      <c r="M23" t="n">
        <v>0</v>
      </c>
      <c r="N23" t="n">
        <v>0</v>
      </c>
      <c r="O23" t="n">
        <v>0</v>
      </c>
      <c r="P23" t="n">
        <v>0</v>
      </c>
      <c r="Q23" t="n">
        <v>1</v>
      </c>
      <c r="R23" s="2" t="inlineStr">
        <is>
          <t>Revlummer</t>
        </is>
      </c>
      <c r="S23">
        <f>HYPERLINK("https://klasma.github.io/Logging_0330/artfynd/A 36637-2019 artfynd.xlsx", "A 36637-2019")</f>
        <v/>
      </c>
      <c r="T23">
        <f>HYPERLINK("https://klasma.github.io/Logging_0330/kartor/A 36637-2019 karta.png", "A 36637-2019")</f>
        <v/>
      </c>
      <c r="V23">
        <f>HYPERLINK("https://klasma.github.io/Logging_0330/klagomål/A 36637-2019 FSC-klagomål.docx", "A 36637-2019")</f>
        <v/>
      </c>
      <c r="W23">
        <f>HYPERLINK("https://klasma.github.io/Logging_0330/klagomålsmail/A 36637-2019 FSC-klagomål mail.docx", "A 36637-2019")</f>
        <v/>
      </c>
      <c r="X23">
        <f>HYPERLINK("https://klasma.github.io/Logging_0330/tillsyn/A 36637-2019 tillsynsbegäran.docx", "A 36637-2019")</f>
        <v/>
      </c>
      <c r="Y23">
        <f>HYPERLINK("https://klasma.github.io/Logging_0330/tillsynsmail/A 36637-2019 tillsynsbegäran mail.docx", "A 36637-2019")</f>
        <v/>
      </c>
    </row>
    <row r="24" ht="15" customHeight="1">
      <c r="A24" t="inlineStr">
        <is>
          <t>A 16973-2021</t>
        </is>
      </c>
      <c r="B24" s="1" t="n">
        <v>44295</v>
      </c>
      <c r="C24" s="1" t="n">
        <v>45795</v>
      </c>
      <c r="D24" t="inlineStr">
        <is>
          <t>UPPSALA LÄN</t>
        </is>
      </c>
      <c r="E24" t="inlineStr">
        <is>
          <t>KNIVSTA</t>
        </is>
      </c>
      <c r="G24" t="n">
        <v>5.5</v>
      </c>
      <c r="H24" t="n">
        <v>0</v>
      </c>
      <c r="I24" t="n">
        <v>0</v>
      </c>
      <c r="J24" t="n">
        <v>1</v>
      </c>
      <c r="K24" t="n">
        <v>0</v>
      </c>
      <c r="L24" t="n">
        <v>0</v>
      </c>
      <c r="M24" t="n">
        <v>0</v>
      </c>
      <c r="N24" t="n">
        <v>0</v>
      </c>
      <c r="O24" t="n">
        <v>1</v>
      </c>
      <c r="P24" t="n">
        <v>0</v>
      </c>
      <c r="Q24" t="n">
        <v>1</v>
      </c>
      <c r="R24" s="2" t="inlineStr">
        <is>
          <t>Backklöver</t>
        </is>
      </c>
      <c r="S24">
        <f>HYPERLINK("https://klasma.github.io/Logging_0330/artfynd/A 16973-2021 artfynd.xlsx", "A 16973-2021")</f>
        <v/>
      </c>
      <c r="T24">
        <f>HYPERLINK("https://klasma.github.io/Logging_0330/kartor/A 16973-2021 karta.png", "A 16973-2021")</f>
        <v/>
      </c>
      <c r="V24">
        <f>HYPERLINK("https://klasma.github.io/Logging_0330/klagomål/A 16973-2021 FSC-klagomål.docx", "A 16973-2021")</f>
        <v/>
      </c>
      <c r="W24">
        <f>HYPERLINK("https://klasma.github.io/Logging_0330/klagomålsmail/A 16973-2021 FSC-klagomål mail.docx", "A 16973-2021")</f>
        <v/>
      </c>
      <c r="X24">
        <f>HYPERLINK("https://klasma.github.io/Logging_0330/tillsyn/A 16973-2021 tillsynsbegäran.docx", "A 16973-2021")</f>
        <v/>
      </c>
      <c r="Y24">
        <f>HYPERLINK("https://klasma.github.io/Logging_0330/tillsynsmail/A 16973-2021 tillsynsbegäran mail.docx", "A 16973-2021")</f>
        <v/>
      </c>
    </row>
    <row r="25" ht="15" customHeight="1">
      <c r="A25" t="inlineStr">
        <is>
          <t>A 9396-2022</t>
        </is>
      </c>
      <c r="B25" s="1" t="n">
        <v>44616</v>
      </c>
      <c r="C25" s="1" t="n">
        <v>45795</v>
      </c>
      <c r="D25" t="inlineStr">
        <is>
          <t>UPPSALA LÄN</t>
        </is>
      </c>
      <c r="E25" t="inlineStr">
        <is>
          <t>KNIVSTA</t>
        </is>
      </c>
      <c r="F25" t="inlineStr">
        <is>
          <t>Holmen skog AB</t>
        </is>
      </c>
      <c r="G25" t="n">
        <v>5.2</v>
      </c>
      <c r="H25" t="n">
        <v>0</v>
      </c>
      <c r="I25" t="n">
        <v>0</v>
      </c>
      <c r="J25" t="n">
        <v>0</v>
      </c>
      <c r="K25" t="n">
        <v>1</v>
      </c>
      <c r="L25" t="n">
        <v>0</v>
      </c>
      <c r="M25" t="n">
        <v>0</v>
      </c>
      <c r="N25" t="n">
        <v>0</v>
      </c>
      <c r="O25" t="n">
        <v>1</v>
      </c>
      <c r="P25" t="n">
        <v>1</v>
      </c>
      <c r="Q25" t="n">
        <v>1</v>
      </c>
      <c r="R25" s="2" t="inlineStr">
        <is>
          <t>Korkmusslingsmal</t>
        </is>
      </c>
      <c r="S25">
        <f>HYPERLINK("https://klasma.github.io/Logging_0330/artfynd/A 9396-2022 artfynd.xlsx", "A 9396-2022")</f>
        <v/>
      </c>
      <c r="T25">
        <f>HYPERLINK("https://klasma.github.io/Logging_0330/kartor/A 9396-2022 karta.png", "A 9396-2022")</f>
        <v/>
      </c>
      <c r="V25">
        <f>HYPERLINK("https://klasma.github.io/Logging_0330/klagomål/A 9396-2022 FSC-klagomål.docx", "A 9396-2022")</f>
        <v/>
      </c>
      <c r="W25">
        <f>HYPERLINK("https://klasma.github.io/Logging_0330/klagomålsmail/A 9396-2022 FSC-klagomål mail.docx", "A 9396-2022")</f>
        <v/>
      </c>
      <c r="X25">
        <f>HYPERLINK("https://klasma.github.io/Logging_0330/tillsyn/A 9396-2022 tillsynsbegäran.docx", "A 9396-2022")</f>
        <v/>
      </c>
      <c r="Y25">
        <f>HYPERLINK("https://klasma.github.io/Logging_0330/tillsynsmail/A 9396-2022 tillsynsbegäran mail.docx", "A 9396-2022")</f>
        <v/>
      </c>
    </row>
    <row r="26" ht="15" customHeight="1">
      <c r="A26" t="inlineStr">
        <is>
          <t>A 22467-2022</t>
        </is>
      </c>
      <c r="B26" s="1" t="n">
        <v>44713</v>
      </c>
      <c r="C26" s="1" t="n">
        <v>45795</v>
      </c>
      <c r="D26" t="inlineStr">
        <is>
          <t>UPPSALA LÄN</t>
        </is>
      </c>
      <c r="E26" t="inlineStr">
        <is>
          <t>KNIVSTA</t>
        </is>
      </c>
      <c r="G26" t="n">
        <v>2</v>
      </c>
      <c r="H26" t="n">
        <v>1</v>
      </c>
      <c r="I26" t="n">
        <v>0</v>
      </c>
      <c r="J26" t="n">
        <v>0</v>
      </c>
      <c r="K26" t="n">
        <v>0</v>
      </c>
      <c r="L26" t="n">
        <v>0</v>
      </c>
      <c r="M26" t="n">
        <v>0</v>
      </c>
      <c r="N26" t="n">
        <v>0</v>
      </c>
      <c r="O26" t="n">
        <v>0</v>
      </c>
      <c r="P26" t="n">
        <v>0</v>
      </c>
      <c r="Q26" t="n">
        <v>1</v>
      </c>
      <c r="R26" s="2" t="inlineStr">
        <is>
          <t>Gullviva</t>
        </is>
      </c>
      <c r="S26">
        <f>HYPERLINK("https://klasma.github.io/Logging_0330/artfynd/A 22467-2022 artfynd.xlsx", "A 22467-2022")</f>
        <v/>
      </c>
      <c r="T26">
        <f>HYPERLINK("https://klasma.github.io/Logging_0330/kartor/A 22467-2022 karta.png", "A 22467-2022")</f>
        <v/>
      </c>
      <c r="V26">
        <f>HYPERLINK("https://klasma.github.io/Logging_0330/klagomål/A 22467-2022 FSC-klagomål.docx", "A 22467-2022")</f>
        <v/>
      </c>
      <c r="W26">
        <f>HYPERLINK("https://klasma.github.io/Logging_0330/klagomålsmail/A 22467-2022 FSC-klagomål mail.docx", "A 22467-2022")</f>
        <v/>
      </c>
      <c r="X26">
        <f>HYPERLINK("https://klasma.github.io/Logging_0330/tillsyn/A 22467-2022 tillsynsbegäran.docx", "A 22467-2022")</f>
        <v/>
      </c>
      <c r="Y26">
        <f>HYPERLINK("https://klasma.github.io/Logging_0330/tillsynsmail/A 22467-2022 tillsynsbegäran mail.docx", "A 22467-2022")</f>
        <v/>
      </c>
    </row>
    <row r="27" ht="15" customHeight="1">
      <c r="A27" t="inlineStr">
        <is>
          <t>A 10973-2023</t>
        </is>
      </c>
      <c r="B27" s="1" t="n">
        <v>44991</v>
      </c>
      <c r="C27" s="1" t="n">
        <v>45795</v>
      </c>
      <c r="D27" t="inlineStr">
        <is>
          <t>UPPSALA LÄN</t>
        </is>
      </c>
      <c r="E27" t="inlineStr">
        <is>
          <t>KNIVSTA</t>
        </is>
      </c>
      <c r="F27" t="inlineStr">
        <is>
          <t>Holmen skog AB</t>
        </is>
      </c>
      <c r="G27" t="n">
        <v>3.2</v>
      </c>
      <c r="H27" t="n">
        <v>1</v>
      </c>
      <c r="I27" t="n">
        <v>0</v>
      </c>
      <c r="J27" t="n">
        <v>0</v>
      </c>
      <c r="K27" t="n">
        <v>0</v>
      </c>
      <c r="L27" t="n">
        <v>0</v>
      </c>
      <c r="M27" t="n">
        <v>0</v>
      </c>
      <c r="N27" t="n">
        <v>0</v>
      </c>
      <c r="O27" t="n">
        <v>0</v>
      </c>
      <c r="P27" t="n">
        <v>0</v>
      </c>
      <c r="Q27" t="n">
        <v>1</v>
      </c>
      <c r="R27" s="2" t="inlineStr">
        <is>
          <t>Blåsippa</t>
        </is>
      </c>
      <c r="S27">
        <f>HYPERLINK("https://klasma.github.io/Logging_0330/artfynd/A 10973-2023 artfynd.xlsx", "A 10973-2023")</f>
        <v/>
      </c>
      <c r="T27">
        <f>HYPERLINK("https://klasma.github.io/Logging_0330/kartor/A 10973-2023 karta.png", "A 10973-2023")</f>
        <v/>
      </c>
      <c r="V27">
        <f>HYPERLINK("https://klasma.github.io/Logging_0330/klagomål/A 10973-2023 FSC-klagomål.docx", "A 10973-2023")</f>
        <v/>
      </c>
      <c r="W27">
        <f>HYPERLINK("https://klasma.github.io/Logging_0330/klagomålsmail/A 10973-2023 FSC-klagomål mail.docx", "A 10973-2023")</f>
        <v/>
      </c>
      <c r="X27">
        <f>HYPERLINK("https://klasma.github.io/Logging_0330/tillsyn/A 10973-2023 tillsynsbegäran.docx", "A 10973-2023")</f>
        <v/>
      </c>
      <c r="Y27">
        <f>HYPERLINK("https://klasma.github.io/Logging_0330/tillsynsmail/A 10973-2023 tillsynsbegäran mail.docx", "A 10973-2023")</f>
        <v/>
      </c>
    </row>
    <row r="28" ht="15" customHeight="1">
      <c r="A28" t="inlineStr">
        <is>
          <t>A 33770-2023</t>
        </is>
      </c>
      <c r="B28" s="1" t="n">
        <v>45133</v>
      </c>
      <c r="C28" s="1" t="n">
        <v>45795</v>
      </c>
      <c r="D28" t="inlineStr">
        <is>
          <t>UPPSALA LÄN</t>
        </is>
      </c>
      <c r="E28" t="inlineStr">
        <is>
          <t>KNIVSTA</t>
        </is>
      </c>
      <c r="F28" t="inlineStr">
        <is>
          <t>Holmen skog AB</t>
        </is>
      </c>
      <c r="G28" t="n">
        <v>4</v>
      </c>
      <c r="H28" t="n">
        <v>1</v>
      </c>
      <c r="I28" t="n">
        <v>0</v>
      </c>
      <c r="J28" t="n">
        <v>1</v>
      </c>
      <c r="K28" t="n">
        <v>0</v>
      </c>
      <c r="L28" t="n">
        <v>0</v>
      </c>
      <c r="M28" t="n">
        <v>0</v>
      </c>
      <c r="N28" t="n">
        <v>0</v>
      </c>
      <c r="O28" t="n">
        <v>1</v>
      </c>
      <c r="P28" t="n">
        <v>0</v>
      </c>
      <c r="Q28" t="n">
        <v>1</v>
      </c>
      <c r="R28" s="2" t="inlineStr">
        <is>
          <t>Slaguggla</t>
        </is>
      </c>
      <c r="S28">
        <f>HYPERLINK("https://klasma.github.io/Logging_0330/artfynd/A 33770-2023 artfynd.xlsx", "A 33770-2023")</f>
        <v/>
      </c>
      <c r="T28">
        <f>HYPERLINK("https://klasma.github.io/Logging_0330/kartor/A 33770-2023 karta.png", "A 33770-2023")</f>
        <v/>
      </c>
      <c r="V28">
        <f>HYPERLINK("https://klasma.github.io/Logging_0330/klagomål/A 33770-2023 FSC-klagomål.docx", "A 33770-2023")</f>
        <v/>
      </c>
      <c r="W28">
        <f>HYPERLINK("https://klasma.github.io/Logging_0330/klagomålsmail/A 33770-2023 FSC-klagomål mail.docx", "A 33770-2023")</f>
        <v/>
      </c>
      <c r="X28">
        <f>HYPERLINK("https://klasma.github.io/Logging_0330/tillsyn/A 33770-2023 tillsynsbegäran.docx", "A 33770-2023")</f>
        <v/>
      </c>
      <c r="Y28">
        <f>HYPERLINK("https://klasma.github.io/Logging_0330/tillsynsmail/A 33770-2023 tillsynsbegäran mail.docx", "A 33770-2023")</f>
        <v/>
      </c>
      <c r="Z28">
        <f>HYPERLINK("https://klasma.github.io/Logging_0330/fåglar/A 33770-2023 prioriterade fågelarter.docx", "A 33770-2023")</f>
        <v/>
      </c>
    </row>
    <row r="29" ht="15" customHeight="1">
      <c r="A29" t="inlineStr">
        <is>
          <t>A 43699-2023</t>
        </is>
      </c>
      <c r="B29" s="1" t="n">
        <v>45187</v>
      </c>
      <c r="C29" s="1" t="n">
        <v>45795</v>
      </c>
      <c r="D29" t="inlineStr">
        <is>
          <t>UPPSALA LÄN</t>
        </is>
      </c>
      <c r="E29" t="inlineStr">
        <is>
          <t>KNIVSTA</t>
        </is>
      </c>
      <c r="G29" t="n">
        <v>5.2</v>
      </c>
      <c r="H29" t="n">
        <v>1</v>
      </c>
      <c r="I29" t="n">
        <v>0</v>
      </c>
      <c r="J29" t="n">
        <v>0</v>
      </c>
      <c r="K29" t="n">
        <v>0</v>
      </c>
      <c r="L29" t="n">
        <v>0</v>
      </c>
      <c r="M29" t="n">
        <v>0</v>
      </c>
      <c r="N29" t="n">
        <v>0</v>
      </c>
      <c r="O29" t="n">
        <v>0</v>
      </c>
      <c r="P29" t="n">
        <v>0</v>
      </c>
      <c r="Q29" t="n">
        <v>1</v>
      </c>
      <c r="R29" s="2" t="inlineStr">
        <is>
          <t>Gullviva</t>
        </is>
      </c>
      <c r="S29">
        <f>HYPERLINK("https://klasma.github.io/Logging_0330/artfynd/A 43699-2023 artfynd.xlsx", "A 43699-2023")</f>
        <v/>
      </c>
      <c r="T29">
        <f>HYPERLINK("https://klasma.github.io/Logging_0330/kartor/A 43699-2023 karta.png", "A 43699-2023")</f>
        <v/>
      </c>
      <c r="V29">
        <f>HYPERLINK("https://klasma.github.io/Logging_0330/klagomål/A 43699-2023 FSC-klagomål.docx", "A 43699-2023")</f>
        <v/>
      </c>
      <c r="W29">
        <f>HYPERLINK("https://klasma.github.io/Logging_0330/klagomålsmail/A 43699-2023 FSC-klagomål mail.docx", "A 43699-2023")</f>
        <v/>
      </c>
      <c r="X29">
        <f>HYPERLINK("https://klasma.github.io/Logging_0330/tillsyn/A 43699-2023 tillsynsbegäran.docx", "A 43699-2023")</f>
        <v/>
      </c>
      <c r="Y29">
        <f>HYPERLINK("https://klasma.github.io/Logging_0330/tillsynsmail/A 43699-2023 tillsynsbegäran mail.docx", "A 43699-2023")</f>
        <v/>
      </c>
    </row>
    <row r="30" ht="15" customHeight="1">
      <c r="A30" t="inlineStr">
        <is>
          <t>A 21831-2024</t>
        </is>
      </c>
      <c r="B30" s="1" t="n">
        <v>45442</v>
      </c>
      <c r="C30" s="1" t="n">
        <v>45795</v>
      </c>
      <c r="D30" t="inlineStr">
        <is>
          <t>UPPSALA LÄN</t>
        </is>
      </c>
      <c r="E30" t="inlineStr">
        <is>
          <t>KNIVSTA</t>
        </is>
      </c>
      <c r="G30" t="n">
        <v>4.5</v>
      </c>
      <c r="H30" t="n">
        <v>1</v>
      </c>
      <c r="I30" t="n">
        <v>0</v>
      </c>
      <c r="J30" t="n">
        <v>0</v>
      </c>
      <c r="K30" t="n">
        <v>0</v>
      </c>
      <c r="L30" t="n">
        <v>0</v>
      </c>
      <c r="M30" t="n">
        <v>0</v>
      </c>
      <c r="N30" t="n">
        <v>0</v>
      </c>
      <c r="O30" t="n">
        <v>0</v>
      </c>
      <c r="P30" t="n">
        <v>0</v>
      </c>
      <c r="Q30" t="n">
        <v>1</v>
      </c>
      <c r="R30" s="2" t="inlineStr">
        <is>
          <t>Blåsippa</t>
        </is>
      </c>
      <c r="S30">
        <f>HYPERLINK("https://klasma.github.io/Logging_0330/artfynd/A 21831-2024 artfynd.xlsx", "A 21831-2024")</f>
        <v/>
      </c>
      <c r="T30">
        <f>HYPERLINK("https://klasma.github.io/Logging_0330/kartor/A 21831-2024 karta.png", "A 21831-2024")</f>
        <v/>
      </c>
      <c r="V30">
        <f>HYPERLINK("https://klasma.github.io/Logging_0330/klagomål/A 21831-2024 FSC-klagomål.docx", "A 21831-2024")</f>
        <v/>
      </c>
      <c r="W30">
        <f>HYPERLINK("https://klasma.github.io/Logging_0330/klagomålsmail/A 21831-2024 FSC-klagomål mail.docx", "A 21831-2024")</f>
        <v/>
      </c>
      <c r="X30">
        <f>HYPERLINK("https://klasma.github.io/Logging_0330/tillsyn/A 21831-2024 tillsynsbegäran.docx", "A 21831-2024")</f>
        <v/>
      </c>
      <c r="Y30">
        <f>HYPERLINK("https://klasma.github.io/Logging_0330/tillsynsmail/A 21831-2024 tillsynsbegäran mail.docx", "A 21831-2024")</f>
        <v/>
      </c>
    </row>
    <row r="31" ht="15" customHeight="1">
      <c r="A31" t="inlineStr">
        <is>
          <t>A 37595-2024</t>
        </is>
      </c>
      <c r="B31" s="1" t="n">
        <v>45541</v>
      </c>
      <c r="C31" s="1" t="n">
        <v>45795</v>
      </c>
      <c r="D31" t="inlineStr">
        <is>
          <t>UPPSALA LÄN</t>
        </is>
      </c>
      <c r="E31" t="inlineStr">
        <is>
          <t>KNIVSTA</t>
        </is>
      </c>
      <c r="G31" t="n">
        <v>6.4</v>
      </c>
      <c r="H31" t="n">
        <v>0</v>
      </c>
      <c r="I31" t="n">
        <v>0</v>
      </c>
      <c r="J31" t="n">
        <v>0</v>
      </c>
      <c r="K31" t="n">
        <v>1</v>
      </c>
      <c r="L31" t="n">
        <v>0</v>
      </c>
      <c r="M31" t="n">
        <v>0</v>
      </c>
      <c r="N31" t="n">
        <v>0</v>
      </c>
      <c r="O31" t="n">
        <v>1</v>
      </c>
      <c r="P31" t="n">
        <v>1</v>
      </c>
      <c r="Q31" t="n">
        <v>1</v>
      </c>
      <c r="R31" s="2" t="inlineStr">
        <is>
          <t>Violett fingersvamp</t>
        </is>
      </c>
      <c r="S31">
        <f>HYPERLINK("https://klasma.github.io/Logging_0330/artfynd/A 37595-2024 artfynd.xlsx", "A 37595-2024")</f>
        <v/>
      </c>
      <c r="T31">
        <f>HYPERLINK("https://klasma.github.io/Logging_0330/kartor/A 37595-2024 karta.png", "A 37595-2024")</f>
        <v/>
      </c>
      <c r="V31">
        <f>HYPERLINK("https://klasma.github.io/Logging_0330/klagomål/A 37595-2024 FSC-klagomål.docx", "A 37595-2024")</f>
        <v/>
      </c>
      <c r="W31">
        <f>HYPERLINK("https://klasma.github.io/Logging_0330/klagomålsmail/A 37595-2024 FSC-klagomål mail.docx", "A 37595-2024")</f>
        <v/>
      </c>
      <c r="X31">
        <f>HYPERLINK("https://klasma.github.io/Logging_0330/tillsyn/A 37595-2024 tillsynsbegäran.docx", "A 37595-2024")</f>
        <v/>
      </c>
      <c r="Y31">
        <f>HYPERLINK("https://klasma.github.io/Logging_0330/tillsynsmail/A 37595-2024 tillsynsbegäran mail.docx", "A 37595-2024")</f>
        <v/>
      </c>
    </row>
    <row r="32" ht="15" customHeight="1">
      <c r="A32" t="inlineStr">
        <is>
          <t>A 50039-2024</t>
        </is>
      </c>
      <c r="B32" s="1" t="n">
        <v>45600</v>
      </c>
      <c r="C32" s="1" t="n">
        <v>45795</v>
      </c>
      <c r="D32" t="inlineStr">
        <is>
          <t>UPPSALA LÄN</t>
        </is>
      </c>
      <c r="E32" t="inlineStr">
        <is>
          <t>KNIVSTA</t>
        </is>
      </c>
      <c r="G32" t="n">
        <v>2</v>
      </c>
      <c r="H32" t="n">
        <v>0</v>
      </c>
      <c r="I32" t="n">
        <v>1</v>
      </c>
      <c r="J32" t="n">
        <v>0</v>
      </c>
      <c r="K32" t="n">
        <v>0</v>
      </c>
      <c r="L32" t="n">
        <v>0</v>
      </c>
      <c r="M32" t="n">
        <v>0</v>
      </c>
      <c r="N32" t="n">
        <v>0</v>
      </c>
      <c r="O32" t="n">
        <v>0</v>
      </c>
      <c r="P32" t="n">
        <v>0</v>
      </c>
      <c r="Q32" t="n">
        <v>1</v>
      </c>
      <c r="R32" s="2" t="inlineStr">
        <is>
          <t>Tallfingersvamp</t>
        </is>
      </c>
      <c r="S32">
        <f>HYPERLINK("https://klasma.github.io/Logging_0330/artfynd/A 50039-2024 artfynd.xlsx", "A 50039-2024")</f>
        <v/>
      </c>
      <c r="T32">
        <f>HYPERLINK("https://klasma.github.io/Logging_0330/kartor/A 50039-2024 karta.png", "A 50039-2024")</f>
        <v/>
      </c>
      <c r="V32">
        <f>HYPERLINK("https://klasma.github.io/Logging_0330/klagomål/A 50039-2024 FSC-klagomål.docx", "A 50039-2024")</f>
        <v/>
      </c>
      <c r="W32">
        <f>HYPERLINK("https://klasma.github.io/Logging_0330/klagomålsmail/A 50039-2024 FSC-klagomål mail.docx", "A 50039-2024")</f>
        <v/>
      </c>
      <c r="X32">
        <f>HYPERLINK("https://klasma.github.io/Logging_0330/tillsyn/A 50039-2024 tillsynsbegäran.docx", "A 50039-2024")</f>
        <v/>
      </c>
      <c r="Y32">
        <f>HYPERLINK("https://klasma.github.io/Logging_0330/tillsynsmail/A 50039-2024 tillsynsbegäran mail.docx", "A 50039-2024")</f>
        <v/>
      </c>
    </row>
    <row r="33" ht="15" customHeight="1">
      <c r="A33" t="inlineStr">
        <is>
          <t>A 9553-2025</t>
        </is>
      </c>
      <c r="B33" s="1" t="n">
        <v>45715</v>
      </c>
      <c r="C33" s="1" t="n">
        <v>45795</v>
      </c>
      <c r="D33" t="inlineStr">
        <is>
          <t>UPPSALA LÄN</t>
        </is>
      </c>
      <c r="E33" t="inlineStr">
        <is>
          <t>KNIVSTA</t>
        </is>
      </c>
      <c r="G33" t="n">
        <v>3.5</v>
      </c>
      <c r="H33" t="n">
        <v>1</v>
      </c>
      <c r="I33" t="n">
        <v>0</v>
      </c>
      <c r="J33" t="n">
        <v>0</v>
      </c>
      <c r="K33" t="n">
        <v>0</v>
      </c>
      <c r="L33" t="n">
        <v>0</v>
      </c>
      <c r="M33" t="n">
        <v>0</v>
      </c>
      <c r="N33" t="n">
        <v>0</v>
      </c>
      <c r="O33" t="n">
        <v>0</v>
      </c>
      <c r="P33" t="n">
        <v>0</v>
      </c>
      <c r="Q33" t="n">
        <v>1</v>
      </c>
      <c r="R33" s="2" t="inlineStr">
        <is>
          <t>Nattviol</t>
        </is>
      </c>
      <c r="S33">
        <f>HYPERLINK("https://klasma.github.io/Logging_030330/artfynd/A 9553-2025 artfynd.xlsx", "A 9553-2025")</f>
        <v/>
      </c>
      <c r="T33">
        <f>HYPERLINK("https://klasma.github.io/Logging_030330/kartor/A 9553-2025 karta.png", "A 9553-2025")</f>
        <v/>
      </c>
      <c r="V33">
        <f>HYPERLINK("https://klasma.github.io/Logging_030330/klagomål/A 9553-2025 FSC-klagomål.docx", "A 9553-2025")</f>
        <v/>
      </c>
      <c r="W33">
        <f>HYPERLINK("https://klasma.github.io/Logging_030330/klagomålsmail/A 9553-2025 FSC-klagomål mail.docx", "A 9553-2025")</f>
        <v/>
      </c>
      <c r="X33">
        <f>HYPERLINK("https://klasma.github.io/Logging_030330/tillsyn/A 9553-2025 tillsynsbegäran.docx", "A 9553-2025")</f>
        <v/>
      </c>
      <c r="Y33">
        <f>HYPERLINK("https://klasma.github.io/Logging_030330/tillsynsmail/A 9553-2025 tillsynsbegäran mail.docx", "A 9553-2025")</f>
        <v/>
      </c>
    </row>
    <row r="34" ht="15" customHeight="1">
      <c r="A34" t="inlineStr">
        <is>
          <t>A 11405-2025</t>
        </is>
      </c>
      <c r="B34" s="1" t="n">
        <v>45726</v>
      </c>
      <c r="C34" s="1" t="n">
        <v>45795</v>
      </c>
      <c r="D34" t="inlineStr">
        <is>
          <t>UPPSALA LÄN</t>
        </is>
      </c>
      <c r="E34" t="inlineStr">
        <is>
          <t>KNIVSTA</t>
        </is>
      </c>
      <c r="G34" t="n">
        <v>1.6</v>
      </c>
      <c r="H34" t="n">
        <v>0</v>
      </c>
      <c r="I34" t="n">
        <v>0</v>
      </c>
      <c r="J34" t="n">
        <v>0</v>
      </c>
      <c r="K34" t="n">
        <v>0</v>
      </c>
      <c r="L34" t="n">
        <v>1</v>
      </c>
      <c r="M34" t="n">
        <v>0</v>
      </c>
      <c r="N34" t="n">
        <v>0</v>
      </c>
      <c r="O34" t="n">
        <v>1</v>
      </c>
      <c r="P34" t="n">
        <v>1</v>
      </c>
      <c r="Q34" t="n">
        <v>1</v>
      </c>
      <c r="R34" s="2" t="inlineStr">
        <is>
          <t>Fältgentiana</t>
        </is>
      </c>
      <c r="S34">
        <f>HYPERLINK("https://klasma.github.io/Logging_030330/artfynd/A 11405-2025 artfynd.xlsx", "A 11405-2025")</f>
        <v/>
      </c>
      <c r="T34">
        <f>HYPERLINK("https://klasma.github.io/Logging_030330/kartor/A 11405-2025 karta.png", "A 11405-2025")</f>
        <v/>
      </c>
      <c r="V34">
        <f>HYPERLINK("https://klasma.github.io/Logging_030330/klagomål/A 11405-2025 FSC-klagomål.docx", "A 11405-2025")</f>
        <v/>
      </c>
      <c r="W34">
        <f>HYPERLINK("https://klasma.github.io/Logging_030330/klagomålsmail/A 11405-2025 FSC-klagomål mail.docx", "A 11405-2025")</f>
        <v/>
      </c>
      <c r="X34">
        <f>HYPERLINK("https://klasma.github.io/Logging_030330/tillsyn/A 11405-2025 tillsynsbegäran.docx", "A 11405-2025")</f>
        <v/>
      </c>
      <c r="Y34">
        <f>HYPERLINK("https://klasma.github.io/Logging_030330/tillsynsmail/A 11405-2025 tillsynsbegäran mail.docx", "A 11405-2025")</f>
        <v/>
      </c>
    </row>
    <row r="35" ht="15" customHeight="1">
      <c r="A35" t="inlineStr">
        <is>
          <t>A 16407-2025</t>
        </is>
      </c>
      <c r="B35" s="1" t="n">
        <v>45751</v>
      </c>
      <c r="C35" s="1" t="n">
        <v>45795</v>
      </c>
      <c r="D35" t="inlineStr">
        <is>
          <t>UPPSALA LÄN</t>
        </is>
      </c>
      <c r="E35" t="inlineStr">
        <is>
          <t>KNIVSTA</t>
        </is>
      </c>
      <c r="G35" t="n">
        <v>1.1</v>
      </c>
      <c r="H35" t="n">
        <v>1</v>
      </c>
      <c r="I35" t="n">
        <v>0</v>
      </c>
      <c r="J35" t="n">
        <v>0</v>
      </c>
      <c r="K35" t="n">
        <v>0</v>
      </c>
      <c r="L35" t="n">
        <v>0</v>
      </c>
      <c r="M35" t="n">
        <v>0</v>
      </c>
      <c r="N35" t="n">
        <v>0</v>
      </c>
      <c r="O35" t="n">
        <v>0</v>
      </c>
      <c r="P35" t="n">
        <v>0</v>
      </c>
      <c r="Q35" t="n">
        <v>1</v>
      </c>
      <c r="R35" s="2" t="inlineStr">
        <is>
          <t>Blåsippa</t>
        </is>
      </c>
      <c r="S35">
        <f>HYPERLINK("https://klasma.github.io/Logging_030330/artfynd/A 16407-2025 artfynd.xlsx", "A 16407-2025")</f>
        <v/>
      </c>
      <c r="T35">
        <f>HYPERLINK("https://klasma.github.io/Logging_030330/kartor/A 16407-2025 karta.png", "A 16407-2025")</f>
        <v/>
      </c>
      <c r="V35">
        <f>HYPERLINK("https://klasma.github.io/Logging_030330/klagomål/A 16407-2025 FSC-klagomål.docx", "A 16407-2025")</f>
        <v/>
      </c>
      <c r="W35">
        <f>HYPERLINK("https://klasma.github.io/Logging_030330/klagomålsmail/A 16407-2025 FSC-klagomål mail.docx", "A 16407-2025")</f>
        <v/>
      </c>
      <c r="X35">
        <f>HYPERLINK("https://klasma.github.io/Logging_030330/tillsyn/A 16407-2025 tillsynsbegäran.docx", "A 16407-2025")</f>
        <v/>
      </c>
      <c r="Y35">
        <f>HYPERLINK("https://klasma.github.io/Logging_030330/tillsynsmail/A 16407-2025 tillsynsbegäran mail.docx", "A 16407-2025")</f>
        <v/>
      </c>
    </row>
    <row r="36" ht="15" customHeight="1">
      <c r="A36" t="inlineStr">
        <is>
          <t>A 18506-2019</t>
        </is>
      </c>
      <c r="B36" s="1" t="n">
        <v>43559</v>
      </c>
      <c r="C36" s="1" t="n">
        <v>45795</v>
      </c>
      <c r="D36" t="inlineStr">
        <is>
          <t>UPPSALA LÄN</t>
        </is>
      </c>
      <c r="E36" t="inlineStr">
        <is>
          <t>KNIVSTA</t>
        </is>
      </c>
      <c r="F36" t="inlineStr">
        <is>
          <t>Holmen skog AB</t>
        </is>
      </c>
      <c r="G36" t="n">
        <v>1.2</v>
      </c>
      <c r="H36" t="n">
        <v>0</v>
      </c>
      <c r="I36" t="n">
        <v>0</v>
      </c>
      <c r="J36" t="n">
        <v>0</v>
      </c>
      <c r="K36" t="n">
        <v>0</v>
      </c>
      <c r="L36" t="n">
        <v>0</v>
      </c>
      <c r="M36" t="n">
        <v>0</v>
      </c>
      <c r="N36" t="n">
        <v>0</v>
      </c>
      <c r="O36" t="n">
        <v>0</v>
      </c>
      <c r="P36" t="n">
        <v>0</v>
      </c>
      <c r="Q36" t="n">
        <v>0</v>
      </c>
      <c r="R36" s="2" t="inlineStr"/>
    </row>
    <row r="37" ht="15" customHeight="1">
      <c r="A37" t="inlineStr">
        <is>
          <t>A 18503-2019</t>
        </is>
      </c>
      <c r="B37" s="1" t="n">
        <v>43559</v>
      </c>
      <c r="C37" s="1" t="n">
        <v>45795</v>
      </c>
      <c r="D37" t="inlineStr">
        <is>
          <t>UPPSALA LÄN</t>
        </is>
      </c>
      <c r="E37" t="inlineStr">
        <is>
          <t>KNIVSTA</t>
        </is>
      </c>
      <c r="F37" t="inlineStr">
        <is>
          <t>Holmen skog AB</t>
        </is>
      </c>
      <c r="G37" t="n">
        <v>2.7</v>
      </c>
      <c r="H37" t="n">
        <v>0</v>
      </c>
      <c r="I37" t="n">
        <v>0</v>
      </c>
      <c r="J37" t="n">
        <v>0</v>
      </c>
      <c r="K37" t="n">
        <v>0</v>
      </c>
      <c r="L37" t="n">
        <v>0</v>
      </c>
      <c r="M37" t="n">
        <v>0</v>
      </c>
      <c r="N37" t="n">
        <v>0</v>
      </c>
      <c r="O37" t="n">
        <v>0</v>
      </c>
      <c r="P37" t="n">
        <v>0</v>
      </c>
      <c r="Q37" t="n">
        <v>0</v>
      </c>
      <c r="R37" s="2" t="inlineStr"/>
    </row>
    <row r="38" ht="15" customHeight="1">
      <c r="A38" t="inlineStr">
        <is>
          <t>A 19512-2019</t>
        </is>
      </c>
      <c r="B38" s="1" t="n">
        <v>43565</v>
      </c>
      <c r="C38" s="1" t="n">
        <v>45795</v>
      </c>
      <c r="D38" t="inlineStr">
        <is>
          <t>UPPSALA LÄN</t>
        </is>
      </c>
      <c r="E38" t="inlineStr">
        <is>
          <t>KNIVSTA</t>
        </is>
      </c>
      <c r="G38" t="n">
        <v>5.6</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45795</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45795</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45795</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45795</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45795</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45795</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45795</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45795</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45795</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45795</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45795</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45795</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45795</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45795</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45795</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45795</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45795</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45795</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45795</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45795</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45795</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45795</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45795</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45795</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45795</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45795</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45795</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45795</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45795</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45795</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45795</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45795</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45795</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45795</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45795</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45795</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45795</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45795</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45795</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45795</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45795</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45795</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45795</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45795</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45795</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45795</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45795</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45795</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45795</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45795</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45795</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45795</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45795</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45795</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45795</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45795</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45795</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45795</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45795</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45795</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45795</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45795</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45795</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45795</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45795</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45795</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45795</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45795</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45795</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45795</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45795</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45795</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45795</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45795</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45795</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45795</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45795</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45795</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45795</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45795</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45795</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45795</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45795</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45795</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45795</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45795</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45795</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45795</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45795</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45795</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45795</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45795</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45795</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45795</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45795</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45795</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45795</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45795</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45795</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45795</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45795</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45795</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45795</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45795</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45795</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45795</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45795</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45795</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45795</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45795</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45795</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45795</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45795</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45795</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45795</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45795</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45795</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45795</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45795</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45795</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45795</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45795</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45795</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45795</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45795</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45795</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45795</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45795</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45795</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45795</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45795</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45795</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45795</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45795</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45795</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45795</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45795</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45795</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45795</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45795</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45795</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45795</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45795</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45795</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45795</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45795</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45795</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45795</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45795</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45795</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45795</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45795</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45795</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45795</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45795</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45795</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45795</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45795</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45795</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45795</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45795</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45795</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45795</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45795</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45795</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45795</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45795</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45795</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45795</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45795</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c r="A209" t="inlineStr">
        <is>
          <t>A 21130-2025</t>
        </is>
      </c>
      <c r="B209" s="1" t="n">
        <v>45778</v>
      </c>
      <c r="C209" s="1" t="n">
        <v>45795</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2025-05-18T17:27:46Z</dcterms:created>
  <dcterms:modified xmlns:dcterms="http://purl.org/dc/terms/" xmlns:xsi="http://www.w3.org/2001/XMLSchema-instance" xsi:type="dcterms:W3CDTF">2025-05-18T17:27:46Z</dcterms:modified>
</cp:coreProperties>
</file>