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46190</v>
      </c>
      <c r="D2" t="inlineStr">
        <is>
          <t>UPPSALA LÄN</t>
        </is>
      </c>
      <c r="E2" t="inlineStr">
        <is>
          <t>KNIVSTA</t>
        </is>
      </c>
      <c r="G2" t="n">
        <v>14.4</v>
      </c>
      <c r="H2" t="n">
        <v>7</v>
      </c>
      <c r="I2" t="n">
        <v>13</v>
      </c>
      <c r="J2" t="n">
        <v>15</v>
      </c>
      <c r="K2" t="n">
        <v>4</v>
      </c>
      <c r="L2" t="n">
        <v>0</v>
      </c>
      <c r="M2" t="n">
        <v>0</v>
      </c>
      <c r="N2" t="n">
        <v>0</v>
      </c>
      <c r="O2" t="n">
        <v>19</v>
      </c>
      <c r="P2" t="n">
        <v>4</v>
      </c>
      <c r="Q2" t="n">
        <v>35</v>
      </c>
      <c r="R2"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46190</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46190</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46190</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46190</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44867-2023</t>
        </is>
      </c>
      <c r="B7" s="1" t="n">
        <v>45190</v>
      </c>
      <c r="C7" s="1" t="n">
        <v>46190</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7444-2023</t>
        </is>
      </c>
      <c r="B8" s="1" t="n">
        <v>44971</v>
      </c>
      <c r="C8" s="1" t="n">
        <v>46190</v>
      </c>
      <c r="D8" t="inlineStr">
        <is>
          <t>UPPSALA LÄN</t>
        </is>
      </c>
      <c r="E8" t="inlineStr">
        <is>
          <t>KNIVSTA</t>
        </is>
      </c>
      <c r="G8" t="n">
        <v>0.7</v>
      </c>
      <c r="H8" t="n">
        <v>0</v>
      </c>
      <c r="I8" t="n">
        <v>4</v>
      </c>
      <c r="J8" t="n">
        <v>2</v>
      </c>
      <c r="K8" t="n">
        <v>3</v>
      </c>
      <c r="L8" t="n">
        <v>0</v>
      </c>
      <c r="M8" t="n">
        <v>0</v>
      </c>
      <c r="N8" t="n">
        <v>0</v>
      </c>
      <c r="O8" t="n">
        <v>5</v>
      </c>
      <c r="P8" t="n">
        <v>3</v>
      </c>
      <c r="Q8" t="n">
        <v>9</v>
      </c>
      <c r="R8" s="2" t="inlineStr">
        <is>
          <t>Apelticka
Blastenia relicta
Kärnticka
Kandelabersvamp
Lunglav
Granbarkgnagare
Platt fjädermossa
Stekelbock
Thomsons trägnagare</t>
        </is>
      </c>
      <c r="S8">
        <f>HYPERLINK("https://klasma.github.io/Logging_0330/artfynd/A 7444-2023 artfynd.xlsx", "A 7444-2023")</f>
        <v/>
      </c>
      <c r="T8">
        <f>HYPERLINK("https://klasma.github.io/Logging_0330/kartor/A 7444-2023 karta.png", "A 7444-2023")</f>
        <v/>
      </c>
      <c r="V8">
        <f>HYPERLINK("https://klasma.github.io/Logging_0330/klagomål/A 7444-2023 FSC-klagomål.docx", "A 7444-2023")</f>
        <v/>
      </c>
      <c r="W8">
        <f>HYPERLINK("https://klasma.github.io/Logging_0330/klagomålsmail/A 7444-2023 FSC-klagomål mail.docx", "A 7444-2023")</f>
        <v/>
      </c>
      <c r="X8">
        <f>HYPERLINK("https://klasma.github.io/Logging_0330/tillsyn/A 7444-2023 tillsynsbegäran.docx", "A 7444-2023")</f>
        <v/>
      </c>
      <c r="Y8">
        <f>HYPERLINK("https://klasma.github.io/Logging_0330/tillsynsmail/A 7444-2023 tillsynsbegäran mail.docx", "A 7444-2023")</f>
        <v/>
      </c>
    </row>
    <row r="9" ht="15" customHeight="1">
      <c r="A9" t="inlineStr">
        <is>
          <t>A 12958-2026</t>
        </is>
      </c>
      <c r="B9" s="1" t="n">
        <v>46092.63871527778</v>
      </c>
      <c r="C9" s="1" t="n">
        <v>46190</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46190</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46190</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33770-2023</t>
        </is>
      </c>
      <c r="B12" s="1" t="n">
        <v>45133</v>
      </c>
      <c r="C12" s="1" t="n">
        <v>46190</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46190</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61768-2025</t>
        </is>
      </c>
      <c r="B14" s="1" t="n">
        <v>46002.63940972222</v>
      </c>
      <c r="C14" s="1" t="n">
        <v>46190</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11405-2025</t>
        </is>
      </c>
      <c r="B15" s="1" t="n">
        <v>45726</v>
      </c>
      <c r="C15" s="1" t="n">
        <v>46190</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9561-2026</t>
        </is>
      </c>
      <c r="B16" s="1" t="n">
        <v>46071.64916666667</v>
      </c>
      <c r="C16" s="1" t="n">
        <v>46190</v>
      </c>
      <c r="D16" t="inlineStr">
        <is>
          <t>UPPSALA LÄN</t>
        </is>
      </c>
      <c r="E16" t="inlineStr">
        <is>
          <t>KNIVSTA</t>
        </is>
      </c>
      <c r="F16" t="inlineStr">
        <is>
          <t>Övriga statliga verk och myndigheter</t>
        </is>
      </c>
      <c r="G16" t="n">
        <v>2.6</v>
      </c>
      <c r="H16" t="n">
        <v>0</v>
      </c>
      <c r="I16" t="n">
        <v>0</v>
      </c>
      <c r="J16" t="n">
        <v>1</v>
      </c>
      <c r="K16" t="n">
        <v>0</v>
      </c>
      <c r="L16" t="n">
        <v>0</v>
      </c>
      <c r="M16" t="n">
        <v>0</v>
      </c>
      <c r="N16" t="n">
        <v>0</v>
      </c>
      <c r="O16" t="n">
        <v>1</v>
      </c>
      <c r="P16" t="n">
        <v>0</v>
      </c>
      <c r="Q16" t="n">
        <v>1</v>
      </c>
      <c r="R16" s="2" t="inlineStr">
        <is>
          <t>Svartöra</t>
        </is>
      </c>
      <c r="S16">
        <f>HYPERLINK("https://klasma.github.io/Logging_0330/artfynd/A 9561-2026 artfynd.xlsx", "A 9561-2026")</f>
        <v/>
      </c>
      <c r="T16">
        <f>HYPERLINK("https://klasma.github.io/Logging_0330/kartor/A 9561-2026 karta.png", "A 9561-2026")</f>
        <v/>
      </c>
      <c r="V16">
        <f>HYPERLINK("https://klasma.github.io/Logging_0330/klagomål/A 9561-2026 FSC-klagomål.docx", "A 9561-2026")</f>
        <v/>
      </c>
      <c r="W16">
        <f>HYPERLINK("https://klasma.github.io/Logging_0330/klagomålsmail/A 9561-2026 FSC-klagomål mail.docx", "A 9561-2026")</f>
        <v/>
      </c>
      <c r="X16">
        <f>HYPERLINK("https://klasma.github.io/Logging_0330/tillsyn/A 9561-2026 tillsynsbegäran.docx", "A 9561-2026")</f>
        <v/>
      </c>
      <c r="Y16">
        <f>HYPERLINK("https://klasma.github.io/Logging_0330/tillsynsmail/A 9561-2026 tillsynsbegäran mail.docx", "A 9561-2026")</f>
        <v/>
      </c>
    </row>
    <row r="17" ht="15" customHeight="1">
      <c r="A17" t="inlineStr">
        <is>
          <t>A 13002-2026</t>
        </is>
      </c>
      <c r="B17" s="1" t="n">
        <v>46092.68854166667</v>
      </c>
      <c r="C17" s="1" t="n">
        <v>46190</v>
      </c>
      <c r="D17" t="inlineStr">
        <is>
          <t>UPPSALA LÄN</t>
        </is>
      </c>
      <c r="E17" t="inlineStr">
        <is>
          <t>KNIVSTA</t>
        </is>
      </c>
      <c r="F17" t="inlineStr">
        <is>
          <t>Holmen skog AB</t>
        </is>
      </c>
      <c r="G17" t="n">
        <v>0.7</v>
      </c>
      <c r="H17" t="n">
        <v>1</v>
      </c>
      <c r="I17" t="n">
        <v>0</v>
      </c>
      <c r="J17" t="n">
        <v>0</v>
      </c>
      <c r="K17" t="n">
        <v>1</v>
      </c>
      <c r="L17" t="n">
        <v>0</v>
      </c>
      <c r="M17" t="n">
        <v>0</v>
      </c>
      <c r="N17" t="n">
        <v>0</v>
      </c>
      <c r="O17" t="n">
        <v>1</v>
      </c>
      <c r="P17" t="n">
        <v>1</v>
      </c>
      <c r="Q17" t="n">
        <v>1</v>
      </c>
      <c r="R17" s="2" t="inlineStr">
        <is>
          <t>Knärot</t>
        </is>
      </c>
      <c r="S17">
        <f>HYPERLINK("https://klasma.github.io/Logging_0330/artfynd/A 13002-2026 artfynd.xlsx", "A 13002-2026")</f>
        <v/>
      </c>
      <c r="T17">
        <f>HYPERLINK("https://klasma.github.io/Logging_0330/kartor/A 13002-2026 karta.png", "A 13002-2026")</f>
        <v/>
      </c>
      <c r="U17">
        <f>HYPERLINK("https://klasma.github.io/Logging_0330/knärot/A 13002-2026 karta knärot.png", "A 13002-2026")</f>
        <v/>
      </c>
      <c r="V17">
        <f>HYPERLINK("https://klasma.github.io/Logging_0330/klagomål/A 13002-2026 FSC-klagomål.docx", "A 13002-2026")</f>
        <v/>
      </c>
      <c r="W17">
        <f>HYPERLINK("https://klasma.github.io/Logging_0330/klagomålsmail/A 13002-2026 FSC-klagomål mail.docx", "A 13002-2026")</f>
        <v/>
      </c>
      <c r="X17">
        <f>HYPERLINK("https://klasma.github.io/Logging_0330/tillsyn/A 13002-2026 tillsynsbegäran.docx", "A 13002-2026")</f>
        <v/>
      </c>
      <c r="Y17">
        <f>HYPERLINK("https://klasma.github.io/Logging_0330/tillsynsmail/A 13002-2026 tillsynsbegäran mail.docx", "A 13002-2026")</f>
        <v/>
      </c>
    </row>
    <row r="18" ht="15" customHeight="1">
      <c r="A18" t="inlineStr">
        <is>
          <t>A 13004-2026</t>
        </is>
      </c>
      <c r="B18" s="1" t="n">
        <v>46092.68935185186</v>
      </c>
      <c r="C18" s="1" t="n">
        <v>46190</v>
      </c>
      <c r="D18" t="inlineStr">
        <is>
          <t>UPPSALA LÄN</t>
        </is>
      </c>
      <c r="E18" t="inlineStr">
        <is>
          <t>KNIVSTA</t>
        </is>
      </c>
      <c r="F18" t="inlineStr">
        <is>
          <t>Holmen skog AB</t>
        </is>
      </c>
      <c r="G18" t="n">
        <v>7.8</v>
      </c>
      <c r="H18" t="n">
        <v>1</v>
      </c>
      <c r="I18" t="n">
        <v>0</v>
      </c>
      <c r="J18" t="n">
        <v>1</v>
      </c>
      <c r="K18" t="n">
        <v>0</v>
      </c>
      <c r="L18" t="n">
        <v>0</v>
      </c>
      <c r="M18" t="n">
        <v>0</v>
      </c>
      <c r="N18" t="n">
        <v>0</v>
      </c>
      <c r="O18" t="n">
        <v>1</v>
      </c>
      <c r="P18" t="n">
        <v>0</v>
      </c>
      <c r="Q18" t="n">
        <v>1</v>
      </c>
      <c r="R18" s="2" t="inlineStr">
        <is>
          <t>Spillkråka</t>
        </is>
      </c>
      <c r="S18">
        <f>HYPERLINK("https://klasma.github.io/Logging_0330/artfynd/A 13004-2026 artfynd.xlsx", "A 13004-2026")</f>
        <v/>
      </c>
      <c r="T18">
        <f>HYPERLINK("https://klasma.github.io/Logging_0330/kartor/A 13004-2026 karta.png", "A 13004-2026")</f>
        <v/>
      </c>
      <c r="U18">
        <f>HYPERLINK("https://klasma.github.io/Logging_0330/knärot/A 13004-2026 karta knärot.png", "A 13004-2026")</f>
        <v/>
      </c>
      <c r="V18">
        <f>HYPERLINK("https://klasma.github.io/Logging_0330/klagomål/A 13004-2026 FSC-klagomål.docx", "A 13004-2026")</f>
        <v/>
      </c>
      <c r="W18">
        <f>HYPERLINK("https://klasma.github.io/Logging_0330/klagomålsmail/A 13004-2026 FSC-klagomål mail.docx", "A 13004-2026")</f>
        <v/>
      </c>
      <c r="X18">
        <f>HYPERLINK("https://klasma.github.io/Logging_0330/tillsyn/A 13004-2026 tillsynsbegäran.docx", "A 13004-2026")</f>
        <v/>
      </c>
      <c r="Y18">
        <f>HYPERLINK("https://klasma.github.io/Logging_0330/tillsynsmail/A 13004-2026 tillsynsbegäran mail.docx", "A 13004-2026")</f>
        <v/>
      </c>
      <c r="Z18">
        <f>HYPERLINK("https://klasma.github.io/Logging_0330/fåglar/A 13004-2026 prioriterade fågelarter.docx", "A 13004-2026")</f>
        <v/>
      </c>
    </row>
    <row r="19" ht="15" customHeight="1">
      <c r="A19" t="inlineStr">
        <is>
          <t>A 13380-2026</t>
        </is>
      </c>
      <c r="B19" s="1" t="n">
        <v>46094.42555555556</v>
      </c>
      <c r="C19" s="1" t="n">
        <v>46190</v>
      </c>
      <c r="D19" t="inlineStr">
        <is>
          <t>UPPSALA LÄN</t>
        </is>
      </c>
      <c r="E19" t="inlineStr">
        <is>
          <t>KNIVSTA</t>
        </is>
      </c>
      <c r="G19" t="n">
        <v>1.7</v>
      </c>
      <c r="H19" t="n">
        <v>1</v>
      </c>
      <c r="I19" t="n">
        <v>0</v>
      </c>
      <c r="J19" t="n">
        <v>1</v>
      </c>
      <c r="K19" t="n">
        <v>0</v>
      </c>
      <c r="L19" t="n">
        <v>0</v>
      </c>
      <c r="M19" t="n">
        <v>0</v>
      </c>
      <c r="N19" t="n">
        <v>0</v>
      </c>
      <c r="O19" t="n">
        <v>1</v>
      </c>
      <c r="P19" t="n">
        <v>0</v>
      </c>
      <c r="Q19" t="n">
        <v>1</v>
      </c>
      <c r="R19" s="2" t="inlineStr">
        <is>
          <t>Spillkråka</t>
        </is>
      </c>
      <c r="S19">
        <f>HYPERLINK("https://klasma.github.io/Logging_0330/artfynd/A 13380-2026 artfynd.xlsx", "A 13380-2026")</f>
        <v/>
      </c>
      <c r="T19">
        <f>HYPERLINK("https://klasma.github.io/Logging_0330/kartor/A 13380-2026 karta.png", "A 13380-2026")</f>
        <v/>
      </c>
      <c r="V19">
        <f>HYPERLINK("https://klasma.github.io/Logging_0330/klagomål/A 13380-2026 FSC-klagomål.docx", "A 13380-2026")</f>
        <v/>
      </c>
      <c r="W19">
        <f>HYPERLINK("https://klasma.github.io/Logging_0330/klagomålsmail/A 13380-2026 FSC-klagomål mail.docx", "A 13380-2026")</f>
        <v/>
      </c>
      <c r="X19">
        <f>HYPERLINK("https://klasma.github.io/Logging_0330/tillsyn/A 13380-2026 tillsynsbegäran.docx", "A 13380-2026")</f>
        <v/>
      </c>
      <c r="Y19">
        <f>HYPERLINK("https://klasma.github.io/Logging_0330/tillsynsmail/A 13380-2026 tillsynsbegäran mail.docx", "A 13380-2026")</f>
        <v/>
      </c>
      <c r="Z19">
        <f>HYPERLINK("https://klasma.github.io/Logging_0330/fåglar/A 13380-2026 prioriterade fågelarter.docx", "A 13380-2026")</f>
        <v/>
      </c>
    </row>
    <row r="20" ht="15" customHeight="1">
      <c r="A20" t="inlineStr">
        <is>
          <t>A 18576-2026</t>
        </is>
      </c>
      <c r="B20" s="1" t="n">
        <v>46127.60626157407</v>
      </c>
      <c r="C20" s="1" t="n">
        <v>46190</v>
      </c>
      <c r="D20" t="inlineStr">
        <is>
          <t>UPPSALA LÄN</t>
        </is>
      </c>
      <c r="E20" t="inlineStr">
        <is>
          <t>KNIVSTA</t>
        </is>
      </c>
      <c r="G20" t="n">
        <v>4.8</v>
      </c>
      <c r="H20" t="n">
        <v>1</v>
      </c>
      <c r="I20" t="n">
        <v>0</v>
      </c>
      <c r="J20" t="n">
        <v>0</v>
      </c>
      <c r="K20" t="n">
        <v>0</v>
      </c>
      <c r="L20" t="n">
        <v>0</v>
      </c>
      <c r="M20" t="n">
        <v>0</v>
      </c>
      <c r="N20" t="n">
        <v>0</v>
      </c>
      <c r="O20" t="n">
        <v>0</v>
      </c>
      <c r="P20" t="n">
        <v>0</v>
      </c>
      <c r="Q20" t="n">
        <v>1</v>
      </c>
      <c r="R20" s="2" t="inlineStr">
        <is>
          <t>Blåsippa</t>
        </is>
      </c>
      <c r="S20">
        <f>HYPERLINK("https://klasma.github.io/Logging_0330/artfynd/A 18576-2026 artfynd.xlsx", "A 18576-2026")</f>
        <v/>
      </c>
      <c r="T20">
        <f>HYPERLINK("https://klasma.github.io/Logging_0330/kartor/A 18576-2026 karta.png", "A 18576-2026")</f>
        <v/>
      </c>
      <c r="V20">
        <f>HYPERLINK("https://klasma.github.io/Logging_0330/klagomål/A 18576-2026 FSC-klagomål.docx", "A 18576-2026")</f>
        <v/>
      </c>
      <c r="W20">
        <f>HYPERLINK("https://klasma.github.io/Logging_0330/klagomålsmail/A 18576-2026 FSC-klagomål mail.docx", "A 18576-2026")</f>
        <v/>
      </c>
      <c r="X20">
        <f>HYPERLINK("https://klasma.github.io/Logging_0330/tillsyn/A 18576-2026 tillsynsbegäran.docx", "A 18576-2026")</f>
        <v/>
      </c>
      <c r="Y20">
        <f>HYPERLINK("https://klasma.github.io/Logging_0330/tillsynsmail/A 18576-2026 tillsynsbegäran mail.docx", "A 18576-2026")</f>
        <v/>
      </c>
    </row>
    <row r="21" ht="15" customHeight="1">
      <c r="A21" t="inlineStr">
        <is>
          <t>A 66298-2021</t>
        </is>
      </c>
      <c r="B21" s="1" t="n">
        <v>44518</v>
      </c>
      <c r="C21" s="1" t="n">
        <v>46190</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46190</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46190</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46190</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46190</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35232-2021</t>
        </is>
      </c>
      <c r="B26" s="1" t="n">
        <v>44384</v>
      </c>
      <c r="C26" s="1" t="n">
        <v>46190</v>
      </c>
      <c r="D26" t="inlineStr">
        <is>
          <t>UPPSALA LÄN</t>
        </is>
      </c>
      <c r="E26" t="inlineStr">
        <is>
          <t>KNIVSTA</t>
        </is>
      </c>
      <c r="G26" t="n">
        <v>1.1</v>
      </c>
      <c r="H26" t="n">
        <v>0</v>
      </c>
      <c r="I26" t="n">
        <v>0</v>
      </c>
      <c r="J26" t="n">
        <v>0</v>
      </c>
      <c r="K26" t="n">
        <v>0</v>
      </c>
      <c r="L26" t="n">
        <v>0</v>
      </c>
      <c r="M26" t="n">
        <v>0</v>
      </c>
      <c r="N26" t="n">
        <v>0</v>
      </c>
      <c r="O26" t="n">
        <v>0</v>
      </c>
      <c r="P26" t="n">
        <v>0</v>
      </c>
      <c r="Q26" t="n">
        <v>0</v>
      </c>
      <c r="R26" s="2" t="inlineStr"/>
    </row>
    <row r="27" ht="15" customHeight="1">
      <c r="A27" t="inlineStr">
        <is>
          <t>A 62451-2021</t>
        </is>
      </c>
      <c r="B27" s="1" t="n">
        <v>44509</v>
      </c>
      <c r="C27" s="1" t="n">
        <v>46190</v>
      </c>
      <c r="D27" t="inlineStr">
        <is>
          <t>UPPSALA LÄN</t>
        </is>
      </c>
      <c r="E27" t="inlineStr">
        <is>
          <t>KNIVSTA</t>
        </is>
      </c>
      <c r="G27" t="n">
        <v>2.5</v>
      </c>
      <c r="H27" t="n">
        <v>0</v>
      </c>
      <c r="I27" t="n">
        <v>0</v>
      </c>
      <c r="J27" t="n">
        <v>0</v>
      </c>
      <c r="K27" t="n">
        <v>0</v>
      </c>
      <c r="L27" t="n">
        <v>0</v>
      </c>
      <c r="M27" t="n">
        <v>0</v>
      </c>
      <c r="N27" t="n">
        <v>0</v>
      </c>
      <c r="O27" t="n">
        <v>0</v>
      </c>
      <c r="P27" t="n">
        <v>0</v>
      </c>
      <c r="Q27" t="n">
        <v>0</v>
      </c>
      <c r="R27" s="2" t="inlineStr"/>
    </row>
    <row r="28" ht="15" customHeight="1">
      <c r="A28" t="inlineStr">
        <is>
          <t>A 64044-2021</t>
        </is>
      </c>
      <c r="B28" s="1" t="n">
        <v>44510</v>
      </c>
      <c r="C28" s="1" t="n">
        <v>46190</v>
      </c>
      <c r="D28" t="inlineStr">
        <is>
          <t>UPPSALA LÄN</t>
        </is>
      </c>
      <c r="E28" t="inlineStr">
        <is>
          <t>KNIVSTA</t>
        </is>
      </c>
      <c r="G28" t="n">
        <v>0.5</v>
      </c>
      <c r="H28" t="n">
        <v>0</v>
      </c>
      <c r="I28" t="n">
        <v>0</v>
      </c>
      <c r="J28" t="n">
        <v>0</v>
      </c>
      <c r="K28" t="n">
        <v>0</v>
      </c>
      <c r="L28" t="n">
        <v>0</v>
      </c>
      <c r="M28" t="n">
        <v>0</v>
      </c>
      <c r="N28" t="n">
        <v>0</v>
      </c>
      <c r="O28" t="n">
        <v>0</v>
      </c>
      <c r="P28" t="n">
        <v>0</v>
      </c>
      <c r="Q28" t="n">
        <v>0</v>
      </c>
      <c r="R28" s="2" t="inlineStr"/>
    </row>
    <row r="29" ht="15" customHeight="1">
      <c r="A29" t="inlineStr">
        <is>
          <t>A 47652-2021</t>
        </is>
      </c>
      <c r="B29" s="1" t="n">
        <v>44448</v>
      </c>
      <c r="C29" s="1" t="n">
        <v>46190</v>
      </c>
      <c r="D29" t="inlineStr">
        <is>
          <t>UPPSALA LÄN</t>
        </is>
      </c>
      <c r="E29" t="inlineStr">
        <is>
          <t>KNIVSTA</t>
        </is>
      </c>
      <c r="G29" t="n">
        <v>2.7</v>
      </c>
      <c r="H29" t="n">
        <v>0</v>
      </c>
      <c r="I29" t="n">
        <v>0</v>
      </c>
      <c r="J29" t="n">
        <v>0</v>
      </c>
      <c r="K29" t="n">
        <v>0</v>
      </c>
      <c r="L29" t="n">
        <v>0</v>
      </c>
      <c r="M29" t="n">
        <v>0</v>
      </c>
      <c r="N29" t="n">
        <v>0</v>
      </c>
      <c r="O29" t="n">
        <v>0</v>
      </c>
      <c r="P29" t="n">
        <v>0</v>
      </c>
      <c r="Q29" t="n">
        <v>0</v>
      </c>
      <c r="R29" s="2" t="inlineStr"/>
    </row>
    <row r="30" ht="15" customHeight="1">
      <c r="A30" t="inlineStr">
        <is>
          <t>A 47654-2021</t>
        </is>
      </c>
      <c r="B30" s="1" t="n">
        <v>44448</v>
      </c>
      <c r="C30" s="1" t="n">
        <v>46190</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70275-2021</t>
        </is>
      </c>
      <c r="B31" s="1" t="n">
        <v>44536</v>
      </c>
      <c r="C31" s="1" t="n">
        <v>46190</v>
      </c>
      <c r="D31" t="inlineStr">
        <is>
          <t>UPPSALA LÄN</t>
        </is>
      </c>
      <c r="E31" t="inlineStr">
        <is>
          <t>KNIVSTA</t>
        </is>
      </c>
      <c r="F31" t="inlineStr">
        <is>
          <t>Holmen skog AB</t>
        </is>
      </c>
      <c r="G31" t="n">
        <v>0.7</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46190</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46190</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62441-2021</t>
        </is>
      </c>
      <c r="B34" s="1" t="n">
        <v>44503</v>
      </c>
      <c r="C34" s="1" t="n">
        <v>46190</v>
      </c>
      <c r="D34" t="inlineStr">
        <is>
          <t>UPPSALA LÄN</t>
        </is>
      </c>
      <c r="E34" t="inlineStr">
        <is>
          <t>KNIVSTA</t>
        </is>
      </c>
      <c r="G34" t="n">
        <v>1.9</v>
      </c>
      <c r="H34" t="n">
        <v>0</v>
      </c>
      <c r="I34" t="n">
        <v>0</v>
      </c>
      <c r="J34" t="n">
        <v>0</v>
      </c>
      <c r="K34" t="n">
        <v>0</v>
      </c>
      <c r="L34" t="n">
        <v>0</v>
      </c>
      <c r="M34" t="n">
        <v>0</v>
      </c>
      <c r="N34" t="n">
        <v>0</v>
      </c>
      <c r="O34" t="n">
        <v>0</v>
      </c>
      <c r="P34" t="n">
        <v>0</v>
      </c>
      <c r="Q34" t="n">
        <v>0</v>
      </c>
      <c r="R34" s="2" t="inlineStr"/>
    </row>
    <row r="35" ht="15" customHeight="1">
      <c r="A35" t="inlineStr">
        <is>
          <t>A 72966-2021</t>
        </is>
      </c>
      <c r="B35" s="1" t="n">
        <v>44548.57709490741</v>
      </c>
      <c r="C35" s="1" t="n">
        <v>46190</v>
      </c>
      <c r="D35" t="inlineStr">
        <is>
          <t>UPPSALA LÄN</t>
        </is>
      </c>
      <c r="E35" t="inlineStr">
        <is>
          <t>KNIVSTA</t>
        </is>
      </c>
      <c r="G35" t="n">
        <v>2</v>
      </c>
      <c r="H35" t="n">
        <v>0</v>
      </c>
      <c r="I35" t="n">
        <v>0</v>
      </c>
      <c r="J35" t="n">
        <v>0</v>
      </c>
      <c r="K35" t="n">
        <v>0</v>
      </c>
      <c r="L35" t="n">
        <v>0</v>
      </c>
      <c r="M35" t="n">
        <v>0</v>
      </c>
      <c r="N35" t="n">
        <v>0</v>
      </c>
      <c r="O35" t="n">
        <v>0</v>
      </c>
      <c r="P35" t="n">
        <v>0</v>
      </c>
      <c r="Q35" t="n">
        <v>0</v>
      </c>
      <c r="R35" s="2" t="inlineStr"/>
    </row>
    <row r="36" ht="15" customHeight="1">
      <c r="A36" t="inlineStr">
        <is>
          <t>A 1629-2024</t>
        </is>
      </c>
      <c r="B36" s="1" t="n">
        <v>45306</v>
      </c>
      <c r="C36" s="1" t="n">
        <v>46190</v>
      </c>
      <c r="D36" t="inlineStr">
        <is>
          <t>UPPSALA LÄN</t>
        </is>
      </c>
      <c r="E36" t="inlineStr">
        <is>
          <t>KNIVSTA</t>
        </is>
      </c>
      <c r="F36" t="inlineStr">
        <is>
          <t>Holmen skog AB</t>
        </is>
      </c>
      <c r="G36" t="n">
        <v>3.6</v>
      </c>
      <c r="H36" t="n">
        <v>0</v>
      </c>
      <c r="I36" t="n">
        <v>0</v>
      </c>
      <c r="J36" t="n">
        <v>0</v>
      </c>
      <c r="K36" t="n">
        <v>0</v>
      </c>
      <c r="L36" t="n">
        <v>0</v>
      </c>
      <c r="M36" t="n">
        <v>0</v>
      </c>
      <c r="N36" t="n">
        <v>0</v>
      </c>
      <c r="O36" t="n">
        <v>0</v>
      </c>
      <c r="P36" t="n">
        <v>0</v>
      </c>
      <c r="Q36" t="n">
        <v>0</v>
      </c>
      <c r="R36" s="2" t="inlineStr"/>
    </row>
    <row r="37" ht="15" customHeight="1">
      <c r="A37" t="inlineStr">
        <is>
          <t>A 1791-2024</t>
        </is>
      </c>
      <c r="B37" s="1" t="n">
        <v>45307.574375</v>
      </c>
      <c r="C37" s="1" t="n">
        <v>46190</v>
      </c>
      <c r="D37" t="inlineStr">
        <is>
          <t>UPPSALA LÄN</t>
        </is>
      </c>
      <c r="E37" t="inlineStr">
        <is>
          <t>KNIVSTA</t>
        </is>
      </c>
      <c r="G37" t="n">
        <v>1.4</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46190</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30764-2023</t>
        </is>
      </c>
      <c r="B39" s="1" t="n">
        <v>45112</v>
      </c>
      <c r="C39" s="1" t="n">
        <v>46190</v>
      </c>
      <c r="D39" t="inlineStr">
        <is>
          <t>UPPSALA LÄN</t>
        </is>
      </c>
      <c r="E39" t="inlineStr">
        <is>
          <t>KNIVSTA</t>
        </is>
      </c>
      <c r="F39" t="inlineStr">
        <is>
          <t>Holmen skog AB</t>
        </is>
      </c>
      <c r="G39" t="n">
        <v>0.9</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46190</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2171-2024</t>
        </is>
      </c>
      <c r="B41" s="1" t="n">
        <v>45309</v>
      </c>
      <c r="C41" s="1" t="n">
        <v>46190</v>
      </c>
      <c r="D41" t="inlineStr">
        <is>
          <t>UPPSALA LÄN</t>
        </is>
      </c>
      <c r="E41" t="inlineStr">
        <is>
          <t>KNIVSTA</t>
        </is>
      </c>
      <c r="F41" t="inlineStr">
        <is>
          <t>Holmen skog AB</t>
        </is>
      </c>
      <c r="G41" t="n">
        <v>3.3</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46190</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46190</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23239-2023</t>
        </is>
      </c>
      <c r="B44" s="1" t="n">
        <v>45075</v>
      </c>
      <c r="C44" s="1" t="n">
        <v>46190</v>
      </c>
      <c r="D44" t="inlineStr">
        <is>
          <t>UPPSALA LÄN</t>
        </is>
      </c>
      <c r="E44" t="inlineStr">
        <is>
          <t>KNIVSTA</t>
        </is>
      </c>
      <c r="G44" t="n">
        <v>1.8</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46190</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46190</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46190</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66284-2021</t>
        </is>
      </c>
      <c r="B48" s="1" t="n">
        <v>44518</v>
      </c>
      <c r="C48" s="1" t="n">
        <v>46190</v>
      </c>
      <c r="D48" t="inlineStr">
        <is>
          <t>UPPSALA LÄN</t>
        </is>
      </c>
      <c r="E48" t="inlineStr">
        <is>
          <t>KNIVSTA</t>
        </is>
      </c>
      <c r="G48" t="n">
        <v>6.9</v>
      </c>
      <c r="H48" t="n">
        <v>0</v>
      </c>
      <c r="I48" t="n">
        <v>0</v>
      </c>
      <c r="J48" t="n">
        <v>0</v>
      </c>
      <c r="K48" t="n">
        <v>0</v>
      </c>
      <c r="L48" t="n">
        <v>0</v>
      </c>
      <c r="M48" t="n">
        <v>0</v>
      </c>
      <c r="N48" t="n">
        <v>0</v>
      </c>
      <c r="O48" t="n">
        <v>0</v>
      </c>
      <c r="P48" t="n">
        <v>0</v>
      </c>
      <c r="Q48" t="n">
        <v>0</v>
      </c>
      <c r="R48" s="2" t="inlineStr"/>
    </row>
    <row r="49" ht="15" customHeight="1">
      <c r="A49" t="inlineStr">
        <is>
          <t>A 20902-2024</t>
        </is>
      </c>
      <c r="B49" s="1" t="n">
        <v>45439.48104166667</v>
      </c>
      <c r="C49" s="1" t="n">
        <v>46190</v>
      </c>
      <c r="D49" t="inlineStr">
        <is>
          <t>UPPSALA LÄN</t>
        </is>
      </c>
      <c r="E49" t="inlineStr">
        <is>
          <t>KNIVSTA</t>
        </is>
      </c>
      <c r="G49" t="n">
        <v>1</v>
      </c>
      <c r="H49" t="n">
        <v>0</v>
      </c>
      <c r="I49" t="n">
        <v>0</v>
      </c>
      <c r="J49" t="n">
        <v>0</v>
      </c>
      <c r="K49" t="n">
        <v>0</v>
      </c>
      <c r="L49" t="n">
        <v>0</v>
      </c>
      <c r="M49" t="n">
        <v>0</v>
      </c>
      <c r="N49" t="n">
        <v>0</v>
      </c>
      <c r="O49" t="n">
        <v>0</v>
      </c>
      <c r="P49" t="n">
        <v>0</v>
      </c>
      <c r="Q49" t="n">
        <v>0</v>
      </c>
      <c r="R49" s="2" t="inlineStr"/>
    </row>
    <row r="50" ht="15" customHeight="1">
      <c r="A50" t="inlineStr">
        <is>
          <t>A 32975-2021</t>
        </is>
      </c>
      <c r="B50" s="1" t="n">
        <v>44376</v>
      </c>
      <c r="C50" s="1" t="n">
        <v>46190</v>
      </c>
      <c r="D50" t="inlineStr">
        <is>
          <t>UPPSALA LÄN</t>
        </is>
      </c>
      <c r="E50" t="inlineStr">
        <is>
          <t>KNIVSTA</t>
        </is>
      </c>
      <c r="G50" t="n">
        <v>6.1</v>
      </c>
      <c r="H50" t="n">
        <v>0</v>
      </c>
      <c r="I50" t="n">
        <v>0</v>
      </c>
      <c r="J50" t="n">
        <v>0</v>
      </c>
      <c r="K50" t="n">
        <v>0</v>
      </c>
      <c r="L50" t="n">
        <v>0</v>
      </c>
      <c r="M50" t="n">
        <v>0</v>
      </c>
      <c r="N50" t="n">
        <v>0</v>
      </c>
      <c r="O50" t="n">
        <v>0</v>
      </c>
      <c r="P50" t="n">
        <v>0</v>
      </c>
      <c r="Q50" t="n">
        <v>0</v>
      </c>
      <c r="R50" s="2" t="inlineStr"/>
    </row>
    <row r="51" ht="15" customHeight="1">
      <c r="A51" t="inlineStr">
        <is>
          <t>A 11841-2023</t>
        </is>
      </c>
      <c r="B51" s="1" t="n">
        <v>44995.3221412037</v>
      </c>
      <c r="C51" s="1" t="n">
        <v>46190</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46190</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46190</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11847-2023</t>
        </is>
      </c>
      <c r="B54" s="1" t="n">
        <v>44995.33957175926</v>
      </c>
      <c r="C54" s="1" t="n">
        <v>46190</v>
      </c>
      <c r="D54" t="inlineStr">
        <is>
          <t>UPPSALA LÄN</t>
        </is>
      </c>
      <c r="E54" t="inlineStr">
        <is>
          <t>KNIVSTA</t>
        </is>
      </c>
      <c r="G54" t="n">
        <v>2.1</v>
      </c>
      <c r="H54" t="n">
        <v>0</v>
      </c>
      <c r="I54" t="n">
        <v>0</v>
      </c>
      <c r="J54" t="n">
        <v>0</v>
      </c>
      <c r="K54" t="n">
        <v>0</v>
      </c>
      <c r="L54" t="n">
        <v>0</v>
      </c>
      <c r="M54" t="n">
        <v>0</v>
      </c>
      <c r="N54" t="n">
        <v>0</v>
      </c>
      <c r="O54" t="n">
        <v>0</v>
      </c>
      <c r="P54" t="n">
        <v>0</v>
      </c>
      <c r="Q54" t="n">
        <v>0</v>
      </c>
      <c r="R54" s="2" t="inlineStr"/>
    </row>
    <row r="55" ht="15" customHeight="1">
      <c r="A55" t="inlineStr">
        <is>
          <t>A 16773-2022</t>
        </is>
      </c>
      <c r="B55" s="1" t="n">
        <v>44673</v>
      </c>
      <c r="C55" s="1" t="n">
        <v>46190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33976-2025</t>
        </is>
      </c>
      <c r="B56" s="1" t="n">
        <v>45843</v>
      </c>
      <c r="C56" s="1" t="n">
        <v>46190</v>
      </c>
      <c r="D56" t="inlineStr">
        <is>
          <t>UPPSALA LÄN</t>
        </is>
      </c>
      <c r="E56" t="inlineStr">
        <is>
          <t>KNIVSTA</t>
        </is>
      </c>
      <c r="G56" t="n">
        <v>6.1</v>
      </c>
      <c r="H56" t="n">
        <v>0</v>
      </c>
      <c r="I56" t="n">
        <v>0</v>
      </c>
      <c r="J56" t="n">
        <v>0</v>
      </c>
      <c r="K56" t="n">
        <v>0</v>
      </c>
      <c r="L56" t="n">
        <v>0</v>
      </c>
      <c r="M56" t="n">
        <v>0</v>
      </c>
      <c r="N56" t="n">
        <v>0</v>
      </c>
      <c r="O56" t="n">
        <v>0</v>
      </c>
      <c r="P56" t="n">
        <v>0</v>
      </c>
      <c r="Q56" t="n">
        <v>0</v>
      </c>
      <c r="R56" s="2" t="inlineStr"/>
    </row>
    <row r="57" ht="15" customHeight="1">
      <c r="A57" t="inlineStr">
        <is>
          <t>A 60018-2024</t>
        </is>
      </c>
      <c r="B57" s="1" t="n">
        <v>45642</v>
      </c>
      <c r="C57" s="1" t="n">
        <v>46190</v>
      </c>
      <c r="D57" t="inlineStr">
        <is>
          <t>UPPSALA LÄN</t>
        </is>
      </c>
      <c r="E57" t="inlineStr">
        <is>
          <t>KNIVSTA</t>
        </is>
      </c>
      <c r="G57" t="n">
        <v>4.1</v>
      </c>
      <c r="H57" t="n">
        <v>0</v>
      </c>
      <c r="I57" t="n">
        <v>0</v>
      </c>
      <c r="J57" t="n">
        <v>0</v>
      </c>
      <c r="K57" t="n">
        <v>0</v>
      </c>
      <c r="L57" t="n">
        <v>0</v>
      </c>
      <c r="M57" t="n">
        <v>0</v>
      </c>
      <c r="N57" t="n">
        <v>0</v>
      </c>
      <c r="O57" t="n">
        <v>0</v>
      </c>
      <c r="P57" t="n">
        <v>0</v>
      </c>
      <c r="Q57" t="n">
        <v>0</v>
      </c>
      <c r="R57" s="2" t="inlineStr"/>
    </row>
    <row r="58" ht="15" customHeight="1">
      <c r="A58" t="inlineStr">
        <is>
          <t>A 34859-2025</t>
        </is>
      </c>
      <c r="B58" s="1" t="n">
        <v>45849.43511574074</v>
      </c>
      <c r="C58" s="1" t="n">
        <v>46190</v>
      </c>
      <c r="D58" t="inlineStr">
        <is>
          <t>UPPSALA LÄN</t>
        </is>
      </c>
      <c r="E58" t="inlineStr">
        <is>
          <t>KNIVSTA</t>
        </is>
      </c>
      <c r="F58" t="inlineStr">
        <is>
          <t>Holmen skog AB</t>
        </is>
      </c>
      <c r="G58" t="n">
        <v>6.1</v>
      </c>
      <c r="H58" t="n">
        <v>0</v>
      </c>
      <c r="I58" t="n">
        <v>0</v>
      </c>
      <c r="J58" t="n">
        <v>0</v>
      </c>
      <c r="K58" t="n">
        <v>0</v>
      </c>
      <c r="L58" t="n">
        <v>0</v>
      </c>
      <c r="M58" t="n">
        <v>0</v>
      </c>
      <c r="N58" t="n">
        <v>0</v>
      </c>
      <c r="O58" t="n">
        <v>0</v>
      </c>
      <c r="P58" t="n">
        <v>0</v>
      </c>
      <c r="Q58" t="n">
        <v>0</v>
      </c>
      <c r="R58" s="2" t="inlineStr"/>
    </row>
    <row r="59" ht="15" customHeight="1">
      <c r="A59" t="inlineStr">
        <is>
          <t>A 34864-2025</t>
        </is>
      </c>
      <c r="B59" s="1" t="n">
        <v>45849.44028935185</v>
      </c>
      <c r="C59" s="1" t="n">
        <v>46190</v>
      </c>
      <c r="D59" t="inlineStr">
        <is>
          <t>UPPSALA LÄN</t>
        </is>
      </c>
      <c r="E59" t="inlineStr">
        <is>
          <t>KNIVSTA</t>
        </is>
      </c>
      <c r="F59" t="inlineStr">
        <is>
          <t>Holmen skog AB</t>
        </is>
      </c>
      <c r="G59" t="n">
        <v>1.3</v>
      </c>
      <c r="H59" t="n">
        <v>0</v>
      </c>
      <c r="I59" t="n">
        <v>0</v>
      </c>
      <c r="J59" t="n">
        <v>0</v>
      </c>
      <c r="K59" t="n">
        <v>0</v>
      </c>
      <c r="L59" t="n">
        <v>0</v>
      </c>
      <c r="M59" t="n">
        <v>0</v>
      </c>
      <c r="N59" t="n">
        <v>0</v>
      </c>
      <c r="O59" t="n">
        <v>0</v>
      </c>
      <c r="P59" t="n">
        <v>0</v>
      </c>
      <c r="Q59" t="n">
        <v>0</v>
      </c>
      <c r="R59" s="2" t="inlineStr"/>
    </row>
    <row r="60" ht="15" customHeight="1">
      <c r="A60" t="inlineStr">
        <is>
          <t>A 35318-2025</t>
        </is>
      </c>
      <c r="B60" s="1" t="n">
        <v>45854.47917824074</v>
      </c>
      <c r="C60" s="1" t="n">
        <v>46190</v>
      </c>
      <c r="D60" t="inlineStr">
        <is>
          <t>UPPSALA LÄN</t>
        </is>
      </c>
      <c r="E60" t="inlineStr">
        <is>
          <t>KNIVSTA</t>
        </is>
      </c>
      <c r="F60" t="inlineStr">
        <is>
          <t>Holmen skog AB</t>
        </is>
      </c>
      <c r="G60" t="n">
        <v>2.2</v>
      </c>
      <c r="H60" t="n">
        <v>0</v>
      </c>
      <c r="I60" t="n">
        <v>0</v>
      </c>
      <c r="J60" t="n">
        <v>0</v>
      </c>
      <c r="K60" t="n">
        <v>0</v>
      </c>
      <c r="L60" t="n">
        <v>0</v>
      </c>
      <c r="M60" t="n">
        <v>0</v>
      </c>
      <c r="N60" t="n">
        <v>0</v>
      </c>
      <c r="O60" t="n">
        <v>0</v>
      </c>
      <c r="P60" t="n">
        <v>0</v>
      </c>
      <c r="Q60" t="n">
        <v>0</v>
      </c>
      <c r="R60" s="2" t="inlineStr"/>
    </row>
    <row r="61" ht="15" customHeight="1">
      <c r="A61" t="inlineStr">
        <is>
          <t>A 36473-2025</t>
        </is>
      </c>
      <c r="B61" s="1" t="n">
        <v>45869.48333333333</v>
      </c>
      <c r="C61" s="1" t="n">
        <v>46190</v>
      </c>
      <c r="D61" t="inlineStr">
        <is>
          <t>UPPSALA LÄN</t>
        </is>
      </c>
      <c r="E61" t="inlineStr">
        <is>
          <t>KNIVSTA</t>
        </is>
      </c>
      <c r="G61" t="n">
        <v>1.4</v>
      </c>
      <c r="H61" t="n">
        <v>0</v>
      </c>
      <c r="I61" t="n">
        <v>0</v>
      </c>
      <c r="J61" t="n">
        <v>0</v>
      </c>
      <c r="K61" t="n">
        <v>0</v>
      </c>
      <c r="L61" t="n">
        <v>0</v>
      </c>
      <c r="M61" t="n">
        <v>0</v>
      </c>
      <c r="N61" t="n">
        <v>0</v>
      </c>
      <c r="O61" t="n">
        <v>0</v>
      </c>
      <c r="P61" t="n">
        <v>0</v>
      </c>
      <c r="Q61" t="n">
        <v>0</v>
      </c>
      <c r="R61" s="2" t="inlineStr"/>
    </row>
    <row r="62" ht="15" customHeight="1">
      <c r="A62" t="inlineStr">
        <is>
          <t>A 30351-2022</t>
        </is>
      </c>
      <c r="B62" s="1" t="n">
        <v>44757</v>
      </c>
      <c r="C62" s="1" t="n">
        <v>46190</v>
      </c>
      <c r="D62" t="inlineStr">
        <is>
          <t>UPPSALA LÄN</t>
        </is>
      </c>
      <c r="E62" t="inlineStr">
        <is>
          <t>KNIVSTA</t>
        </is>
      </c>
      <c r="G62" t="n">
        <v>5.7</v>
      </c>
      <c r="H62" t="n">
        <v>0</v>
      </c>
      <c r="I62" t="n">
        <v>0</v>
      </c>
      <c r="J62" t="n">
        <v>0</v>
      </c>
      <c r="K62" t="n">
        <v>0</v>
      </c>
      <c r="L62" t="n">
        <v>0</v>
      </c>
      <c r="M62" t="n">
        <v>0</v>
      </c>
      <c r="N62" t="n">
        <v>0</v>
      </c>
      <c r="O62" t="n">
        <v>0</v>
      </c>
      <c r="P62" t="n">
        <v>0</v>
      </c>
      <c r="Q62" t="n">
        <v>0</v>
      </c>
      <c r="R62" s="2" t="inlineStr"/>
    </row>
    <row r="63" ht="15" customHeight="1">
      <c r="A63" t="inlineStr">
        <is>
          <t>A 31875-2022</t>
        </is>
      </c>
      <c r="B63" s="1" t="n">
        <v>44777</v>
      </c>
      <c r="C63" s="1" t="n">
        <v>46190</v>
      </c>
      <c r="D63" t="inlineStr">
        <is>
          <t>UPPSALA LÄN</t>
        </is>
      </c>
      <c r="E63" t="inlineStr">
        <is>
          <t>KNIVSTA</t>
        </is>
      </c>
      <c r="G63" t="n">
        <v>0.7</v>
      </c>
      <c r="H63" t="n">
        <v>0</v>
      </c>
      <c r="I63" t="n">
        <v>0</v>
      </c>
      <c r="J63" t="n">
        <v>0</v>
      </c>
      <c r="K63" t="n">
        <v>0</v>
      </c>
      <c r="L63" t="n">
        <v>0</v>
      </c>
      <c r="M63" t="n">
        <v>0</v>
      </c>
      <c r="N63" t="n">
        <v>0</v>
      </c>
      <c r="O63" t="n">
        <v>0</v>
      </c>
      <c r="P63" t="n">
        <v>0</v>
      </c>
      <c r="Q63" t="n">
        <v>0</v>
      </c>
      <c r="R63" s="2" t="inlineStr"/>
    </row>
    <row r="64" ht="15" customHeight="1">
      <c r="A64" t="inlineStr">
        <is>
          <t>A 45453-2025</t>
        </is>
      </c>
      <c r="B64" s="1" t="n">
        <v>45922.48702546296</v>
      </c>
      <c r="C64" s="1" t="n">
        <v>46190</v>
      </c>
      <c r="D64" t="inlineStr">
        <is>
          <t>UPPSALA LÄN</t>
        </is>
      </c>
      <c r="E64" t="inlineStr">
        <is>
          <t>KNIVSTA</t>
        </is>
      </c>
      <c r="G64" t="n">
        <v>0.9</v>
      </c>
      <c r="H64" t="n">
        <v>0</v>
      </c>
      <c r="I64" t="n">
        <v>0</v>
      </c>
      <c r="J64" t="n">
        <v>0</v>
      </c>
      <c r="K64" t="n">
        <v>0</v>
      </c>
      <c r="L64" t="n">
        <v>0</v>
      </c>
      <c r="M64" t="n">
        <v>0</v>
      </c>
      <c r="N64" t="n">
        <v>0</v>
      </c>
      <c r="O64" t="n">
        <v>0</v>
      </c>
      <c r="P64" t="n">
        <v>0</v>
      </c>
      <c r="Q64" t="n">
        <v>0</v>
      </c>
      <c r="R64" s="2" t="inlineStr"/>
    </row>
    <row r="65" ht="15" customHeight="1">
      <c r="A65" t="inlineStr">
        <is>
          <t>A 51849-2023</t>
        </is>
      </c>
      <c r="B65" s="1" t="n">
        <v>45223.34391203704</v>
      </c>
      <c r="C65" s="1" t="n">
        <v>46190</v>
      </c>
      <c r="D65" t="inlineStr">
        <is>
          <t>UPPSALA LÄN</t>
        </is>
      </c>
      <c r="E65" t="inlineStr">
        <is>
          <t>KNIVSTA</t>
        </is>
      </c>
      <c r="G65" t="n">
        <v>16.3</v>
      </c>
      <c r="H65" t="n">
        <v>0</v>
      </c>
      <c r="I65" t="n">
        <v>0</v>
      </c>
      <c r="J65" t="n">
        <v>0</v>
      </c>
      <c r="K65" t="n">
        <v>0</v>
      </c>
      <c r="L65" t="n">
        <v>0</v>
      </c>
      <c r="M65" t="n">
        <v>0</v>
      </c>
      <c r="N65" t="n">
        <v>0</v>
      </c>
      <c r="O65" t="n">
        <v>0</v>
      </c>
      <c r="P65" t="n">
        <v>0</v>
      </c>
      <c r="Q65" t="n">
        <v>0</v>
      </c>
      <c r="R65" s="2" t="inlineStr"/>
    </row>
    <row r="66" ht="15" customHeight="1">
      <c r="A66" t="inlineStr">
        <is>
          <t>A 60243-2025</t>
        </is>
      </c>
      <c r="B66" s="1" t="n">
        <v>45994.58650462963</v>
      </c>
      <c r="C66" s="1" t="n">
        <v>46190</v>
      </c>
      <c r="D66" t="inlineStr">
        <is>
          <t>UPPSALA LÄN</t>
        </is>
      </c>
      <c r="E66" t="inlineStr">
        <is>
          <t>KNIVSTA</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46190</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66293-2021</t>
        </is>
      </c>
      <c r="B68" s="1" t="n">
        <v>44518</v>
      </c>
      <c r="C68" s="1" t="n">
        <v>46190</v>
      </c>
      <c r="D68" t="inlineStr">
        <is>
          <t>UPPSALA LÄN</t>
        </is>
      </c>
      <c r="E68" t="inlineStr">
        <is>
          <t>KNIVSTA</t>
        </is>
      </c>
      <c r="G68" t="n">
        <v>2.6</v>
      </c>
      <c r="H68" t="n">
        <v>0</v>
      </c>
      <c r="I68" t="n">
        <v>0</v>
      </c>
      <c r="J68" t="n">
        <v>0</v>
      </c>
      <c r="K68" t="n">
        <v>0</v>
      </c>
      <c r="L68" t="n">
        <v>0</v>
      </c>
      <c r="M68" t="n">
        <v>0</v>
      </c>
      <c r="N68" t="n">
        <v>0</v>
      </c>
      <c r="O68" t="n">
        <v>0</v>
      </c>
      <c r="P68" t="n">
        <v>0</v>
      </c>
      <c r="Q68" t="n">
        <v>0</v>
      </c>
      <c r="R68" s="2" t="inlineStr"/>
    </row>
    <row r="69" ht="15" customHeight="1">
      <c r="A69" t="inlineStr">
        <is>
          <t>A 5402-2023</t>
        </is>
      </c>
      <c r="B69" s="1" t="n">
        <v>44959</v>
      </c>
      <c r="C69" s="1" t="n">
        <v>46190</v>
      </c>
      <c r="D69" t="inlineStr">
        <is>
          <t>UPPSALA LÄN</t>
        </is>
      </c>
      <c r="E69" t="inlineStr">
        <is>
          <t>KNIVSTA</t>
        </is>
      </c>
      <c r="G69" t="n">
        <v>4.3</v>
      </c>
      <c r="H69" t="n">
        <v>0</v>
      </c>
      <c r="I69" t="n">
        <v>0</v>
      </c>
      <c r="J69" t="n">
        <v>0</v>
      </c>
      <c r="K69" t="n">
        <v>0</v>
      </c>
      <c r="L69" t="n">
        <v>0</v>
      </c>
      <c r="M69" t="n">
        <v>0</v>
      </c>
      <c r="N69" t="n">
        <v>0</v>
      </c>
      <c r="O69" t="n">
        <v>0</v>
      </c>
      <c r="P69" t="n">
        <v>0</v>
      </c>
      <c r="Q69" t="n">
        <v>0</v>
      </c>
      <c r="R69" s="2" t="inlineStr"/>
    </row>
    <row r="70" ht="15" customHeight="1">
      <c r="A70" t="inlineStr">
        <is>
          <t>A 45916-2022</t>
        </is>
      </c>
      <c r="B70" s="1" t="n">
        <v>44846</v>
      </c>
      <c r="C70" s="1" t="n">
        <v>46190</v>
      </c>
      <c r="D70" t="inlineStr">
        <is>
          <t>UPPSALA LÄN</t>
        </is>
      </c>
      <c r="E70" t="inlineStr">
        <is>
          <t>KNIVSTA</t>
        </is>
      </c>
      <c r="G70" t="n">
        <v>3.8</v>
      </c>
      <c r="H70" t="n">
        <v>0</v>
      </c>
      <c r="I70" t="n">
        <v>0</v>
      </c>
      <c r="J70" t="n">
        <v>0</v>
      </c>
      <c r="K70" t="n">
        <v>0</v>
      </c>
      <c r="L70" t="n">
        <v>0</v>
      </c>
      <c r="M70" t="n">
        <v>0</v>
      </c>
      <c r="N70" t="n">
        <v>0</v>
      </c>
      <c r="O70" t="n">
        <v>0</v>
      </c>
      <c r="P70" t="n">
        <v>0</v>
      </c>
      <c r="Q70" t="n">
        <v>0</v>
      </c>
      <c r="R70" s="2" t="inlineStr"/>
    </row>
    <row r="71" ht="15" customHeight="1">
      <c r="A71" t="inlineStr">
        <is>
          <t>A 49090-2025</t>
        </is>
      </c>
      <c r="B71" s="1" t="n">
        <v>45937</v>
      </c>
      <c r="C71" s="1" t="n">
        <v>46190</v>
      </c>
      <c r="D71" t="inlineStr">
        <is>
          <t>UPPSALA LÄN</t>
        </is>
      </c>
      <c r="E71" t="inlineStr">
        <is>
          <t>KNIVSTA</t>
        </is>
      </c>
      <c r="G71" t="n">
        <v>4.1</v>
      </c>
      <c r="H71" t="n">
        <v>0</v>
      </c>
      <c r="I71" t="n">
        <v>0</v>
      </c>
      <c r="J71" t="n">
        <v>0</v>
      </c>
      <c r="K71" t="n">
        <v>0</v>
      </c>
      <c r="L71" t="n">
        <v>0</v>
      </c>
      <c r="M71" t="n">
        <v>0</v>
      </c>
      <c r="N71" t="n">
        <v>0</v>
      </c>
      <c r="O71" t="n">
        <v>0</v>
      </c>
      <c r="P71" t="n">
        <v>0</v>
      </c>
      <c r="Q71" t="n">
        <v>0</v>
      </c>
      <c r="R71" s="2" t="inlineStr"/>
    </row>
    <row r="72" ht="15" customHeight="1">
      <c r="A72" t="inlineStr">
        <is>
          <t>A 666-2026</t>
        </is>
      </c>
      <c r="B72" s="1" t="n">
        <v>46029.58832175926</v>
      </c>
      <c r="C72" s="1" t="n">
        <v>46190</v>
      </c>
      <c r="D72" t="inlineStr">
        <is>
          <t>UPPSALA LÄN</t>
        </is>
      </c>
      <c r="E72" t="inlineStr">
        <is>
          <t>KNIVSTA</t>
        </is>
      </c>
      <c r="G72" t="n">
        <v>1.8</v>
      </c>
      <c r="H72" t="n">
        <v>0</v>
      </c>
      <c r="I72" t="n">
        <v>0</v>
      </c>
      <c r="J72" t="n">
        <v>0</v>
      </c>
      <c r="K72" t="n">
        <v>0</v>
      </c>
      <c r="L72" t="n">
        <v>0</v>
      </c>
      <c r="M72" t="n">
        <v>0</v>
      </c>
      <c r="N72" t="n">
        <v>0</v>
      </c>
      <c r="O72" t="n">
        <v>0</v>
      </c>
      <c r="P72" t="n">
        <v>0</v>
      </c>
      <c r="Q72" t="n">
        <v>0</v>
      </c>
      <c r="R72" s="2" t="inlineStr"/>
    </row>
    <row r="73" ht="15" customHeight="1">
      <c r="A73" t="inlineStr">
        <is>
          <t>A 662-2026</t>
        </is>
      </c>
      <c r="B73" s="1" t="n">
        <v>46029.58549768518</v>
      </c>
      <c r="C73" s="1" t="n">
        <v>46190</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2629-2025</t>
        </is>
      </c>
      <c r="B74" s="1" t="n">
        <v>45675.6953587963</v>
      </c>
      <c r="C74" s="1" t="n">
        <v>46190</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5320-2023</t>
        </is>
      </c>
      <c r="B75" s="1" t="n">
        <v>44959</v>
      </c>
      <c r="C75" s="1" t="n">
        <v>46190</v>
      </c>
      <c r="D75" t="inlineStr">
        <is>
          <t>UPPSALA LÄN</t>
        </is>
      </c>
      <c r="E75" t="inlineStr">
        <is>
          <t>KNIVSTA</t>
        </is>
      </c>
      <c r="G75" t="n">
        <v>1.5</v>
      </c>
      <c r="H75" t="n">
        <v>0</v>
      </c>
      <c r="I75" t="n">
        <v>0</v>
      </c>
      <c r="J75" t="n">
        <v>0</v>
      </c>
      <c r="K75" t="n">
        <v>0</v>
      </c>
      <c r="L75" t="n">
        <v>0</v>
      </c>
      <c r="M75" t="n">
        <v>0</v>
      </c>
      <c r="N75" t="n">
        <v>0</v>
      </c>
      <c r="O75" t="n">
        <v>0</v>
      </c>
      <c r="P75" t="n">
        <v>0</v>
      </c>
      <c r="Q75" t="n">
        <v>0</v>
      </c>
      <c r="R75" s="2" t="inlineStr"/>
    </row>
    <row r="76" ht="15" customHeight="1">
      <c r="A76" t="inlineStr">
        <is>
          <t>A 5276-2026</t>
        </is>
      </c>
      <c r="B76" s="1" t="n">
        <v>46037</v>
      </c>
      <c r="C76" s="1" t="n">
        <v>46190</v>
      </c>
      <c r="D76" t="inlineStr">
        <is>
          <t>UPPSALA LÄN</t>
        </is>
      </c>
      <c r="E76" t="inlineStr">
        <is>
          <t>KNIVSTA</t>
        </is>
      </c>
      <c r="G76" t="n">
        <v>1.9</v>
      </c>
      <c r="H76" t="n">
        <v>0</v>
      </c>
      <c r="I76" t="n">
        <v>0</v>
      </c>
      <c r="J76" t="n">
        <v>0</v>
      </c>
      <c r="K76" t="n">
        <v>0</v>
      </c>
      <c r="L76" t="n">
        <v>0</v>
      </c>
      <c r="M76" t="n">
        <v>0</v>
      </c>
      <c r="N76" t="n">
        <v>0</v>
      </c>
      <c r="O76" t="n">
        <v>0</v>
      </c>
      <c r="P76" t="n">
        <v>0</v>
      </c>
      <c r="Q76" t="n">
        <v>0</v>
      </c>
      <c r="R76" s="2" t="inlineStr"/>
    </row>
    <row r="77" ht="15" customHeight="1">
      <c r="A77" t="inlineStr">
        <is>
          <t>A 3824-2026</t>
        </is>
      </c>
      <c r="B77" s="1" t="n">
        <v>46043.58570601852</v>
      </c>
      <c r="C77" s="1" t="n">
        <v>46190</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3836-2026</t>
        </is>
      </c>
      <c r="B78" s="1" t="n">
        <v>46043.5925</v>
      </c>
      <c r="C78" s="1" t="n">
        <v>46190</v>
      </c>
      <c r="D78" t="inlineStr">
        <is>
          <t>UPPSALA LÄN</t>
        </is>
      </c>
      <c r="E78" t="inlineStr">
        <is>
          <t>KNIVSTA</t>
        </is>
      </c>
      <c r="G78" t="n">
        <v>3.7</v>
      </c>
      <c r="H78" t="n">
        <v>0</v>
      </c>
      <c r="I78" t="n">
        <v>0</v>
      </c>
      <c r="J78" t="n">
        <v>0</v>
      </c>
      <c r="K78" t="n">
        <v>0</v>
      </c>
      <c r="L78" t="n">
        <v>0</v>
      </c>
      <c r="M78" t="n">
        <v>0</v>
      </c>
      <c r="N78" t="n">
        <v>0</v>
      </c>
      <c r="O78" t="n">
        <v>0</v>
      </c>
      <c r="P78" t="n">
        <v>0</v>
      </c>
      <c r="Q78" t="n">
        <v>0</v>
      </c>
      <c r="R78" s="2" t="inlineStr"/>
    </row>
    <row r="79" ht="15" customHeight="1">
      <c r="A79" t="inlineStr">
        <is>
          <t>A 3375-2026</t>
        </is>
      </c>
      <c r="B79" s="1" t="n">
        <v>46042</v>
      </c>
      <c r="C79" s="1" t="n">
        <v>46190</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5908-2026</t>
        </is>
      </c>
      <c r="B80" s="1" t="n">
        <v>46052.44399305555</v>
      </c>
      <c r="C80" s="1" t="n">
        <v>46190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5910-2026</t>
        </is>
      </c>
      <c r="B81" s="1" t="n">
        <v>46052.44677083333</v>
      </c>
      <c r="C81" s="1" t="n">
        <v>46190</v>
      </c>
      <c r="D81" t="inlineStr">
        <is>
          <t>UPPSALA LÄN</t>
        </is>
      </c>
      <c r="E81" t="inlineStr">
        <is>
          <t>KNIVSTA</t>
        </is>
      </c>
      <c r="G81" t="n">
        <v>0.6</v>
      </c>
      <c r="H81" t="n">
        <v>0</v>
      </c>
      <c r="I81" t="n">
        <v>0</v>
      </c>
      <c r="J81" t="n">
        <v>0</v>
      </c>
      <c r="K81" t="n">
        <v>0</v>
      </c>
      <c r="L81" t="n">
        <v>0</v>
      </c>
      <c r="M81" t="n">
        <v>0</v>
      </c>
      <c r="N81" t="n">
        <v>0</v>
      </c>
      <c r="O81" t="n">
        <v>0</v>
      </c>
      <c r="P81" t="n">
        <v>0</v>
      </c>
      <c r="Q81" t="n">
        <v>0</v>
      </c>
      <c r="R81" s="2" t="inlineStr"/>
    </row>
    <row r="82" ht="15" customHeight="1">
      <c r="A82" t="inlineStr">
        <is>
          <t>A 11452-2023</t>
        </is>
      </c>
      <c r="B82" s="1" t="n">
        <v>44993</v>
      </c>
      <c r="C82" s="1" t="n">
        <v>46190</v>
      </c>
      <c r="D82" t="inlineStr">
        <is>
          <t>UPPSALA LÄN</t>
        </is>
      </c>
      <c r="E82" t="inlineStr">
        <is>
          <t>KNIVSTA</t>
        </is>
      </c>
      <c r="G82" t="n">
        <v>2.5</v>
      </c>
      <c r="H82" t="n">
        <v>0</v>
      </c>
      <c r="I82" t="n">
        <v>0</v>
      </c>
      <c r="J82" t="n">
        <v>0</v>
      </c>
      <c r="K82" t="n">
        <v>0</v>
      </c>
      <c r="L82" t="n">
        <v>0</v>
      </c>
      <c r="M82" t="n">
        <v>0</v>
      </c>
      <c r="N82" t="n">
        <v>0</v>
      </c>
      <c r="O82" t="n">
        <v>0</v>
      </c>
      <c r="P82" t="n">
        <v>0</v>
      </c>
      <c r="Q82" t="n">
        <v>0</v>
      </c>
      <c r="R82" s="2" t="inlineStr"/>
    </row>
    <row r="83" ht="15" customHeight="1">
      <c r="A83" t="inlineStr">
        <is>
          <t>A 30627-2023</t>
        </is>
      </c>
      <c r="B83" s="1" t="n">
        <v>45112</v>
      </c>
      <c r="C83" s="1" t="n">
        <v>46190</v>
      </c>
      <c r="D83" t="inlineStr">
        <is>
          <t>UPPSALA LÄN</t>
        </is>
      </c>
      <c r="E83" t="inlineStr">
        <is>
          <t>KNIVSTA</t>
        </is>
      </c>
      <c r="F83" t="inlineStr">
        <is>
          <t>Holmen skog AB</t>
        </is>
      </c>
      <c r="G83" t="n">
        <v>1.6</v>
      </c>
      <c r="H83" t="n">
        <v>0</v>
      </c>
      <c r="I83" t="n">
        <v>0</v>
      </c>
      <c r="J83" t="n">
        <v>0</v>
      </c>
      <c r="K83" t="n">
        <v>0</v>
      </c>
      <c r="L83" t="n">
        <v>0</v>
      </c>
      <c r="M83" t="n">
        <v>0</v>
      </c>
      <c r="N83" t="n">
        <v>0</v>
      </c>
      <c r="O83" t="n">
        <v>0</v>
      </c>
      <c r="P83" t="n">
        <v>0</v>
      </c>
      <c r="Q83" t="n">
        <v>0</v>
      </c>
      <c r="R83" s="2" t="inlineStr"/>
    </row>
    <row r="84" ht="15" customHeight="1">
      <c r="A84" t="inlineStr">
        <is>
          <t>A 9744-2026</t>
        </is>
      </c>
      <c r="B84" s="1" t="n">
        <v>46072.51857638889</v>
      </c>
      <c r="C84" s="1" t="n">
        <v>46190</v>
      </c>
      <c r="D84" t="inlineStr">
        <is>
          <t>UPPSALA LÄN</t>
        </is>
      </c>
      <c r="E84" t="inlineStr">
        <is>
          <t>KNIVSTA</t>
        </is>
      </c>
      <c r="G84" t="n">
        <v>2.4</v>
      </c>
      <c r="H84" t="n">
        <v>0</v>
      </c>
      <c r="I84" t="n">
        <v>0</v>
      </c>
      <c r="J84" t="n">
        <v>0</v>
      </c>
      <c r="K84" t="n">
        <v>0</v>
      </c>
      <c r="L84" t="n">
        <v>0</v>
      </c>
      <c r="M84" t="n">
        <v>0</v>
      </c>
      <c r="N84" t="n">
        <v>0</v>
      </c>
      <c r="O84" t="n">
        <v>0</v>
      </c>
      <c r="P84" t="n">
        <v>0</v>
      </c>
      <c r="Q84" t="n">
        <v>0</v>
      </c>
      <c r="R84" s="2" t="inlineStr"/>
    </row>
    <row r="85" ht="15" customHeight="1">
      <c r="A85" t="inlineStr">
        <is>
          <t>A 43908-2023</t>
        </is>
      </c>
      <c r="B85" s="1" t="n">
        <v>45187</v>
      </c>
      <c r="C85" s="1" t="n">
        <v>46190</v>
      </c>
      <c r="D85" t="inlineStr">
        <is>
          <t>UPPSALA LÄN</t>
        </is>
      </c>
      <c r="E85" t="inlineStr">
        <is>
          <t>KNIVSTA</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12027-2026</t>
        </is>
      </c>
      <c r="B86" s="1" t="n">
        <v>46085.84549768519</v>
      </c>
      <c r="C86" s="1" t="n">
        <v>46190</v>
      </c>
      <c r="D86" t="inlineStr">
        <is>
          <t>UPPSALA LÄN</t>
        </is>
      </c>
      <c r="E86" t="inlineStr">
        <is>
          <t>KNIVSTA</t>
        </is>
      </c>
      <c r="G86" t="n">
        <v>0.6</v>
      </c>
      <c r="H86" t="n">
        <v>0</v>
      </c>
      <c r="I86" t="n">
        <v>0</v>
      </c>
      <c r="J86" t="n">
        <v>0</v>
      </c>
      <c r="K86" t="n">
        <v>0</v>
      </c>
      <c r="L86" t="n">
        <v>0</v>
      </c>
      <c r="M86" t="n">
        <v>0</v>
      </c>
      <c r="N86" t="n">
        <v>0</v>
      </c>
      <c r="O86" t="n">
        <v>0</v>
      </c>
      <c r="P86" t="n">
        <v>0</v>
      </c>
      <c r="Q86" t="n">
        <v>0</v>
      </c>
      <c r="R86" s="2" t="inlineStr"/>
    </row>
    <row r="87" ht="15" customHeight="1">
      <c r="A87" t="inlineStr">
        <is>
          <t>A 12774-2026</t>
        </is>
      </c>
      <c r="B87" s="1" t="n">
        <v>46091.70140046296</v>
      </c>
      <c r="C87" s="1" t="n">
        <v>46190</v>
      </c>
      <c r="D87" t="inlineStr">
        <is>
          <t>UPPSALA LÄN</t>
        </is>
      </c>
      <c r="E87" t="inlineStr">
        <is>
          <t>KNIVSTA</t>
        </is>
      </c>
      <c r="F87" t="inlineStr">
        <is>
          <t>Holmen skog AB</t>
        </is>
      </c>
      <c r="G87" t="n">
        <v>3.3</v>
      </c>
      <c r="H87" t="n">
        <v>0</v>
      </c>
      <c r="I87" t="n">
        <v>0</v>
      </c>
      <c r="J87" t="n">
        <v>0</v>
      </c>
      <c r="K87" t="n">
        <v>0</v>
      </c>
      <c r="L87" t="n">
        <v>0</v>
      </c>
      <c r="M87" t="n">
        <v>0</v>
      </c>
      <c r="N87" t="n">
        <v>0</v>
      </c>
      <c r="O87" t="n">
        <v>0</v>
      </c>
      <c r="P87" t="n">
        <v>0</v>
      </c>
      <c r="Q87" t="n">
        <v>0</v>
      </c>
      <c r="R87" s="2" t="inlineStr"/>
    </row>
    <row r="88" ht="15" customHeight="1">
      <c r="A88" t="inlineStr">
        <is>
          <t>A 13011-2026</t>
        </is>
      </c>
      <c r="B88" s="1" t="n">
        <v>46092.71887731482</v>
      </c>
      <c r="C88" s="1" t="n">
        <v>46190</v>
      </c>
      <c r="D88" t="inlineStr">
        <is>
          <t>UPPSALA LÄN</t>
        </is>
      </c>
      <c r="E88" t="inlineStr">
        <is>
          <t>KNIVSTA</t>
        </is>
      </c>
      <c r="F88" t="inlineStr">
        <is>
          <t>Holmen skog AB</t>
        </is>
      </c>
      <c r="G88" t="n">
        <v>1.9</v>
      </c>
      <c r="H88" t="n">
        <v>0</v>
      </c>
      <c r="I88" t="n">
        <v>0</v>
      </c>
      <c r="J88" t="n">
        <v>0</v>
      </c>
      <c r="K88" t="n">
        <v>0</v>
      </c>
      <c r="L88" t="n">
        <v>0</v>
      </c>
      <c r="M88" t="n">
        <v>0</v>
      </c>
      <c r="N88" t="n">
        <v>0</v>
      </c>
      <c r="O88" t="n">
        <v>0</v>
      </c>
      <c r="P88" t="n">
        <v>0</v>
      </c>
      <c r="Q88" t="n">
        <v>0</v>
      </c>
      <c r="R88" s="2" t="inlineStr"/>
      <c r="U88">
        <f>HYPERLINK("https://klasma.github.io/Logging_0330/knärot/A 13011-2026 karta knärot.png", "A 13011-2026")</f>
        <v/>
      </c>
      <c r="V88">
        <f>HYPERLINK("https://klasma.github.io/Logging_0330/klagomål/A 13011-2026 FSC-klagomål.docx", "A 13011-2026")</f>
        <v/>
      </c>
      <c r="W88">
        <f>HYPERLINK("https://klasma.github.io/Logging_0330/klagomålsmail/A 13011-2026 FSC-klagomål mail.docx", "A 13011-2026")</f>
        <v/>
      </c>
      <c r="X88">
        <f>HYPERLINK("https://klasma.github.io/Logging_0330/tillsyn/A 13011-2026 tillsynsbegäran.docx", "A 13011-2026")</f>
        <v/>
      </c>
      <c r="Y88">
        <f>HYPERLINK("https://klasma.github.io/Logging_0330/tillsynsmail/A 13011-2026 tillsynsbegäran mail.docx", "A 13011-2026")</f>
        <v/>
      </c>
    </row>
    <row r="89" ht="15" customHeight="1">
      <c r="A89" t="inlineStr">
        <is>
          <t>A 13013-2026</t>
        </is>
      </c>
      <c r="B89" s="1" t="n">
        <v>46092.7271412037</v>
      </c>
      <c r="C89" s="1" t="n">
        <v>46190</v>
      </c>
      <c r="D89" t="inlineStr">
        <is>
          <t>UPPSALA LÄN</t>
        </is>
      </c>
      <c r="E89" t="inlineStr">
        <is>
          <t>KNIVSTA</t>
        </is>
      </c>
      <c r="F89" t="inlineStr">
        <is>
          <t>Holmen skog AB</t>
        </is>
      </c>
      <c r="G89" t="n">
        <v>4.6</v>
      </c>
      <c r="H89" t="n">
        <v>0</v>
      </c>
      <c r="I89" t="n">
        <v>0</v>
      </c>
      <c r="J89" t="n">
        <v>0</v>
      </c>
      <c r="K89" t="n">
        <v>0</v>
      </c>
      <c r="L89" t="n">
        <v>0</v>
      </c>
      <c r="M89" t="n">
        <v>0</v>
      </c>
      <c r="N89" t="n">
        <v>0</v>
      </c>
      <c r="O89" t="n">
        <v>0</v>
      </c>
      <c r="P89" t="n">
        <v>0</v>
      </c>
      <c r="Q89" t="n">
        <v>0</v>
      </c>
      <c r="R89" s="2" t="inlineStr"/>
    </row>
    <row r="90" ht="15" customHeight="1">
      <c r="A90" t="inlineStr">
        <is>
          <t>A 13001-2026</t>
        </is>
      </c>
      <c r="B90" s="1" t="n">
        <v>46092.68502314815</v>
      </c>
      <c r="C90" s="1" t="n">
        <v>46190</v>
      </c>
      <c r="D90" t="inlineStr">
        <is>
          <t>UPPSALA LÄN</t>
        </is>
      </c>
      <c r="E90" t="inlineStr">
        <is>
          <t>KNIVSTA</t>
        </is>
      </c>
      <c r="F90" t="inlineStr">
        <is>
          <t>Holmen skog AB</t>
        </is>
      </c>
      <c r="G90" t="n">
        <v>2.9</v>
      </c>
      <c r="H90" t="n">
        <v>0</v>
      </c>
      <c r="I90" t="n">
        <v>0</v>
      </c>
      <c r="J90" t="n">
        <v>0</v>
      </c>
      <c r="K90" t="n">
        <v>0</v>
      </c>
      <c r="L90" t="n">
        <v>0</v>
      </c>
      <c r="M90" t="n">
        <v>0</v>
      </c>
      <c r="N90" t="n">
        <v>0</v>
      </c>
      <c r="O90" t="n">
        <v>0</v>
      </c>
      <c r="P90" t="n">
        <v>0</v>
      </c>
      <c r="Q90" t="n">
        <v>0</v>
      </c>
      <c r="R90" s="2" t="inlineStr"/>
    </row>
    <row r="91" ht="15" customHeight="1">
      <c r="A91" t="inlineStr">
        <is>
          <t>A 12991-2026</t>
        </is>
      </c>
      <c r="B91" s="1" t="n">
        <v>46092.66820601852</v>
      </c>
      <c r="C91" s="1" t="n">
        <v>46190</v>
      </c>
      <c r="D91" t="inlineStr">
        <is>
          <t>UPPSALA LÄN</t>
        </is>
      </c>
      <c r="E91" t="inlineStr">
        <is>
          <t>KNIVSTA</t>
        </is>
      </c>
      <c r="F91" t="inlineStr">
        <is>
          <t>Holmen skog AB</t>
        </is>
      </c>
      <c r="G91" t="n">
        <v>4.6</v>
      </c>
      <c r="H91" t="n">
        <v>0</v>
      </c>
      <c r="I91" t="n">
        <v>0</v>
      </c>
      <c r="J91" t="n">
        <v>0</v>
      </c>
      <c r="K91" t="n">
        <v>0</v>
      </c>
      <c r="L91" t="n">
        <v>0</v>
      </c>
      <c r="M91" t="n">
        <v>0</v>
      </c>
      <c r="N91" t="n">
        <v>0</v>
      </c>
      <c r="O91" t="n">
        <v>0</v>
      </c>
      <c r="P91" t="n">
        <v>0</v>
      </c>
      <c r="Q91" t="n">
        <v>0</v>
      </c>
      <c r="R91" s="2" t="inlineStr"/>
    </row>
    <row r="92" ht="15" customHeight="1">
      <c r="A92" t="inlineStr">
        <is>
          <t>A 13005-2026</t>
        </is>
      </c>
      <c r="B92" s="1" t="n">
        <v>46092.69429398148</v>
      </c>
      <c r="C92" s="1" t="n">
        <v>46190</v>
      </c>
      <c r="D92" t="inlineStr">
        <is>
          <t>UPPSALA LÄN</t>
        </is>
      </c>
      <c r="E92" t="inlineStr">
        <is>
          <t>KNIVSTA</t>
        </is>
      </c>
      <c r="F92" t="inlineStr">
        <is>
          <t>Holmen skog AB</t>
        </is>
      </c>
      <c r="G92" t="n">
        <v>3</v>
      </c>
      <c r="H92" t="n">
        <v>0</v>
      </c>
      <c r="I92" t="n">
        <v>0</v>
      </c>
      <c r="J92" t="n">
        <v>0</v>
      </c>
      <c r="K92" t="n">
        <v>0</v>
      </c>
      <c r="L92" t="n">
        <v>0</v>
      </c>
      <c r="M92" t="n">
        <v>0</v>
      </c>
      <c r="N92" t="n">
        <v>0</v>
      </c>
      <c r="O92" t="n">
        <v>0</v>
      </c>
      <c r="P92" t="n">
        <v>0</v>
      </c>
      <c r="Q92" t="n">
        <v>0</v>
      </c>
      <c r="R92" s="2" t="inlineStr"/>
    </row>
    <row r="93" ht="15" customHeight="1">
      <c r="A93" t="inlineStr">
        <is>
          <t>A 13016-2026</t>
        </is>
      </c>
      <c r="B93" s="1" t="n">
        <v>46092.73381944445</v>
      </c>
      <c r="C93" s="1" t="n">
        <v>46190</v>
      </c>
      <c r="D93" t="inlineStr">
        <is>
          <t>UPPSALA LÄN</t>
        </is>
      </c>
      <c r="E93" t="inlineStr">
        <is>
          <t>KNIVSTA</t>
        </is>
      </c>
      <c r="F93" t="inlineStr">
        <is>
          <t>Holmen skog AB</t>
        </is>
      </c>
      <c r="G93" t="n">
        <v>1.5</v>
      </c>
      <c r="H93" t="n">
        <v>0</v>
      </c>
      <c r="I93" t="n">
        <v>0</v>
      </c>
      <c r="J93" t="n">
        <v>0</v>
      </c>
      <c r="K93" t="n">
        <v>0</v>
      </c>
      <c r="L93" t="n">
        <v>0</v>
      </c>
      <c r="M93" t="n">
        <v>0</v>
      </c>
      <c r="N93" t="n">
        <v>0</v>
      </c>
      <c r="O93" t="n">
        <v>0</v>
      </c>
      <c r="P93" t="n">
        <v>0</v>
      </c>
      <c r="Q93" t="n">
        <v>0</v>
      </c>
      <c r="R93" s="2" t="inlineStr"/>
    </row>
    <row r="94" ht="15" customHeight="1">
      <c r="A94" t="inlineStr">
        <is>
          <t>A 8343-2024</t>
        </is>
      </c>
      <c r="B94" s="1" t="n">
        <v>45352</v>
      </c>
      <c r="C94" s="1" t="n">
        <v>46190</v>
      </c>
      <c r="D94" t="inlineStr">
        <is>
          <t>UPPSALA LÄN</t>
        </is>
      </c>
      <c r="E94" t="inlineStr">
        <is>
          <t>KNIVSTA</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46190</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19676-2025</t>
        </is>
      </c>
      <c r="B96" s="1" t="n">
        <v>45770</v>
      </c>
      <c r="C96" s="1" t="n">
        <v>46190</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23969-2026</t>
        </is>
      </c>
      <c r="B97" s="1" t="n">
        <v>46167.58450231481</v>
      </c>
      <c r="C97" s="1" t="n">
        <v>46190</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13697-2024</t>
        </is>
      </c>
      <c r="B98" s="1" t="n">
        <v>45390</v>
      </c>
      <c r="C98" s="1" t="n">
        <v>46190</v>
      </c>
      <c r="D98" t="inlineStr">
        <is>
          <t>UPPSALA LÄN</t>
        </is>
      </c>
      <c r="E98" t="inlineStr">
        <is>
          <t>KNIVSTA</t>
        </is>
      </c>
      <c r="F98" t="inlineStr">
        <is>
          <t>Holmen skog AB</t>
        </is>
      </c>
      <c r="G98" t="n">
        <v>1.3</v>
      </c>
      <c r="H98" t="n">
        <v>0</v>
      </c>
      <c r="I98" t="n">
        <v>0</v>
      </c>
      <c r="J98" t="n">
        <v>0</v>
      </c>
      <c r="K98" t="n">
        <v>0</v>
      </c>
      <c r="L98" t="n">
        <v>0</v>
      </c>
      <c r="M98" t="n">
        <v>0</v>
      </c>
      <c r="N98" t="n">
        <v>0</v>
      </c>
      <c r="O98" t="n">
        <v>0</v>
      </c>
      <c r="P98" t="n">
        <v>0</v>
      </c>
      <c r="Q98" t="n">
        <v>0</v>
      </c>
      <c r="R98" s="2" t="inlineStr"/>
    </row>
    <row r="99" ht="15" customHeight="1">
      <c r="A99" t="inlineStr">
        <is>
          <t>A 19774-2026</t>
        </is>
      </c>
      <c r="B99" s="1" t="n">
        <v>46135.43638888889</v>
      </c>
      <c r="C99" s="1" t="n">
        <v>46190</v>
      </c>
      <c r="D99" t="inlineStr">
        <is>
          <t>UPPSALA LÄN</t>
        </is>
      </c>
      <c r="E99" t="inlineStr">
        <is>
          <t>KNIVSTA</t>
        </is>
      </c>
      <c r="G99" t="n">
        <v>4.2</v>
      </c>
      <c r="H99" t="n">
        <v>0</v>
      </c>
      <c r="I99" t="n">
        <v>0</v>
      </c>
      <c r="J99" t="n">
        <v>0</v>
      </c>
      <c r="K99" t="n">
        <v>0</v>
      </c>
      <c r="L99" t="n">
        <v>0</v>
      </c>
      <c r="M99" t="n">
        <v>0</v>
      </c>
      <c r="N99" t="n">
        <v>0</v>
      </c>
      <c r="O99" t="n">
        <v>0</v>
      </c>
      <c r="P99" t="n">
        <v>0</v>
      </c>
      <c r="Q99" t="n">
        <v>0</v>
      </c>
      <c r="R99" s="2" t="inlineStr"/>
    </row>
    <row r="100" ht="15" customHeight="1">
      <c r="A100" t="inlineStr">
        <is>
          <t>A 66305-2021</t>
        </is>
      </c>
      <c r="B100" s="1" t="n">
        <v>44518</v>
      </c>
      <c r="C100" s="1" t="n">
        <v>46190</v>
      </c>
      <c r="D100" t="inlineStr">
        <is>
          <t>UPPSALA LÄN</t>
        </is>
      </c>
      <c r="E100" t="inlineStr">
        <is>
          <t>KNIVSTA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52666-2025</t>
        </is>
      </c>
      <c r="B101" s="1" t="n">
        <v>45955.74299768519</v>
      </c>
      <c r="C101" s="1" t="n">
        <v>46190</v>
      </c>
      <c r="D101" t="inlineStr">
        <is>
          <t>UPPSALA LÄN</t>
        </is>
      </c>
      <c r="E101" t="inlineStr">
        <is>
          <t>KNIVSTA</t>
        </is>
      </c>
      <c r="G101" t="n">
        <v>2.1</v>
      </c>
      <c r="H101" t="n">
        <v>0</v>
      </c>
      <c r="I101" t="n">
        <v>0</v>
      </c>
      <c r="J101" t="n">
        <v>0</v>
      </c>
      <c r="K101" t="n">
        <v>0</v>
      </c>
      <c r="L101" t="n">
        <v>0</v>
      </c>
      <c r="M101" t="n">
        <v>0</v>
      </c>
      <c r="N101" t="n">
        <v>0</v>
      </c>
      <c r="O101" t="n">
        <v>0</v>
      </c>
      <c r="P101" t="n">
        <v>0</v>
      </c>
      <c r="Q101" t="n">
        <v>0</v>
      </c>
      <c r="R101" s="2" t="inlineStr"/>
    </row>
    <row r="102" ht="15" customHeight="1">
      <c r="A102" t="inlineStr">
        <is>
          <t>A 33974-2025</t>
        </is>
      </c>
      <c r="B102" s="1" t="n">
        <v>45843.305625</v>
      </c>
      <c r="C102" s="1" t="n">
        <v>46190</v>
      </c>
      <c r="D102" t="inlineStr">
        <is>
          <t>UPPSALA LÄN</t>
        </is>
      </c>
      <c r="E102" t="inlineStr">
        <is>
          <t>KNIVSTA</t>
        </is>
      </c>
      <c r="G102" t="n">
        <v>2.6</v>
      </c>
      <c r="H102" t="n">
        <v>0</v>
      </c>
      <c r="I102" t="n">
        <v>0</v>
      </c>
      <c r="J102" t="n">
        <v>0</v>
      </c>
      <c r="K102" t="n">
        <v>0</v>
      </c>
      <c r="L102" t="n">
        <v>0</v>
      </c>
      <c r="M102" t="n">
        <v>0</v>
      </c>
      <c r="N102" t="n">
        <v>0</v>
      </c>
      <c r="O102" t="n">
        <v>0</v>
      </c>
      <c r="P102" t="n">
        <v>0</v>
      </c>
      <c r="Q102" t="n">
        <v>0</v>
      </c>
      <c r="R102" s="2" t="inlineStr"/>
    </row>
    <row r="103" ht="15" customHeight="1">
      <c r="A103" t="inlineStr">
        <is>
          <t>A 20528-2026</t>
        </is>
      </c>
      <c r="B103" s="1" t="n">
        <v>46140.5575</v>
      </c>
      <c r="C103" s="1" t="n">
        <v>46190</v>
      </c>
      <c r="D103" t="inlineStr">
        <is>
          <t>UPPSALA LÄN</t>
        </is>
      </c>
      <c r="E103" t="inlineStr">
        <is>
          <t>KNIVSTA</t>
        </is>
      </c>
      <c r="G103" t="n">
        <v>5.7</v>
      </c>
      <c r="H103" t="n">
        <v>0</v>
      </c>
      <c r="I103" t="n">
        <v>0</v>
      </c>
      <c r="J103" t="n">
        <v>0</v>
      </c>
      <c r="K103" t="n">
        <v>0</v>
      </c>
      <c r="L103" t="n">
        <v>0</v>
      </c>
      <c r="M103" t="n">
        <v>0</v>
      </c>
      <c r="N103" t="n">
        <v>0</v>
      </c>
      <c r="O103" t="n">
        <v>0</v>
      </c>
      <c r="P103" t="n">
        <v>0</v>
      </c>
      <c r="Q103" t="n">
        <v>0</v>
      </c>
      <c r="R103" s="2" t="inlineStr"/>
    </row>
    <row r="104">
      <c r="A104" t="inlineStr">
        <is>
          <t>A 19777-2026</t>
        </is>
      </c>
      <c r="B104" s="1" t="n">
        <v>46135</v>
      </c>
      <c r="C104" s="1" t="n">
        <v>46190</v>
      </c>
      <c r="D104" t="inlineStr">
        <is>
          <t>UPPSALA LÄN</t>
        </is>
      </c>
      <c r="E104" t="inlineStr">
        <is>
          <t>KNIVSTA</t>
        </is>
      </c>
      <c r="G104" t="n">
        <v>1.9</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2026-06-17T09:24:24Z</dcterms:created>
  <dcterms:modified xmlns:dcterms="http://purl.org/dc/terms/" xmlns:xsi="http://www.w3.org/2001/XMLSchema-instance" xsi:type="dcterms:W3CDTF">2026-06-17T09:24:24Z</dcterms:modified>
</cp:coreProperties>
</file>