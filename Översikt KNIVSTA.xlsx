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46017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46017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46017</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46017</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7444-2023</t>
        </is>
      </c>
      <c r="B6" s="1" t="n">
        <v>44971</v>
      </c>
      <c r="C6" s="1" t="n">
        <v>46017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46017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46017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46017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46017</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46017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46017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46017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46017</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46017</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5455-2025</t>
        </is>
      </c>
      <c r="B16" s="1" t="n">
        <v>45693</v>
      </c>
      <c r="C16" s="1" t="n">
        <v>46017</v>
      </c>
      <c r="D16" t="inlineStr">
        <is>
          <t>UPPSALA LÄN</t>
        </is>
      </c>
      <c r="E16" t="inlineStr">
        <is>
          <t>KNIVSTA</t>
        </is>
      </c>
      <c r="G16" t="n">
        <v>17.1</v>
      </c>
      <c r="H16" t="n">
        <v>0</v>
      </c>
      <c r="I16" t="n">
        <v>1</v>
      </c>
      <c r="J16" t="n">
        <v>0</v>
      </c>
      <c r="K16" t="n">
        <v>0</v>
      </c>
      <c r="L16" t="n">
        <v>0</v>
      </c>
      <c r="M16" t="n">
        <v>0</v>
      </c>
      <c r="N16" t="n">
        <v>0</v>
      </c>
      <c r="O16" t="n">
        <v>0</v>
      </c>
      <c r="P16" t="n">
        <v>0</v>
      </c>
      <c r="Q16" t="n">
        <v>1</v>
      </c>
      <c r="R16" s="2" t="inlineStr">
        <is>
          <t>Vedticka</t>
        </is>
      </c>
      <c r="S16">
        <f>HYPERLINK("https://klasma.github.io/Logging_0330/artfynd/A 5455-2025 artfynd.xlsx", "A 5455-2025")</f>
        <v/>
      </c>
      <c r="T16">
        <f>HYPERLINK("https://klasma.github.io/Logging_0330/kartor/A 5455-2025 karta.png", "A 5455-2025")</f>
        <v/>
      </c>
      <c r="V16">
        <f>HYPERLINK("https://klasma.github.io/Logging_0330/klagomål/A 5455-2025 FSC-klagomål.docx", "A 5455-2025")</f>
        <v/>
      </c>
      <c r="W16">
        <f>HYPERLINK("https://klasma.github.io/Logging_0330/klagomålsmail/A 5455-2025 FSC-klagomål mail.docx", "A 5455-2025")</f>
        <v/>
      </c>
      <c r="X16">
        <f>HYPERLINK("https://klasma.github.io/Logging_0330/tillsyn/A 5455-2025 tillsynsbegäran.docx", "A 5455-2025")</f>
        <v/>
      </c>
      <c r="Y16">
        <f>HYPERLINK("https://klasma.github.io/Logging_0330/tillsynsmail/A 5455-2025 tillsynsbegäran mail.docx", "A 5455-2025")</f>
        <v/>
      </c>
    </row>
    <row r="17" ht="15" customHeight="1">
      <c r="A17" t="inlineStr">
        <is>
          <t>A 53813-2025</t>
        </is>
      </c>
      <c r="B17" s="1" t="n">
        <v>45960</v>
      </c>
      <c r="C17" s="1" t="n">
        <v>46017</v>
      </c>
      <c r="D17" t="inlineStr">
        <is>
          <t>UPPSALA LÄN</t>
        </is>
      </c>
      <c r="E17" t="inlineStr">
        <is>
          <t>KNIVSTA</t>
        </is>
      </c>
      <c r="G17" t="n">
        <v>1.7</v>
      </c>
      <c r="H17" t="n">
        <v>0</v>
      </c>
      <c r="I17" t="n">
        <v>1</v>
      </c>
      <c r="J17" t="n">
        <v>0</v>
      </c>
      <c r="K17" t="n">
        <v>0</v>
      </c>
      <c r="L17" t="n">
        <v>0</v>
      </c>
      <c r="M17" t="n">
        <v>0</v>
      </c>
      <c r="N17" t="n">
        <v>0</v>
      </c>
      <c r="O17" t="n">
        <v>0</v>
      </c>
      <c r="P17" t="n">
        <v>0</v>
      </c>
      <c r="Q17" t="n">
        <v>1</v>
      </c>
      <c r="R17" s="2" t="inlineStr">
        <is>
          <t>Broskvaxing</t>
        </is>
      </c>
      <c r="S17">
        <f>HYPERLINK("https://klasma.github.io/Logging_0330/artfynd/A 53813-2025 artfynd.xlsx", "A 53813-2025")</f>
        <v/>
      </c>
      <c r="T17">
        <f>HYPERLINK("https://klasma.github.io/Logging_0330/kartor/A 53813-2025 karta.png", "A 53813-2025")</f>
        <v/>
      </c>
      <c r="V17">
        <f>HYPERLINK("https://klasma.github.io/Logging_0330/klagomål/A 53813-2025 FSC-klagomål.docx", "A 53813-2025")</f>
        <v/>
      </c>
      <c r="W17">
        <f>HYPERLINK("https://klasma.github.io/Logging_0330/klagomålsmail/A 53813-2025 FSC-klagomål mail.docx", "A 53813-2025")</f>
        <v/>
      </c>
      <c r="X17">
        <f>HYPERLINK("https://klasma.github.io/Logging_0330/tillsyn/A 53813-2025 tillsynsbegäran.docx", "A 53813-2025")</f>
        <v/>
      </c>
      <c r="Y17">
        <f>HYPERLINK("https://klasma.github.io/Logging_0330/tillsynsmail/A 53813-2025 tillsynsbegäran mail.docx", "A 53813-2025")</f>
        <v/>
      </c>
    </row>
    <row r="18" ht="15" customHeight="1">
      <c r="A18" t="inlineStr">
        <is>
          <t>A 61768-2025</t>
        </is>
      </c>
      <c r="B18" s="1" t="n">
        <v>46002.63940972222</v>
      </c>
      <c r="C18" s="1" t="n">
        <v>46017</v>
      </c>
      <c r="D18" t="inlineStr">
        <is>
          <t>UPPSALA LÄN</t>
        </is>
      </c>
      <c r="E18" t="inlineStr">
        <is>
          <t>KNIVSTA</t>
        </is>
      </c>
      <c r="G18" t="n">
        <v>3</v>
      </c>
      <c r="H18" t="n">
        <v>0</v>
      </c>
      <c r="I18" t="n">
        <v>1</v>
      </c>
      <c r="J18" t="n">
        <v>0</v>
      </c>
      <c r="K18" t="n">
        <v>0</v>
      </c>
      <c r="L18" t="n">
        <v>0</v>
      </c>
      <c r="M18" t="n">
        <v>0</v>
      </c>
      <c r="N18" t="n">
        <v>0</v>
      </c>
      <c r="O18" t="n">
        <v>0</v>
      </c>
      <c r="P18" t="n">
        <v>0</v>
      </c>
      <c r="Q18" t="n">
        <v>1</v>
      </c>
      <c r="R18" s="2" t="inlineStr">
        <is>
          <t>Kamjordstjärna</t>
        </is>
      </c>
      <c r="S18">
        <f>HYPERLINK("https://klasma.github.io/Logging_0330/artfynd/A 61768-2025 artfynd.xlsx", "A 61768-2025")</f>
        <v/>
      </c>
      <c r="T18">
        <f>HYPERLINK("https://klasma.github.io/Logging_0330/kartor/A 61768-2025 karta.png", "A 61768-2025")</f>
        <v/>
      </c>
      <c r="V18">
        <f>HYPERLINK("https://klasma.github.io/Logging_0330/klagomål/A 61768-2025 FSC-klagomål.docx", "A 61768-2025")</f>
        <v/>
      </c>
      <c r="W18">
        <f>HYPERLINK("https://klasma.github.io/Logging_0330/klagomålsmail/A 61768-2025 FSC-klagomål mail.docx", "A 61768-2025")</f>
        <v/>
      </c>
      <c r="X18">
        <f>HYPERLINK("https://klasma.github.io/Logging_0330/tillsyn/A 61768-2025 tillsynsbegäran.docx", "A 61768-2025")</f>
        <v/>
      </c>
      <c r="Y18">
        <f>HYPERLINK("https://klasma.github.io/Logging_0330/tillsynsmail/A 61768-2025 tillsynsbegäran mail.docx", "A 61768-2025")</f>
        <v/>
      </c>
    </row>
    <row r="19" ht="15" customHeight="1">
      <c r="A19" t="inlineStr">
        <is>
          <t>A 9725-2021</t>
        </is>
      </c>
      <c r="B19" s="1" t="n">
        <v>44252</v>
      </c>
      <c r="C19" s="1" t="n">
        <v>46017</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46017</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46017</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46017</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46017</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46017</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46017</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46017</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46017</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46017</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46017</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46017</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46017</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46017</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46017</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46017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46017</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46017</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46017</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46017</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46017</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1629-2024</t>
        </is>
      </c>
      <c r="B40" s="1" t="n">
        <v>45306</v>
      </c>
      <c r="C40" s="1" t="n">
        <v>46017</v>
      </c>
      <c r="D40" t="inlineStr">
        <is>
          <t>UPPSALA LÄN</t>
        </is>
      </c>
      <c r="E40" t="inlineStr">
        <is>
          <t>KNIVSTA</t>
        </is>
      </c>
      <c r="F40" t="inlineStr">
        <is>
          <t>Holmen skog AB</t>
        </is>
      </c>
      <c r="G40" t="n">
        <v>3.6</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46017</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60885-2021</t>
        </is>
      </c>
      <c r="B42" s="1" t="n">
        <v>44497</v>
      </c>
      <c r="C42" s="1" t="n">
        <v>46017</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47652-2021</t>
        </is>
      </c>
      <c r="B43" s="1" t="n">
        <v>44448</v>
      </c>
      <c r="C43" s="1" t="n">
        <v>46017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47654-2021</t>
        </is>
      </c>
      <c r="B44" s="1" t="n">
        <v>44448</v>
      </c>
      <c r="C44" s="1" t="n">
        <v>46017</v>
      </c>
      <c r="D44" t="inlineStr">
        <is>
          <t>UPPSALA LÄN</t>
        </is>
      </c>
      <c r="E44" t="inlineStr">
        <is>
          <t>KNIVSTA</t>
        </is>
      </c>
      <c r="G44" t="n">
        <v>1.5</v>
      </c>
      <c r="H44" t="n">
        <v>0</v>
      </c>
      <c r="I44" t="n">
        <v>0</v>
      </c>
      <c r="J44" t="n">
        <v>0</v>
      </c>
      <c r="K44" t="n">
        <v>0</v>
      </c>
      <c r="L44" t="n">
        <v>0</v>
      </c>
      <c r="M44" t="n">
        <v>0</v>
      </c>
      <c r="N44" t="n">
        <v>0</v>
      </c>
      <c r="O44" t="n">
        <v>0</v>
      </c>
      <c r="P44" t="n">
        <v>0</v>
      </c>
      <c r="Q44" t="n">
        <v>0</v>
      </c>
      <c r="R44" s="2" t="inlineStr"/>
    </row>
    <row r="45" ht="15" customHeight="1">
      <c r="A45" t="inlineStr">
        <is>
          <t>A 14267-2025</t>
        </is>
      </c>
      <c r="B45" s="1" t="n">
        <v>45740.63686342593</v>
      </c>
      <c r="C45" s="1" t="n">
        <v>46017</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46017</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16396-2025</t>
        </is>
      </c>
      <c r="B47" s="1" t="n">
        <v>45751.44219907407</v>
      </c>
      <c r="C47" s="1" t="n">
        <v>46017</v>
      </c>
      <c r="D47" t="inlineStr">
        <is>
          <t>UPPSALA LÄN</t>
        </is>
      </c>
      <c r="E47" t="inlineStr">
        <is>
          <t>KNIVSTA</t>
        </is>
      </c>
      <c r="G47" t="n">
        <v>5.1</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46017</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46017</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11847-2023</t>
        </is>
      </c>
      <c r="B50" s="1" t="n">
        <v>44995.33957175926</v>
      </c>
      <c r="C50" s="1" t="n">
        <v>46017</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46017</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31875-2022</t>
        </is>
      </c>
      <c r="B52" s="1" t="n">
        <v>44777</v>
      </c>
      <c r="C52" s="1" t="n">
        <v>46017</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46017</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16773-2022</t>
        </is>
      </c>
      <c r="B54" s="1" t="n">
        <v>44673</v>
      </c>
      <c r="C54" s="1" t="n">
        <v>46017</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46017</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46017</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51849-2023</t>
        </is>
      </c>
      <c r="B57" s="1" t="n">
        <v>45223.34391203704</v>
      </c>
      <c r="C57" s="1" t="n">
        <v>46017</v>
      </c>
      <c r="D57" t="inlineStr">
        <is>
          <t>UPPSALA LÄN</t>
        </is>
      </c>
      <c r="E57" t="inlineStr">
        <is>
          <t>KNIVSTA</t>
        </is>
      </c>
      <c r="G57" t="n">
        <v>16.3</v>
      </c>
      <c r="H57" t="n">
        <v>0</v>
      </c>
      <c r="I57" t="n">
        <v>0</v>
      </c>
      <c r="J57" t="n">
        <v>0</v>
      </c>
      <c r="K57" t="n">
        <v>0</v>
      </c>
      <c r="L57" t="n">
        <v>0</v>
      </c>
      <c r="M57" t="n">
        <v>0</v>
      </c>
      <c r="N57" t="n">
        <v>0</v>
      </c>
      <c r="O57" t="n">
        <v>0</v>
      </c>
      <c r="P57" t="n">
        <v>0</v>
      </c>
      <c r="Q57" t="n">
        <v>0</v>
      </c>
      <c r="R57" s="2" t="inlineStr"/>
    </row>
    <row r="58" ht="15" customHeight="1">
      <c r="A58" t="inlineStr">
        <is>
          <t>A 60018-2024</t>
        </is>
      </c>
      <c r="B58" s="1" t="n">
        <v>45642</v>
      </c>
      <c r="C58" s="1" t="n">
        <v>46017</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17333-2024</t>
        </is>
      </c>
      <c r="B59" s="1" t="n">
        <v>45414.5625462963</v>
      </c>
      <c r="C59" s="1" t="n">
        <v>46017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1791-2024</t>
        </is>
      </c>
      <c r="B60" s="1" t="n">
        <v>45307.574375</v>
      </c>
      <c r="C60" s="1" t="n">
        <v>46017</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17091-2023</t>
        </is>
      </c>
      <c r="B61" s="1" t="n">
        <v>45034.53554398148</v>
      </c>
      <c r="C61" s="1" t="n">
        <v>46017</v>
      </c>
      <c r="D61" t="inlineStr">
        <is>
          <t>UPPSALA LÄN</t>
        </is>
      </c>
      <c r="E61" t="inlineStr">
        <is>
          <t>KNIVSTA</t>
        </is>
      </c>
      <c r="G61" t="n">
        <v>0.8</v>
      </c>
      <c r="H61" t="n">
        <v>0</v>
      </c>
      <c r="I61" t="n">
        <v>0</v>
      </c>
      <c r="J61" t="n">
        <v>0</v>
      </c>
      <c r="K61" t="n">
        <v>0</v>
      </c>
      <c r="L61" t="n">
        <v>0</v>
      </c>
      <c r="M61" t="n">
        <v>0</v>
      </c>
      <c r="N61" t="n">
        <v>0</v>
      </c>
      <c r="O61" t="n">
        <v>0</v>
      </c>
      <c r="P61" t="n">
        <v>0</v>
      </c>
      <c r="Q61" t="n">
        <v>0</v>
      </c>
      <c r="R61" s="2" t="inlineStr"/>
    </row>
    <row r="62" ht="15" customHeight="1">
      <c r="A62" t="inlineStr">
        <is>
          <t>A 66305-2021</t>
        </is>
      </c>
      <c r="B62" s="1" t="n">
        <v>44518</v>
      </c>
      <c r="C62" s="1" t="n">
        <v>46017</v>
      </c>
      <c r="D62" t="inlineStr">
        <is>
          <t>UPPSALA LÄN</t>
        </is>
      </c>
      <c r="E62" t="inlineStr">
        <is>
          <t>KNIVSTA</t>
        </is>
      </c>
      <c r="G62" t="n">
        <v>8.300000000000001</v>
      </c>
      <c r="H62" t="n">
        <v>0</v>
      </c>
      <c r="I62" t="n">
        <v>0</v>
      </c>
      <c r="J62" t="n">
        <v>0</v>
      </c>
      <c r="K62" t="n">
        <v>0</v>
      </c>
      <c r="L62" t="n">
        <v>0</v>
      </c>
      <c r="M62" t="n">
        <v>0</v>
      </c>
      <c r="N62" t="n">
        <v>0</v>
      </c>
      <c r="O62" t="n">
        <v>0</v>
      </c>
      <c r="P62" t="n">
        <v>0</v>
      </c>
      <c r="Q62" t="n">
        <v>0</v>
      </c>
      <c r="R62" s="2" t="inlineStr"/>
    </row>
    <row r="63" ht="15" customHeight="1">
      <c r="A63" t="inlineStr">
        <is>
          <t>A 66293-2021</t>
        </is>
      </c>
      <c r="B63" s="1" t="n">
        <v>44518</v>
      </c>
      <c r="C63" s="1" t="n">
        <v>46017</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2628-2025</t>
        </is>
      </c>
      <c r="B64" s="1" t="n">
        <v>45675.68435185185</v>
      </c>
      <c r="C64" s="1" t="n">
        <v>46017</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44869-2025</t>
        </is>
      </c>
      <c r="B65" s="1" t="n">
        <v>45918.46758101852</v>
      </c>
      <c r="C65" s="1" t="n">
        <v>46017</v>
      </c>
      <c r="D65" t="inlineStr">
        <is>
          <t>UPPSALA LÄN</t>
        </is>
      </c>
      <c r="E65" t="inlineStr">
        <is>
          <t>KNIVSTA</t>
        </is>
      </c>
      <c r="G65" t="n">
        <v>17.1</v>
      </c>
      <c r="H65" t="n">
        <v>0</v>
      </c>
      <c r="I65" t="n">
        <v>0</v>
      </c>
      <c r="J65" t="n">
        <v>0</v>
      </c>
      <c r="K65" t="n">
        <v>0</v>
      </c>
      <c r="L65" t="n">
        <v>0</v>
      </c>
      <c r="M65" t="n">
        <v>0</v>
      </c>
      <c r="N65" t="n">
        <v>0</v>
      </c>
      <c r="O65" t="n">
        <v>0</v>
      </c>
      <c r="P65" t="n">
        <v>0</v>
      </c>
      <c r="Q65" t="n">
        <v>0</v>
      </c>
      <c r="R65" s="2" t="inlineStr"/>
    </row>
    <row r="66" ht="15" customHeight="1">
      <c r="A66" t="inlineStr">
        <is>
          <t>A 45453-2025</t>
        </is>
      </c>
      <c r="B66" s="1" t="n">
        <v>45922.48702546296</v>
      </c>
      <c r="C66" s="1" t="n">
        <v>46017</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13040-2025</t>
        </is>
      </c>
      <c r="B67" s="1" t="n">
        <v>45734</v>
      </c>
      <c r="C67" s="1" t="n">
        <v>46017</v>
      </c>
      <c r="D67" t="inlineStr">
        <is>
          <t>UPPSALA LÄN</t>
        </is>
      </c>
      <c r="E67" t="inlineStr">
        <is>
          <t>KNIVSTA</t>
        </is>
      </c>
      <c r="F67" t="inlineStr">
        <is>
          <t>Allmännings- och besparingsskogar</t>
        </is>
      </c>
      <c r="G67" t="n">
        <v>1.6</v>
      </c>
      <c r="H67" t="n">
        <v>0</v>
      </c>
      <c r="I67" t="n">
        <v>0</v>
      </c>
      <c r="J67" t="n">
        <v>0</v>
      </c>
      <c r="K67" t="n">
        <v>0</v>
      </c>
      <c r="L67" t="n">
        <v>0</v>
      </c>
      <c r="M67" t="n">
        <v>0</v>
      </c>
      <c r="N67" t="n">
        <v>0</v>
      </c>
      <c r="O67" t="n">
        <v>0</v>
      </c>
      <c r="P67" t="n">
        <v>0</v>
      </c>
      <c r="Q67" t="n">
        <v>0</v>
      </c>
      <c r="R67" s="2" t="inlineStr"/>
    </row>
    <row r="68" ht="15" customHeight="1">
      <c r="A68" t="inlineStr">
        <is>
          <t>A 11452-2023</t>
        </is>
      </c>
      <c r="B68" s="1" t="n">
        <v>44993</v>
      </c>
      <c r="C68" s="1" t="n">
        <v>46017</v>
      </c>
      <c r="D68" t="inlineStr">
        <is>
          <t>UPPSALA LÄN</t>
        </is>
      </c>
      <c r="E68" t="inlineStr">
        <is>
          <t>KNIVSTA</t>
        </is>
      </c>
      <c r="G68" t="n">
        <v>2.5</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46017</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5402-2023</t>
        </is>
      </c>
      <c r="B70" s="1" t="n">
        <v>44959</v>
      </c>
      <c r="C70" s="1" t="n">
        <v>46017</v>
      </c>
      <c r="D70" t="inlineStr">
        <is>
          <t>UPPSALA LÄN</t>
        </is>
      </c>
      <c r="E70" t="inlineStr">
        <is>
          <t>KNIVSTA</t>
        </is>
      </c>
      <c r="G70" t="n">
        <v>4.3</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46017</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34078-2022</t>
        </is>
      </c>
      <c r="B72" s="1" t="n">
        <v>44791</v>
      </c>
      <c r="C72" s="1" t="n">
        <v>46017</v>
      </c>
      <c r="D72" t="inlineStr">
        <is>
          <t>UPPSALA LÄN</t>
        </is>
      </c>
      <c r="E72" t="inlineStr">
        <is>
          <t>KNIVSTA</t>
        </is>
      </c>
      <c r="F72" t="inlineStr">
        <is>
          <t>Övriga statliga verk och myndigheter</t>
        </is>
      </c>
      <c r="G72" t="n">
        <v>1.8</v>
      </c>
      <c r="H72" t="n">
        <v>0</v>
      </c>
      <c r="I72" t="n">
        <v>0</v>
      </c>
      <c r="J72" t="n">
        <v>0</v>
      </c>
      <c r="K72" t="n">
        <v>0</v>
      </c>
      <c r="L72" t="n">
        <v>0</v>
      </c>
      <c r="M72" t="n">
        <v>0</v>
      </c>
      <c r="N72" t="n">
        <v>0</v>
      </c>
      <c r="O72" t="n">
        <v>0</v>
      </c>
      <c r="P72" t="n">
        <v>0</v>
      </c>
      <c r="Q72" t="n">
        <v>0</v>
      </c>
      <c r="R72" s="2" t="inlineStr"/>
    </row>
    <row r="73" ht="15" customHeight="1">
      <c r="A73" t="inlineStr">
        <is>
          <t>A 49090-2025</t>
        </is>
      </c>
      <c r="B73" s="1" t="n">
        <v>45937</v>
      </c>
      <c r="C73" s="1" t="n">
        <v>46017</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46017</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46017</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19676-2025</t>
        </is>
      </c>
      <c r="B76" s="1" t="n">
        <v>45770</v>
      </c>
      <c r="C76" s="1" t="n">
        <v>46017</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8343-2024</t>
        </is>
      </c>
      <c r="B77" s="1" t="n">
        <v>45352</v>
      </c>
      <c r="C77" s="1" t="n">
        <v>46017</v>
      </c>
      <c r="D77" t="inlineStr">
        <is>
          <t>UPPSALA LÄN</t>
        </is>
      </c>
      <c r="E77" t="inlineStr">
        <is>
          <t>KNIVSTA</t>
        </is>
      </c>
      <c r="F77" t="inlineStr">
        <is>
          <t>Holmen skog AB</t>
        </is>
      </c>
      <c r="G77" t="n">
        <v>1.4</v>
      </c>
      <c r="H77" t="n">
        <v>0</v>
      </c>
      <c r="I77" t="n">
        <v>0</v>
      </c>
      <c r="J77" t="n">
        <v>0</v>
      </c>
      <c r="K77" t="n">
        <v>0</v>
      </c>
      <c r="L77" t="n">
        <v>0</v>
      </c>
      <c r="M77" t="n">
        <v>0</v>
      </c>
      <c r="N77" t="n">
        <v>0</v>
      </c>
      <c r="O77" t="n">
        <v>0</v>
      </c>
      <c r="P77" t="n">
        <v>0</v>
      </c>
      <c r="Q77" t="n">
        <v>0</v>
      </c>
      <c r="R77" s="2" t="inlineStr"/>
    </row>
    <row r="78" ht="15" customHeight="1">
      <c r="A78" t="inlineStr">
        <is>
          <t>A 30627-2023</t>
        </is>
      </c>
      <c r="B78" s="1" t="n">
        <v>45112</v>
      </c>
      <c r="C78" s="1" t="n">
        <v>46017</v>
      </c>
      <c r="D78" t="inlineStr">
        <is>
          <t>UPPSALA LÄN</t>
        </is>
      </c>
      <c r="E78" t="inlineStr">
        <is>
          <t>KNIVSTA</t>
        </is>
      </c>
      <c r="F78" t="inlineStr">
        <is>
          <t>Holmen skog AB</t>
        </is>
      </c>
      <c r="G78" t="n">
        <v>1.6</v>
      </c>
      <c r="H78" t="n">
        <v>0</v>
      </c>
      <c r="I78" t="n">
        <v>0</v>
      </c>
      <c r="J78" t="n">
        <v>0</v>
      </c>
      <c r="K78" t="n">
        <v>0</v>
      </c>
      <c r="L78" t="n">
        <v>0</v>
      </c>
      <c r="M78" t="n">
        <v>0</v>
      </c>
      <c r="N78" t="n">
        <v>0</v>
      </c>
      <c r="O78" t="n">
        <v>0</v>
      </c>
      <c r="P78" t="n">
        <v>0</v>
      </c>
      <c r="Q78" t="n">
        <v>0</v>
      </c>
      <c r="R78" s="2" t="inlineStr"/>
    </row>
    <row r="79" ht="15" customHeight="1">
      <c r="A79" t="inlineStr">
        <is>
          <t>A 26182-2022</t>
        </is>
      </c>
      <c r="B79" s="1" t="n">
        <v>44735</v>
      </c>
      <c r="C79" s="1" t="n">
        <v>46017</v>
      </c>
      <c r="D79" t="inlineStr">
        <is>
          <t>UPPSALA LÄN</t>
        </is>
      </c>
      <c r="E79" t="inlineStr">
        <is>
          <t>KNIVSTA</t>
        </is>
      </c>
      <c r="G79" t="n">
        <v>3.8</v>
      </c>
      <c r="H79" t="n">
        <v>0</v>
      </c>
      <c r="I79" t="n">
        <v>0</v>
      </c>
      <c r="J79" t="n">
        <v>0</v>
      </c>
      <c r="K79" t="n">
        <v>0</v>
      </c>
      <c r="L79" t="n">
        <v>0</v>
      </c>
      <c r="M79" t="n">
        <v>0</v>
      </c>
      <c r="N79" t="n">
        <v>0</v>
      </c>
      <c r="O79" t="n">
        <v>0</v>
      </c>
      <c r="P79" t="n">
        <v>0</v>
      </c>
      <c r="Q79" t="n">
        <v>0</v>
      </c>
      <c r="R79" s="2" t="inlineStr"/>
    </row>
    <row r="80" ht="15" customHeight="1">
      <c r="A80" t="inlineStr">
        <is>
          <t>A 20505-2021</t>
        </is>
      </c>
      <c r="B80" s="1" t="n">
        <v>44313</v>
      </c>
      <c r="C80" s="1" t="n">
        <v>46017</v>
      </c>
      <c r="D80" t="inlineStr">
        <is>
          <t>UPPSALA LÄN</t>
        </is>
      </c>
      <c r="E80" t="inlineStr">
        <is>
          <t>KNIVSTA</t>
        </is>
      </c>
      <c r="G80" t="n">
        <v>2.9</v>
      </c>
      <c r="H80" t="n">
        <v>0</v>
      </c>
      <c r="I80" t="n">
        <v>0</v>
      </c>
      <c r="J80" t="n">
        <v>0</v>
      </c>
      <c r="K80" t="n">
        <v>0</v>
      </c>
      <c r="L80" t="n">
        <v>0</v>
      </c>
      <c r="M80" t="n">
        <v>0</v>
      </c>
      <c r="N80" t="n">
        <v>0</v>
      </c>
      <c r="O80" t="n">
        <v>0</v>
      </c>
      <c r="P80" t="n">
        <v>0</v>
      </c>
      <c r="Q80" t="n">
        <v>0</v>
      </c>
      <c r="R80" s="2" t="inlineStr"/>
    </row>
    <row r="81" ht="15" customHeight="1">
      <c r="A81" t="inlineStr">
        <is>
          <t>A 2629-2025</t>
        </is>
      </c>
      <c r="B81" s="1" t="n">
        <v>45675.6953587963</v>
      </c>
      <c r="C81" s="1" t="n">
        <v>46017</v>
      </c>
      <c r="D81" t="inlineStr">
        <is>
          <t>UPPSALA LÄN</t>
        </is>
      </c>
      <c r="E81" t="inlineStr">
        <is>
          <t>KNIVSTA</t>
        </is>
      </c>
      <c r="G81" t="n">
        <v>1.1</v>
      </c>
      <c r="H81" t="n">
        <v>0</v>
      </c>
      <c r="I81" t="n">
        <v>0</v>
      </c>
      <c r="J81" t="n">
        <v>0</v>
      </c>
      <c r="K81" t="n">
        <v>0</v>
      </c>
      <c r="L81" t="n">
        <v>0</v>
      </c>
      <c r="M81" t="n">
        <v>0</v>
      </c>
      <c r="N81" t="n">
        <v>0</v>
      </c>
      <c r="O81" t="n">
        <v>0</v>
      </c>
      <c r="P81" t="n">
        <v>0</v>
      </c>
      <c r="Q81" t="n">
        <v>0</v>
      </c>
      <c r="R81" s="2" t="inlineStr"/>
    </row>
    <row r="82" ht="15" customHeight="1">
      <c r="A82" t="inlineStr">
        <is>
          <t>A 5320-2023</t>
        </is>
      </c>
      <c r="B82" s="1" t="n">
        <v>44959</v>
      </c>
      <c r="C82" s="1" t="n">
        <v>46017</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2171-2024</t>
        </is>
      </c>
      <c r="B83" s="1" t="n">
        <v>45309</v>
      </c>
      <c r="C83" s="1" t="n">
        <v>46017</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60243-2025</t>
        </is>
      </c>
      <c r="B84" s="1" t="n">
        <v>45994.58650462963</v>
      </c>
      <c r="C84" s="1" t="n">
        <v>46017</v>
      </c>
      <c r="D84" t="inlineStr">
        <is>
          <t>UPPSALA LÄN</t>
        </is>
      </c>
      <c r="E84" t="inlineStr">
        <is>
          <t>KNIVSTA</t>
        </is>
      </c>
      <c r="F84" t="inlineStr">
        <is>
          <t>Holmen skog AB</t>
        </is>
      </c>
      <c r="G84" t="n">
        <v>2.4</v>
      </c>
      <c r="H84" t="n">
        <v>0</v>
      </c>
      <c r="I84" t="n">
        <v>0</v>
      </c>
      <c r="J84" t="n">
        <v>0</v>
      </c>
      <c r="K84" t="n">
        <v>0</v>
      </c>
      <c r="L84" t="n">
        <v>0</v>
      </c>
      <c r="M84" t="n">
        <v>0</v>
      </c>
      <c r="N84" t="n">
        <v>0</v>
      </c>
      <c r="O84" t="n">
        <v>0</v>
      </c>
      <c r="P84" t="n">
        <v>0</v>
      </c>
      <c r="Q84" t="n">
        <v>0</v>
      </c>
      <c r="R84" s="2" t="inlineStr"/>
    </row>
    <row r="85" ht="15" customHeight="1">
      <c r="A85" t="inlineStr">
        <is>
          <t>A 21130-2025</t>
        </is>
      </c>
      <c r="B85" s="1" t="n">
        <v>45778.35857638889</v>
      </c>
      <c r="C85" s="1" t="n">
        <v>46017</v>
      </c>
      <c r="D85" t="inlineStr">
        <is>
          <t>UPPSALA LÄN</t>
        </is>
      </c>
      <c r="E85" t="inlineStr">
        <is>
          <t>KNIVSTA</t>
        </is>
      </c>
      <c r="G85" t="n">
        <v>2.2</v>
      </c>
      <c r="H85" t="n">
        <v>0</v>
      </c>
      <c r="I85" t="n">
        <v>0</v>
      </c>
      <c r="J85" t="n">
        <v>0</v>
      </c>
      <c r="K85" t="n">
        <v>0</v>
      </c>
      <c r="L85" t="n">
        <v>0</v>
      </c>
      <c r="M85" t="n">
        <v>0</v>
      </c>
      <c r="N85" t="n">
        <v>0</v>
      </c>
      <c r="O85" t="n">
        <v>0</v>
      </c>
      <c r="P85" t="n">
        <v>0</v>
      </c>
      <c r="Q85" t="n">
        <v>0</v>
      </c>
      <c r="R85" s="2" t="inlineStr"/>
    </row>
    <row r="86" ht="15" customHeight="1">
      <c r="A86" t="inlineStr">
        <is>
          <t>A 794-2024</t>
        </is>
      </c>
      <c r="B86" s="1" t="n">
        <v>45300.58149305556</v>
      </c>
      <c r="C86" s="1" t="n">
        <v>46017</v>
      </c>
      <c r="D86" t="inlineStr">
        <is>
          <t>UPPSALA LÄN</t>
        </is>
      </c>
      <c r="E86" t="inlineStr">
        <is>
          <t>KNIVSTA</t>
        </is>
      </c>
      <c r="G86" t="n">
        <v>1.6</v>
      </c>
      <c r="H86" t="n">
        <v>0</v>
      </c>
      <c r="I86" t="n">
        <v>0</v>
      </c>
      <c r="J86" t="n">
        <v>0</v>
      </c>
      <c r="K86" t="n">
        <v>0</v>
      </c>
      <c r="L86" t="n">
        <v>0</v>
      </c>
      <c r="M86" t="n">
        <v>0</v>
      </c>
      <c r="N86" t="n">
        <v>0</v>
      </c>
      <c r="O86" t="n">
        <v>0</v>
      </c>
      <c r="P86" t="n">
        <v>0</v>
      </c>
      <c r="Q86" t="n">
        <v>0</v>
      </c>
      <c r="R86" s="2" t="inlineStr"/>
    </row>
    <row r="87" ht="15" customHeight="1">
      <c r="A87" t="inlineStr">
        <is>
          <t>A 52667-2025</t>
        </is>
      </c>
      <c r="B87" s="1" t="n">
        <v>45955.74666666667</v>
      </c>
      <c r="C87" s="1" t="n">
        <v>46017</v>
      </c>
      <c r="D87" t="inlineStr">
        <is>
          <t>UPPSALA LÄN</t>
        </is>
      </c>
      <c r="E87" t="inlineStr">
        <is>
          <t>KNIVSTA</t>
        </is>
      </c>
      <c r="G87" t="n">
        <v>1</v>
      </c>
      <c r="H87" t="n">
        <v>0</v>
      </c>
      <c r="I87" t="n">
        <v>0</v>
      </c>
      <c r="J87" t="n">
        <v>0</v>
      </c>
      <c r="K87" t="n">
        <v>0</v>
      </c>
      <c r="L87" t="n">
        <v>0</v>
      </c>
      <c r="M87" t="n">
        <v>0</v>
      </c>
      <c r="N87" t="n">
        <v>0</v>
      </c>
      <c r="O87" t="n">
        <v>0</v>
      </c>
      <c r="P87" t="n">
        <v>0</v>
      </c>
      <c r="Q87" t="n">
        <v>0</v>
      </c>
      <c r="R87" s="2" t="inlineStr"/>
    </row>
    <row r="88" ht="15" customHeight="1">
      <c r="A88" t="inlineStr">
        <is>
          <t>A 45916-2022</t>
        </is>
      </c>
      <c r="B88" s="1" t="n">
        <v>44846</v>
      </c>
      <c r="C88" s="1" t="n">
        <v>46017</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52666-2025</t>
        </is>
      </c>
      <c r="B89" s="1" t="n">
        <v>45955.74299768519</v>
      </c>
      <c r="C89" s="1" t="n">
        <v>46017</v>
      </c>
      <c r="D89" t="inlineStr">
        <is>
          <t>UPPSALA LÄN</t>
        </is>
      </c>
      <c r="E89" t="inlineStr">
        <is>
          <t>KNIVSTA</t>
        </is>
      </c>
      <c r="G89" t="n">
        <v>2.1</v>
      </c>
      <c r="H89" t="n">
        <v>0</v>
      </c>
      <c r="I89" t="n">
        <v>0</v>
      </c>
      <c r="J89" t="n">
        <v>0</v>
      </c>
      <c r="K89" t="n">
        <v>0</v>
      </c>
      <c r="L89" t="n">
        <v>0</v>
      </c>
      <c r="M89" t="n">
        <v>0</v>
      </c>
      <c r="N89" t="n">
        <v>0</v>
      </c>
      <c r="O89" t="n">
        <v>0</v>
      </c>
      <c r="P89" t="n">
        <v>0</v>
      </c>
      <c r="Q89" t="n">
        <v>0</v>
      </c>
      <c r="R89" s="2" t="inlineStr"/>
    </row>
    <row r="90" ht="15" customHeight="1">
      <c r="A90" t="inlineStr">
        <is>
          <t>A 53812-2025</t>
        </is>
      </c>
      <c r="B90" s="1" t="n">
        <v>45960</v>
      </c>
      <c r="C90" s="1" t="n">
        <v>46017</v>
      </c>
      <c r="D90" t="inlineStr">
        <is>
          <t>UPPSALA LÄN</t>
        </is>
      </c>
      <c r="E90" t="inlineStr">
        <is>
          <t>KNIVSTA</t>
        </is>
      </c>
      <c r="G90" t="n">
        <v>5.8</v>
      </c>
      <c r="H90" t="n">
        <v>0</v>
      </c>
      <c r="I90" t="n">
        <v>0</v>
      </c>
      <c r="J90" t="n">
        <v>0</v>
      </c>
      <c r="K90" t="n">
        <v>0</v>
      </c>
      <c r="L90" t="n">
        <v>0</v>
      </c>
      <c r="M90" t="n">
        <v>0</v>
      </c>
      <c r="N90" t="n">
        <v>0</v>
      </c>
      <c r="O90" t="n">
        <v>0</v>
      </c>
      <c r="P90" t="n">
        <v>0</v>
      </c>
      <c r="Q90" t="n">
        <v>0</v>
      </c>
      <c r="R90" s="2" t="inlineStr"/>
    </row>
    <row r="91" ht="15" customHeight="1">
      <c r="A91" t="inlineStr">
        <is>
          <t>A 53898-2025</t>
        </is>
      </c>
      <c r="B91" s="1" t="n">
        <v>45961.43056712963</v>
      </c>
      <c r="C91" s="1" t="n">
        <v>46017</v>
      </c>
      <c r="D91" t="inlineStr">
        <is>
          <t>UPPSALA LÄN</t>
        </is>
      </c>
      <c r="E91" t="inlineStr">
        <is>
          <t>KNIVSTA</t>
        </is>
      </c>
      <c r="G91" t="n">
        <v>4.5</v>
      </c>
      <c r="H91" t="n">
        <v>0</v>
      </c>
      <c r="I91" t="n">
        <v>0</v>
      </c>
      <c r="J91" t="n">
        <v>0</v>
      </c>
      <c r="K91" t="n">
        <v>0</v>
      </c>
      <c r="L91" t="n">
        <v>0</v>
      </c>
      <c r="M91" t="n">
        <v>0</v>
      </c>
      <c r="N91" t="n">
        <v>0</v>
      </c>
      <c r="O91" t="n">
        <v>0</v>
      </c>
      <c r="P91" t="n">
        <v>0</v>
      </c>
      <c r="Q91" t="n">
        <v>0</v>
      </c>
      <c r="R91" s="2" t="inlineStr"/>
    </row>
    <row r="92" ht="15" customHeight="1">
      <c r="A92" t="inlineStr">
        <is>
          <t>A 20902-2024</t>
        </is>
      </c>
      <c r="B92" s="1" t="n">
        <v>45439.48104166667</v>
      </c>
      <c r="C92" s="1" t="n">
        <v>46017</v>
      </c>
      <c r="D92" t="inlineStr">
        <is>
          <t>UPPSALA LÄN</t>
        </is>
      </c>
      <c r="E92" t="inlineStr">
        <is>
          <t>KNIVSTA</t>
        </is>
      </c>
      <c r="G92" t="n">
        <v>1</v>
      </c>
      <c r="H92" t="n">
        <v>0</v>
      </c>
      <c r="I92" t="n">
        <v>0</v>
      </c>
      <c r="J92" t="n">
        <v>0</v>
      </c>
      <c r="K92" t="n">
        <v>0</v>
      </c>
      <c r="L92" t="n">
        <v>0</v>
      </c>
      <c r="M92" t="n">
        <v>0</v>
      </c>
      <c r="N92" t="n">
        <v>0</v>
      </c>
      <c r="O92" t="n">
        <v>0</v>
      </c>
      <c r="P92" t="n">
        <v>0</v>
      </c>
      <c r="Q92" t="n">
        <v>0</v>
      </c>
      <c r="R92" s="2" t="inlineStr"/>
    </row>
    <row r="93" ht="15" customHeight="1">
      <c r="A93" t="inlineStr">
        <is>
          <t>A 26226-2025</t>
        </is>
      </c>
      <c r="B93" s="1" t="n">
        <v>45805.55829861111</v>
      </c>
      <c r="C93" s="1" t="n">
        <v>46017</v>
      </c>
      <c r="D93" t="inlineStr">
        <is>
          <t>UPPSALA LÄN</t>
        </is>
      </c>
      <c r="E93" t="inlineStr">
        <is>
          <t>KNIVSTA</t>
        </is>
      </c>
      <c r="G93" t="n">
        <v>9.1</v>
      </c>
      <c r="H93" t="n">
        <v>0</v>
      </c>
      <c r="I93" t="n">
        <v>0</v>
      </c>
      <c r="J93" t="n">
        <v>0</v>
      </c>
      <c r="K93" t="n">
        <v>0</v>
      </c>
      <c r="L93" t="n">
        <v>0</v>
      </c>
      <c r="M93" t="n">
        <v>0</v>
      </c>
      <c r="N93" t="n">
        <v>0</v>
      </c>
      <c r="O93" t="n">
        <v>0</v>
      </c>
      <c r="P93" t="n">
        <v>0</v>
      </c>
      <c r="Q93" t="n">
        <v>0</v>
      </c>
      <c r="R93" s="2" t="inlineStr"/>
    </row>
    <row r="94" ht="15" customHeight="1">
      <c r="A94" t="inlineStr">
        <is>
          <t>A 28189-2025</t>
        </is>
      </c>
      <c r="B94" s="1" t="n">
        <v>45818.41357638889</v>
      </c>
      <c r="C94" s="1" t="n">
        <v>46017</v>
      </c>
      <c r="D94" t="inlineStr">
        <is>
          <t>UPPSALA LÄN</t>
        </is>
      </c>
      <c r="E94" t="inlineStr">
        <is>
          <t>KNIVSTA</t>
        </is>
      </c>
      <c r="G94" t="n">
        <v>7.6</v>
      </c>
      <c r="H94" t="n">
        <v>0</v>
      </c>
      <c r="I94" t="n">
        <v>0</v>
      </c>
      <c r="J94" t="n">
        <v>0</v>
      </c>
      <c r="K94" t="n">
        <v>0</v>
      </c>
      <c r="L94" t="n">
        <v>0</v>
      </c>
      <c r="M94" t="n">
        <v>0</v>
      </c>
      <c r="N94" t="n">
        <v>0</v>
      </c>
      <c r="O94" t="n">
        <v>0</v>
      </c>
      <c r="P94" t="n">
        <v>0</v>
      </c>
      <c r="Q94" t="n">
        <v>0</v>
      </c>
      <c r="R94" s="2" t="inlineStr"/>
    </row>
    <row r="95" ht="15" customHeight="1">
      <c r="A95" t="inlineStr">
        <is>
          <t>A 33975-2025</t>
        </is>
      </c>
      <c r="B95" s="1" t="n">
        <v>45843.30805555556</v>
      </c>
      <c r="C95" s="1" t="n">
        <v>46017</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33974-2025</t>
        </is>
      </c>
      <c r="B96" s="1" t="n">
        <v>45843.305625</v>
      </c>
      <c r="C96" s="1" t="n">
        <v>46017</v>
      </c>
      <c r="D96" t="inlineStr">
        <is>
          <t>UPPSALA LÄN</t>
        </is>
      </c>
      <c r="E96" t="inlineStr">
        <is>
          <t>KNIVSTA</t>
        </is>
      </c>
      <c r="G96" t="n">
        <v>2.6</v>
      </c>
      <c r="H96" t="n">
        <v>0</v>
      </c>
      <c r="I96" t="n">
        <v>0</v>
      </c>
      <c r="J96" t="n">
        <v>0</v>
      </c>
      <c r="K96" t="n">
        <v>0</v>
      </c>
      <c r="L96" t="n">
        <v>0</v>
      </c>
      <c r="M96" t="n">
        <v>0</v>
      </c>
      <c r="N96" t="n">
        <v>0</v>
      </c>
      <c r="O96" t="n">
        <v>0</v>
      </c>
      <c r="P96" t="n">
        <v>0</v>
      </c>
      <c r="Q96" t="n">
        <v>0</v>
      </c>
      <c r="R96" s="2" t="inlineStr"/>
    </row>
    <row r="97" ht="15" customHeight="1">
      <c r="A97" t="inlineStr">
        <is>
          <t>A 33976-2025</t>
        </is>
      </c>
      <c r="B97" s="1" t="n">
        <v>45843</v>
      </c>
      <c r="C97" s="1" t="n">
        <v>46017</v>
      </c>
      <c r="D97" t="inlineStr">
        <is>
          <t>UPPSALA LÄN</t>
        </is>
      </c>
      <c r="E97" t="inlineStr">
        <is>
          <t>KNIVSTA</t>
        </is>
      </c>
      <c r="G97" t="n">
        <v>6.1</v>
      </c>
      <c r="H97" t="n">
        <v>0</v>
      </c>
      <c r="I97" t="n">
        <v>0</v>
      </c>
      <c r="J97" t="n">
        <v>0</v>
      </c>
      <c r="K97" t="n">
        <v>0</v>
      </c>
      <c r="L97" t="n">
        <v>0</v>
      </c>
      <c r="M97" t="n">
        <v>0</v>
      </c>
      <c r="N97" t="n">
        <v>0</v>
      </c>
      <c r="O97" t="n">
        <v>0</v>
      </c>
      <c r="P97" t="n">
        <v>0</v>
      </c>
      <c r="Q97" t="n">
        <v>0</v>
      </c>
      <c r="R97" s="2" t="inlineStr"/>
    </row>
    <row r="98" ht="15" customHeight="1">
      <c r="A98" t="inlineStr">
        <is>
          <t>A 34859-2025</t>
        </is>
      </c>
      <c r="B98" s="1" t="n">
        <v>45849.43511574074</v>
      </c>
      <c r="C98" s="1" t="n">
        <v>46017</v>
      </c>
      <c r="D98" t="inlineStr">
        <is>
          <t>UPPSALA LÄN</t>
        </is>
      </c>
      <c r="E98" t="inlineStr">
        <is>
          <t>KNIVSTA</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34864-2025</t>
        </is>
      </c>
      <c r="B99" s="1" t="n">
        <v>45849.44028935185</v>
      </c>
      <c r="C99" s="1" t="n">
        <v>46017</v>
      </c>
      <c r="D99" t="inlineStr">
        <is>
          <t>UPPSALA LÄN</t>
        </is>
      </c>
      <c r="E99" t="inlineStr">
        <is>
          <t>KNIVSTA</t>
        </is>
      </c>
      <c r="F99" t="inlineStr">
        <is>
          <t>Holmen skog AB</t>
        </is>
      </c>
      <c r="G99" t="n">
        <v>1.3</v>
      </c>
      <c r="H99" t="n">
        <v>0</v>
      </c>
      <c r="I99" t="n">
        <v>0</v>
      </c>
      <c r="J99" t="n">
        <v>0</v>
      </c>
      <c r="K99" t="n">
        <v>0</v>
      </c>
      <c r="L99" t="n">
        <v>0</v>
      </c>
      <c r="M99" t="n">
        <v>0</v>
      </c>
      <c r="N99" t="n">
        <v>0</v>
      </c>
      <c r="O99" t="n">
        <v>0</v>
      </c>
      <c r="P99" t="n">
        <v>0</v>
      </c>
      <c r="Q99" t="n">
        <v>0</v>
      </c>
      <c r="R99" s="2" t="inlineStr"/>
    </row>
    <row r="100" ht="15" customHeight="1">
      <c r="A100" t="inlineStr">
        <is>
          <t>A 35318-2025</t>
        </is>
      </c>
      <c r="B100" s="1" t="n">
        <v>45854.47917824074</v>
      </c>
      <c r="C100" s="1" t="n">
        <v>46017</v>
      </c>
      <c r="D100" t="inlineStr">
        <is>
          <t>UPPSALA LÄN</t>
        </is>
      </c>
      <c r="E100" t="inlineStr">
        <is>
          <t>KNIVSTA</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36470-2025</t>
        </is>
      </c>
      <c r="B101" s="1" t="n">
        <v>45869.47915509259</v>
      </c>
      <c r="C101" s="1" t="n">
        <v>46017</v>
      </c>
      <c r="D101" t="inlineStr">
        <is>
          <t>UPPSALA LÄN</t>
        </is>
      </c>
      <c r="E101" t="inlineStr">
        <is>
          <t>KNIVSTA</t>
        </is>
      </c>
      <c r="G101" t="n">
        <v>3.6</v>
      </c>
      <c r="H101" t="n">
        <v>0</v>
      </c>
      <c r="I101" t="n">
        <v>0</v>
      </c>
      <c r="J101" t="n">
        <v>0</v>
      </c>
      <c r="K101" t="n">
        <v>0</v>
      </c>
      <c r="L101" t="n">
        <v>0</v>
      </c>
      <c r="M101" t="n">
        <v>0</v>
      </c>
      <c r="N101" t="n">
        <v>0</v>
      </c>
      <c r="O101" t="n">
        <v>0</v>
      </c>
      <c r="P101" t="n">
        <v>0</v>
      </c>
      <c r="Q101" t="n">
        <v>0</v>
      </c>
      <c r="R101" s="2" t="inlineStr"/>
    </row>
    <row r="102" ht="15" customHeight="1">
      <c r="A102" t="inlineStr">
        <is>
          <t>A 36472-2025</t>
        </is>
      </c>
      <c r="B102" s="1" t="n">
        <v>45869.48162037037</v>
      </c>
      <c r="C102" s="1" t="n">
        <v>46017</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c r="A103" t="inlineStr">
        <is>
          <t>A 36473-2025</t>
        </is>
      </c>
      <c r="B103" s="1" t="n">
        <v>45869.48333333333</v>
      </c>
      <c r="C103" s="1" t="n">
        <v>46017</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2025-12-26T09:33:13Z</dcterms:created>
  <dcterms:modified xmlns:dcterms="http://purl.org/dc/terms/" xmlns:xsi="http://www.w3.org/2001/XMLSchema-instance" xsi:type="dcterms:W3CDTF">2025-12-26T09:33:13Z</dcterms:modified>
</cp:coreProperties>
</file>