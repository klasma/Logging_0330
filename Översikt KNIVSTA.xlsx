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46199</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46199</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46199</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46199</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46199</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46199</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46199</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46199</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46199</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46199</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46199</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46199</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61768-2025</t>
        </is>
      </c>
      <c r="B14" s="1" t="n">
        <v>46002</v>
      </c>
      <c r="C14" s="1" t="n">
        <v>46199</v>
      </c>
      <c r="D14" t="inlineStr">
        <is>
          <t>UPPSALA LÄN</t>
        </is>
      </c>
      <c r="E14" t="inlineStr">
        <is>
          <t>KNIVSTA</t>
        </is>
      </c>
      <c r="G14" t="n">
        <v>3</v>
      </c>
      <c r="H14" t="n">
        <v>0</v>
      </c>
      <c r="I14" t="n">
        <v>1</v>
      </c>
      <c r="J14" t="n">
        <v>1</v>
      </c>
      <c r="K14" t="n">
        <v>0</v>
      </c>
      <c r="L14" t="n">
        <v>0</v>
      </c>
      <c r="M14" t="n">
        <v>0</v>
      </c>
      <c r="N14" t="n">
        <v>0</v>
      </c>
      <c r="O14" t="n">
        <v>1</v>
      </c>
      <c r="P14" t="n">
        <v>0</v>
      </c>
      <c r="Q14" t="n">
        <v>2</v>
      </c>
      <c r="R14" s="2" t="inlineStr">
        <is>
          <t>Gullpudra
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34859-2025</t>
        </is>
      </c>
      <c r="B15" s="1" t="n">
        <v>45849</v>
      </c>
      <c r="C15" s="1" t="n">
        <v>46199</v>
      </c>
      <c r="D15" t="inlineStr">
        <is>
          <t>UPPSALA LÄN</t>
        </is>
      </c>
      <c r="E15" t="inlineStr">
        <is>
          <t>KNIVSTA</t>
        </is>
      </c>
      <c r="F15" t="inlineStr">
        <is>
          <t>Holmen skog AB</t>
        </is>
      </c>
      <c r="G15" t="n">
        <v>6.1</v>
      </c>
      <c r="H15" t="n">
        <v>0</v>
      </c>
      <c r="I15" t="n">
        <v>2</v>
      </c>
      <c r="J15" t="n">
        <v>0</v>
      </c>
      <c r="K15" t="n">
        <v>0</v>
      </c>
      <c r="L15" t="n">
        <v>0</v>
      </c>
      <c r="M15" t="n">
        <v>0</v>
      </c>
      <c r="N15" t="n">
        <v>0</v>
      </c>
      <c r="O15" t="n">
        <v>0</v>
      </c>
      <c r="P15" t="n">
        <v>0</v>
      </c>
      <c r="Q15" t="n">
        <v>2</v>
      </c>
      <c r="R15" s="2" t="inlineStr">
        <is>
          <t>Mörk husmossa
Rostfläck</t>
        </is>
      </c>
      <c r="S15">
        <f>HYPERLINK("https://klasma.github.io/Logging_0330/artfynd/A 34859-2025 artfynd.xlsx", "A 34859-2025")</f>
        <v/>
      </c>
      <c r="T15">
        <f>HYPERLINK("https://klasma.github.io/Logging_0330/kartor/A 34859-2025 karta.png", "A 34859-2025")</f>
        <v/>
      </c>
      <c r="V15">
        <f>HYPERLINK("https://klasma.github.io/Logging_0330/klagomål/A 34859-2025 FSC-klagomål.docx", "A 34859-2025")</f>
        <v/>
      </c>
      <c r="W15">
        <f>HYPERLINK("https://klasma.github.io/Logging_0330/klagomålsmail/A 34859-2025 FSC-klagomål mail.docx", "A 34859-2025")</f>
        <v/>
      </c>
      <c r="X15">
        <f>HYPERLINK("https://klasma.github.io/Logging_0330/tillsyn/A 34859-2025 tillsynsbegäran.docx", "A 34859-2025")</f>
        <v/>
      </c>
      <c r="Y15">
        <f>HYPERLINK("https://klasma.github.io/Logging_0330/tillsynsmail/A 34859-2025 tillsynsbegäran mail.docx", "A 34859-2025")</f>
        <v/>
      </c>
    </row>
    <row r="16" ht="15" customHeight="1">
      <c r="A16" t="inlineStr">
        <is>
          <t>A 13004-2026</t>
        </is>
      </c>
      <c r="B16" s="1" t="n">
        <v>46092</v>
      </c>
      <c r="C16" s="1" t="n">
        <v>46199</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46199</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5402-2023</t>
        </is>
      </c>
      <c r="B18" s="1" t="n">
        <v>44959</v>
      </c>
      <c r="C18" s="1" t="n">
        <v>46199</v>
      </c>
      <c r="D18" t="inlineStr">
        <is>
          <t>UPPSALA LÄN</t>
        </is>
      </c>
      <c r="E18" t="inlineStr">
        <is>
          <t>KNIVSTA</t>
        </is>
      </c>
      <c r="G18" t="n">
        <v>4.3</v>
      </c>
      <c r="H18" t="n">
        <v>0</v>
      </c>
      <c r="I18" t="n">
        <v>0</v>
      </c>
      <c r="J18" t="n">
        <v>0</v>
      </c>
      <c r="K18" t="n">
        <v>1</v>
      </c>
      <c r="L18" t="n">
        <v>0</v>
      </c>
      <c r="M18" t="n">
        <v>0</v>
      </c>
      <c r="N18" t="n">
        <v>0</v>
      </c>
      <c r="O18" t="n">
        <v>1</v>
      </c>
      <c r="P18" t="n">
        <v>1</v>
      </c>
      <c r="Q18" t="n">
        <v>1</v>
      </c>
      <c r="R18" s="2" t="inlineStr">
        <is>
          <t>Askfingersvamp</t>
        </is>
      </c>
      <c r="S18">
        <f>HYPERLINK("https://klasma.github.io/Logging_0330/artfynd/A 5402-2023 artfynd.xlsx", "A 5402-2023")</f>
        <v/>
      </c>
      <c r="T18">
        <f>HYPERLINK("https://klasma.github.io/Logging_0330/kartor/A 5402-2023 karta.png", "A 5402-2023")</f>
        <v/>
      </c>
      <c r="V18">
        <f>HYPERLINK("https://klasma.github.io/Logging_0330/klagomål/A 5402-2023 FSC-klagomål.docx", "A 5402-2023")</f>
        <v/>
      </c>
      <c r="W18">
        <f>HYPERLINK("https://klasma.github.io/Logging_0330/klagomålsmail/A 5402-2023 FSC-klagomål mail.docx", "A 5402-2023")</f>
        <v/>
      </c>
      <c r="X18">
        <f>HYPERLINK("https://klasma.github.io/Logging_0330/tillsyn/A 5402-2023 tillsynsbegäran.docx", "A 5402-2023")</f>
        <v/>
      </c>
      <c r="Y18">
        <f>HYPERLINK("https://klasma.github.io/Logging_0330/tillsynsmail/A 5402-2023 tillsynsbegäran mail.docx", "A 5402-2023")</f>
        <v/>
      </c>
    </row>
    <row r="19" ht="15" customHeight="1">
      <c r="A19" t="inlineStr">
        <is>
          <t>A 666-2026</t>
        </is>
      </c>
      <c r="B19" s="1" t="n">
        <v>46029</v>
      </c>
      <c r="C19" s="1" t="n">
        <v>46199</v>
      </c>
      <c r="D19" t="inlineStr">
        <is>
          <t>UPPSALA LÄN</t>
        </is>
      </c>
      <c r="E19" t="inlineStr">
        <is>
          <t>KNIVSTA</t>
        </is>
      </c>
      <c r="G19" t="n">
        <v>1.8</v>
      </c>
      <c r="H19" t="n">
        <v>1</v>
      </c>
      <c r="I19" t="n">
        <v>0</v>
      </c>
      <c r="J19" t="n">
        <v>0</v>
      </c>
      <c r="K19" t="n">
        <v>0</v>
      </c>
      <c r="L19" t="n">
        <v>0</v>
      </c>
      <c r="M19" t="n">
        <v>0</v>
      </c>
      <c r="N19" t="n">
        <v>0</v>
      </c>
      <c r="O19" t="n">
        <v>0</v>
      </c>
      <c r="P19" t="n">
        <v>0</v>
      </c>
      <c r="Q19" t="n">
        <v>1</v>
      </c>
      <c r="R19" s="2" t="inlineStr">
        <is>
          <t>Havsörn</t>
        </is>
      </c>
      <c r="S19">
        <f>HYPERLINK("https://klasma.github.io/Logging_0330/artfynd/A 666-2026 artfynd.xlsx", "A 666-2026")</f>
        <v/>
      </c>
      <c r="T19">
        <f>HYPERLINK("https://klasma.github.io/Logging_0330/kartor/A 666-2026 karta.png", "A 666-2026")</f>
        <v/>
      </c>
      <c r="V19">
        <f>HYPERLINK("https://klasma.github.io/Logging_0330/klagomål/A 666-2026 FSC-klagomål.docx", "A 666-2026")</f>
        <v/>
      </c>
      <c r="W19">
        <f>HYPERLINK("https://klasma.github.io/Logging_0330/klagomålsmail/A 666-2026 FSC-klagomål mail.docx", "A 666-2026")</f>
        <v/>
      </c>
      <c r="X19">
        <f>HYPERLINK("https://klasma.github.io/Logging_0330/tillsyn/A 666-2026 tillsynsbegäran.docx", "A 666-2026")</f>
        <v/>
      </c>
      <c r="Y19">
        <f>HYPERLINK("https://klasma.github.io/Logging_0330/tillsynsmail/A 666-2026 tillsynsbegäran mail.docx", "A 666-2026")</f>
        <v/>
      </c>
      <c r="Z19">
        <f>HYPERLINK("https://klasma.github.io/Logging_0330/fåglar/A 666-2026 prioriterade fågelarter.docx", "A 666-2026")</f>
        <v/>
      </c>
    </row>
    <row r="20" ht="15" customHeight="1">
      <c r="A20" t="inlineStr">
        <is>
          <t>A 3836-2026</t>
        </is>
      </c>
      <c r="B20" s="1" t="n">
        <v>46043</v>
      </c>
      <c r="C20" s="1" t="n">
        <v>46199</v>
      </c>
      <c r="D20" t="inlineStr">
        <is>
          <t>UPPSALA LÄN</t>
        </is>
      </c>
      <c r="E20" t="inlineStr">
        <is>
          <t>KNIVSTA</t>
        </is>
      </c>
      <c r="G20" t="n">
        <v>3.7</v>
      </c>
      <c r="H20" t="n">
        <v>1</v>
      </c>
      <c r="I20" t="n">
        <v>0</v>
      </c>
      <c r="J20" t="n">
        <v>0</v>
      </c>
      <c r="K20" t="n">
        <v>0</v>
      </c>
      <c r="L20" t="n">
        <v>0</v>
      </c>
      <c r="M20" t="n">
        <v>0</v>
      </c>
      <c r="N20" t="n">
        <v>0</v>
      </c>
      <c r="O20" t="n">
        <v>0</v>
      </c>
      <c r="P20" t="n">
        <v>0</v>
      </c>
      <c r="Q20" t="n">
        <v>1</v>
      </c>
      <c r="R20" s="2" t="inlineStr">
        <is>
          <t>Spillkråka</t>
        </is>
      </c>
      <c r="S20">
        <f>HYPERLINK("https://klasma.github.io/Logging_0330/artfynd/A 3836-2026 artfynd.xlsx", "A 3836-2026")</f>
        <v/>
      </c>
      <c r="T20">
        <f>HYPERLINK("https://klasma.github.io/Logging_0330/kartor/A 3836-2026 karta.png", "A 3836-2026")</f>
        <v/>
      </c>
      <c r="V20">
        <f>HYPERLINK("https://klasma.github.io/Logging_0330/klagomål/A 3836-2026 FSC-klagomål.docx", "A 3836-2026")</f>
        <v/>
      </c>
      <c r="W20">
        <f>HYPERLINK("https://klasma.github.io/Logging_0330/klagomålsmail/A 3836-2026 FSC-klagomål mail.docx", "A 3836-2026")</f>
        <v/>
      </c>
      <c r="X20">
        <f>HYPERLINK("https://klasma.github.io/Logging_0330/tillsyn/A 3836-2026 tillsynsbegäran.docx", "A 3836-2026")</f>
        <v/>
      </c>
      <c r="Y20">
        <f>HYPERLINK("https://klasma.github.io/Logging_0330/tillsynsmail/A 3836-2026 tillsynsbegäran mail.docx", "A 3836-2026")</f>
        <v/>
      </c>
      <c r="Z20">
        <f>HYPERLINK("https://klasma.github.io/Logging_0330/fåglar/A 3836-2026 prioriterade fågelarter.docx", "A 3836-2026")</f>
        <v/>
      </c>
    </row>
    <row r="21" ht="15" customHeight="1">
      <c r="A21" t="inlineStr">
        <is>
          <t>A 9561-2026</t>
        </is>
      </c>
      <c r="B21" s="1" t="n">
        <v>46071</v>
      </c>
      <c r="C21" s="1" t="n">
        <v>46199</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12991-2026</t>
        </is>
      </c>
      <c r="B22" s="1" t="n">
        <v>46092</v>
      </c>
      <c r="C22" s="1" t="n">
        <v>46199</v>
      </c>
      <c r="D22" t="inlineStr">
        <is>
          <t>UPPSALA LÄN</t>
        </is>
      </c>
      <c r="E22" t="inlineStr">
        <is>
          <t>KNIVSTA</t>
        </is>
      </c>
      <c r="F22" t="inlineStr">
        <is>
          <t>Holmen skog AB</t>
        </is>
      </c>
      <c r="G22" t="n">
        <v>4.6</v>
      </c>
      <c r="H22" t="n">
        <v>1</v>
      </c>
      <c r="I22" t="n">
        <v>0</v>
      </c>
      <c r="J22" t="n">
        <v>0</v>
      </c>
      <c r="K22" t="n">
        <v>0</v>
      </c>
      <c r="L22" t="n">
        <v>0</v>
      </c>
      <c r="M22" t="n">
        <v>0</v>
      </c>
      <c r="N22" t="n">
        <v>0</v>
      </c>
      <c r="O22" t="n">
        <v>0</v>
      </c>
      <c r="P22" t="n">
        <v>0</v>
      </c>
      <c r="Q22" t="n">
        <v>1</v>
      </c>
      <c r="R22" s="2" t="inlineStr">
        <is>
          <t>Tjäder</t>
        </is>
      </c>
      <c r="S22">
        <f>HYPERLINK("https://klasma.github.io/Logging_0330/artfynd/A 12991-2026 artfynd.xlsx", "A 12991-2026")</f>
        <v/>
      </c>
      <c r="T22">
        <f>HYPERLINK("https://klasma.github.io/Logging_0330/kartor/A 12991-2026 karta.png", "A 12991-2026")</f>
        <v/>
      </c>
      <c r="V22">
        <f>HYPERLINK("https://klasma.github.io/Logging_0330/klagomål/A 12991-2026 FSC-klagomål.docx", "A 12991-2026")</f>
        <v/>
      </c>
      <c r="W22">
        <f>HYPERLINK("https://klasma.github.io/Logging_0330/klagomålsmail/A 12991-2026 FSC-klagomål mail.docx", "A 12991-2026")</f>
        <v/>
      </c>
      <c r="X22">
        <f>HYPERLINK("https://klasma.github.io/Logging_0330/tillsyn/A 12991-2026 tillsynsbegäran.docx", "A 12991-2026")</f>
        <v/>
      </c>
      <c r="Y22">
        <f>HYPERLINK("https://klasma.github.io/Logging_0330/tillsynsmail/A 12991-2026 tillsynsbegäran mail.docx", "A 12991-2026")</f>
        <v/>
      </c>
      <c r="Z22">
        <f>HYPERLINK("https://klasma.github.io/Logging_0330/fåglar/A 12991-2026 prioriterade fågelarter.docx", "A 12991-2026")</f>
        <v/>
      </c>
    </row>
    <row r="23" ht="15" customHeight="1">
      <c r="A23" t="inlineStr">
        <is>
          <t>A 13002-2026</t>
        </is>
      </c>
      <c r="B23" s="1" t="n">
        <v>46092</v>
      </c>
      <c r="C23" s="1" t="n">
        <v>46199</v>
      </c>
      <c r="D23" t="inlineStr">
        <is>
          <t>UPPSALA LÄN</t>
        </is>
      </c>
      <c r="E23" t="inlineStr">
        <is>
          <t>KNIVSTA</t>
        </is>
      </c>
      <c r="F23" t="inlineStr">
        <is>
          <t>Holmen skog AB</t>
        </is>
      </c>
      <c r="G23" t="n">
        <v>0.7</v>
      </c>
      <c r="H23" t="n">
        <v>1</v>
      </c>
      <c r="I23" t="n">
        <v>0</v>
      </c>
      <c r="J23" t="n">
        <v>0</v>
      </c>
      <c r="K23" t="n">
        <v>1</v>
      </c>
      <c r="L23" t="n">
        <v>0</v>
      </c>
      <c r="M23" t="n">
        <v>0</v>
      </c>
      <c r="N23" t="n">
        <v>0</v>
      </c>
      <c r="O23" t="n">
        <v>1</v>
      </c>
      <c r="P23" t="n">
        <v>1</v>
      </c>
      <c r="Q23" t="n">
        <v>1</v>
      </c>
      <c r="R23" s="2" t="inlineStr">
        <is>
          <t>Knärot</t>
        </is>
      </c>
      <c r="S23">
        <f>HYPERLINK("https://klasma.github.io/Logging_0330/artfynd/A 13002-2026 artfynd.xlsx", "A 13002-2026")</f>
        <v/>
      </c>
      <c r="T23">
        <f>HYPERLINK("https://klasma.github.io/Logging_0330/kartor/A 13002-2026 karta.png", "A 13002-2026")</f>
        <v/>
      </c>
      <c r="U23">
        <f>HYPERLINK("https://klasma.github.io/Logging_0330/knärot/A 13002-2026 karta knärot.png", "A 13002-2026")</f>
        <v/>
      </c>
      <c r="V23">
        <f>HYPERLINK("https://klasma.github.io/Logging_0330/klagomål/A 13002-2026 FSC-klagomål.docx", "A 13002-2026")</f>
        <v/>
      </c>
      <c r="W23">
        <f>HYPERLINK("https://klasma.github.io/Logging_0330/klagomålsmail/A 13002-2026 FSC-klagomål mail.docx", "A 13002-2026")</f>
        <v/>
      </c>
      <c r="X23">
        <f>HYPERLINK("https://klasma.github.io/Logging_0330/tillsyn/A 13002-2026 tillsynsbegäran.docx", "A 13002-2026")</f>
        <v/>
      </c>
      <c r="Y23">
        <f>HYPERLINK("https://klasma.github.io/Logging_0330/tillsynsmail/A 13002-2026 tillsynsbegäran mail.docx", "A 13002-2026")</f>
        <v/>
      </c>
    </row>
    <row r="24" ht="15" customHeight="1">
      <c r="A24" t="inlineStr">
        <is>
          <t>A 13380-2026</t>
        </is>
      </c>
      <c r="B24" s="1" t="n">
        <v>46094</v>
      </c>
      <c r="C24" s="1" t="n">
        <v>46199</v>
      </c>
      <c r="D24" t="inlineStr">
        <is>
          <t>UPPSALA LÄN</t>
        </is>
      </c>
      <c r="E24" t="inlineStr">
        <is>
          <t>KNIVSTA</t>
        </is>
      </c>
      <c r="G24" t="n">
        <v>1.7</v>
      </c>
      <c r="H24" t="n">
        <v>1</v>
      </c>
      <c r="I24" t="n">
        <v>0</v>
      </c>
      <c r="J24" t="n">
        <v>0</v>
      </c>
      <c r="K24" t="n">
        <v>0</v>
      </c>
      <c r="L24" t="n">
        <v>0</v>
      </c>
      <c r="M24" t="n">
        <v>0</v>
      </c>
      <c r="N24" t="n">
        <v>0</v>
      </c>
      <c r="O24" t="n">
        <v>0</v>
      </c>
      <c r="P24" t="n">
        <v>0</v>
      </c>
      <c r="Q24" t="n">
        <v>1</v>
      </c>
      <c r="R24" s="2" t="inlineStr">
        <is>
          <t>Spillkråka</t>
        </is>
      </c>
      <c r="S24">
        <f>HYPERLINK("https://klasma.github.io/Logging_0330/artfynd/A 13380-2026 artfynd.xlsx", "A 13380-2026")</f>
        <v/>
      </c>
      <c r="T24">
        <f>HYPERLINK("https://klasma.github.io/Logging_0330/kartor/A 13380-2026 karta.png", "A 13380-2026")</f>
        <v/>
      </c>
      <c r="V24">
        <f>HYPERLINK("https://klasma.github.io/Logging_0330/klagomål/A 13380-2026 FSC-klagomål.docx", "A 13380-2026")</f>
        <v/>
      </c>
      <c r="W24">
        <f>HYPERLINK("https://klasma.github.io/Logging_0330/klagomålsmail/A 13380-2026 FSC-klagomål mail.docx", "A 13380-2026")</f>
        <v/>
      </c>
      <c r="X24">
        <f>HYPERLINK("https://klasma.github.io/Logging_0330/tillsyn/A 13380-2026 tillsynsbegäran.docx", "A 13380-2026")</f>
        <v/>
      </c>
      <c r="Y24">
        <f>HYPERLINK("https://klasma.github.io/Logging_0330/tillsynsmail/A 13380-2026 tillsynsbegäran mail.docx", "A 13380-2026")</f>
        <v/>
      </c>
      <c r="Z24">
        <f>HYPERLINK("https://klasma.github.io/Logging_0330/fåglar/A 13380-2026 prioriterade fågelarter.docx", "A 13380-2026")</f>
        <v/>
      </c>
    </row>
    <row r="25" ht="15" customHeight="1">
      <c r="A25" t="inlineStr">
        <is>
          <t>A 11405-2025</t>
        </is>
      </c>
      <c r="B25" s="1" t="n">
        <v>45726</v>
      </c>
      <c r="C25" s="1" t="n">
        <v>46199</v>
      </c>
      <c r="D25" t="inlineStr">
        <is>
          <t>UPPSALA LÄN</t>
        </is>
      </c>
      <c r="E25" t="inlineStr">
        <is>
          <t>KNIVSTA</t>
        </is>
      </c>
      <c r="G25" t="n">
        <v>1.6</v>
      </c>
      <c r="H25" t="n">
        <v>0</v>
      </c>
      <c r="I25" t="n">
        <v>0</v>
      </c>
      <c r="J25" t="n">
        <v>0</v>
      </c>
      <c r="K25" t="n">
        <v>1</v>
      </c>
      <c r="L25" t="n">
        <v>0</v>
      </c>
      <c r="M25" t="n">
        <v>0</v>
      </c>
      <c r="N25" t="n">
        <v>0</v>
      </c>
      <c r="O25" t="n">
        <v>1</v>
      </c>
      <c r="P25" t="n">
        <v>1</v>
      </c>
      <c r="Q25" t="n">
        <v>1</v>
      </c>
      <c r="R25" s="2" t="inlineStr">
        <is>
          <t>Fältgentiana</t>
        </is>
      </c>
      <c r="S25">
        <f>HYPERLINK("https://klasma.github.io/Logging_0330/artfynd/A 11405-2025 artfynd.xlsx", "A 11405-2025")</f>
        <v/>
      </c>
      <c r="T25">
        <f>HYPERLINK("https://klasma.github.io/Logging_0330/kartor/A 11405-2025 karta.png", "A 11405-2025")</f>
        <v/>
      </c>
      <c r="V25">
        <f>HYPERLINK("https://klasma.github.io/Logging_0330/klagomål/A 11405-2025 FSC-klagomål.docx", "A 11405-2025")</f>
        <v/>
      </c>
      <c r="W25">
        <f>HYPERLINK("https://klasma.github.io/Logging_0330/klagomålsmail/A 11405-2025 FSC-klagomål mail.docx", "A 11405-2025")</f>
        <v/>
      </c>
      <c r="X25">
        <f>HYPERLINK("https://klasma.github.io/Logging_0330/tillsyn/A 11405-2025 tillsynsbegäran.docx", "A 11405-2025")</f>
        <v/>
      </c>
      <c r="Y25">
        <f>HYPERLINK("https://klasma.github.io/Logging_0330/tillsynsmail/A 11405-2025 tillsynsbegäran mail.docx", "A 11405-2025")</f>
        <v/>
      </c>
    </row>
    <row r="26" ht="15" customHeight="1">
      <c r="A26" t="inlineStr">
        <is>
          <t>A 33770-2023</t>
        </is>
      </c>
      <c r="B26" s="1" t="n">
        <v>45133</v>
      </c>
      <c r="C26" s="1" t="n">
        <v>46199</v>
      </c>
      <c r="D26" t="inlineStr">
        <is>
          <t>UPPSALA LÄN</t>
        </is>
      </c>
      <c r="E26" t="inlineStr">
        <is>
          <t>KNIVSTA</t>
        </is>
      </c>
      <c r="F26" t="inlineStr">
        <is>
          <t>Holmen skog AB</t>
        </is>
      </c>
      <c r="G26" t="n">
        <v>4</v>
      </c>
      <c r="H26" t="n">
        <v>1</v>
      </c>
      <c r="I26" t="n">
        <v>0</v>
      </c>
      <c r="J26" t="n">
        <v>0</v>
      </c>
      <c r="K26" t="n">
        <v>0</v>
      </c>
      <c r="L26" t="n">
        <v>0</v>
      </c>
      <c r="M26" t="n">
        <v>0</v>
      </c>
      <c r="N26" t="n">
        <v>0</v>
      </c>
      <c r="O26" t="n">
        <v>0</v>
      </c>
      <c r="P26" t="n">
        <v>0</v>
      </c>
      <c r="Q26" t="n">
        <v>1</v>
      </c>
      <c r="R26" s="2" t="inlineStr">
        <is>
          <t>Slaguggla</t>
        </is>
      </c>
      <c r="S26">
        <f>HYPERLINK("https://klasma.github.io/Logging_0330/artfynd/A 33770-2023 artfynd.xlsx", "A 33770-2023")</f>
        <v/>
      </c>
      <c r="T26">
        <f>HYPERLINK("https://klasma.github.io/Logging_0330/kartor/A 33770-2023 karta.png", "A 33770-2023")</f>
        <v/>
      </c>
      <c r="V26">
        <f>HYPERLINK("https://klasma.github.io/Logging_0330/klagomål/A 33770-2023 FSC-klagomål.docx", "A 33770-2023")</f>
        <v/>
      </c>
      <c r="W26">
        <f>HYPERLINK("https://klasma.github.io/Logging_0330/klagomålsmail/A 33770-2023 FSC-klagomål mail.docx", "A 33770-2023")</f>
        <v/>
      </c>
      <c r="X26">
        <f>HYPERLINK("https://klasma.github.io/Logging_0330/tillsyn/A 33770-2023 tillsynsbegäran.docx", "A 33770-2023")</f>
        <v/>
      </c>
      <c r="Y26">
        <f>HYPERLINK("https://klasma.github.io/Logging_0330/tillsynsmail/A 33770-2023 tillsynsbegäran mail.docx", "A 33770-2023")</f>
        <v/>
      </c>
      <c r="Z26">
        <f>HYPERLINK("https://klasma.github.io/Logging_0330/fåglar/A 33770-2023 prioriterade fågelarter.docx", "A 33770-2023")</f>
        <v/>
      </c>
    </row>
    <row r="27" ht="15" customHeight="1">
      <c r="A27" t="inlineStr">
        <is>
          <t>A 60885-2021</t>
        </is>
      </c>
      <c r="B27" s="1" t="n">
        <v>44497</v>
      </c>
      <c r="C27" s="1" t="n">
        <v>46199</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46199</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46199</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46199</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46199</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46199</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46199</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46199</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46199</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46199</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46199</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46199</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46199</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46199</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46199</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46199</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46199</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46199</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46199</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794-2024</t>
        </is>
      </c>
      <c r="B46" s="1" t="n">
        <v>45300</v>
      </c>
      <c r="C46" s="1" t="n">
        <v>46199</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20902-2024</t>
        </is>
      </c>
      <c r="B47" s="1" t="n">
        <v>45439</v>
      </c>
      <c r="C47" s="1" t="n">
        <v>46199</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45453-2025</t>
        </is>
      </c>
      <c r="B48" s="1" t="n">
        <v>45922</v>
      </c>
      <c r="C48" s="1" t="n">
        <v>46199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60243-2025</t>
        </is>
      </c>
      <c r="B49" s="1" t="n">
        <v>45994</v>
      </c>
      <c r="C49" s="1" t="n">
        <v>46199</v>
      </c>
      <c r="D49" t="inlineStr">
        <is>
          <t>UPPSALA LÄN</t>
        </is>
      </c>
      <c r="E49" t="inlineStr">
        <is>
          <t>KNIVSTA</t>
        </is>
      </c>
      <c r="F49" t="inlineStr">
        <is>
          <t>Holmen skog AB</t>
        </is>
      </c>
      <c r="G49" t="n">
        <v>2.4</v>
      </c>
      <c r="H49" t="n">
        <v>0</v>
      </c>
      <c r="I49" t="n">
        <v>0</v>
      </c>
      <c r="J49" t="n">
        <v>0</v>
      </c>
      <c r="K49" t="n">
        <v>0</v>
      </c>
      <c r="L49" t="n">
        <v>0</v>
      </c>
      <c r="M49" t="n">
        <v>0</v>
      </c>
      <c r="N49" t="n">
        <v>0</v>
      </c>
      <c r="O49" t="n">
        <v>0</v>
      </c>
      <c r="P49" t="n">
        <v>0</v>
      </c>
      <c r="Q49" t="n">
        <v>0</v>
      </c>
      <c r="R49" s="2" t="inlineStr"/>
    </row>
    <row r="50" ht="15" customHeight="1">
      <c r="A50" t="inlineStr">
        <is>
          <t>A 47803-2025</t>
        </is>
      </c>
      <c r="B50" s="1" t="n">
        <v>45931</v>
      </c>
      <c r="C50" s="1" t="n">
        <v>46199</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49090-2025</t>
        </is>
      </c>
      <c r="B51" s="1" t="n">
        <v>45937</v>
      </c>
      <c r="C51" s="1" t="n">
        <v>46199</v>
      </c>
      <c r="D51" t="inlineStr">
        <is>
          <t>UPPSALA LÄN</t>
        </is>
      </c>
      <c r="E51" t="inlineStr">
        <is>
          <t>KNIVSTA</t>
        </is>
      </c>
      <c r="G51" t="n">
        <v>4.1</v>
      </c>
      <c r="H51" t="n">
        <v>0</v>
      </c>
      <c r="I51" t="n">
        <v>0</v>
      </c>
      <c r="J51" t="n">
        <v>0</v>
      </c>
      <c r="K51" t="n">
        <v>0</v>
      </c>
      <c r="L51" t="n">
        <v>0</v>
      </c>
      <c r="M51" t="n">
        <v>0</v>
      </c>
      <c r="N51" t="n">
        <v>0</v>
      </c>
      <c r="O51" t="n">
        <v>0</v>
      </c>
      <c r="P51" t="n">
        <v>0</v>
      </c>
      <c r="Q51" t="n">
        <v>0</v>
      </c>
      <c r="R51" s="2" t="inlineStr"/>
    </row>
    <row r="52" ht="15" customHeight="1">
      <c r="A52" t="inlineStr">
        <is>
          <t>A 33976-2025</t>
        </is>
      </c>
      <c r="B52" s="1" t="n">
        <v>45843</v>
      </c>
      <c r="C52" s="1" t="n">
        <v>46199</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34864-2025</t>
        </is>
      </c>
      <c r="B53" s="1" t="n">
        <v>45849</v>
      </c>
      <c r="C53" s="1" t="n">
        <v>46199</v>
      </c>
      <c r="D53" t="inlineStr">
        <is>
          <t>UPPSALA LÄN</t>
        </is>
      </c>
      <c r="E53" t="inlineStr">
        <is>
          <t>KNIVSTA</t>
        </is>
      </c>
      <c r="F53" t="inlineStr">
        <is>
          <t>Holmen skog AB</t>
        </is>
      </c>
      <c r="G53" t="n">
        <v>1.3</v>
      </c>
      <c r="H53" t="n">
        <v>0</v>
      </c>
      <c r="I53" t="n">
        <v>0</v>
      </c>
      <c r="J53" t="n">
        <v>0</v>
      </c>
      <c r="K53" t="n">
        <v>0</v>
      </c>
      <c r="L53" t="n">
        <v>0</v>
      </c>
      <c r="M53" t="n">
        <v>0</v>
      </c>
      <c r="N53" t="n">
        <v>0</v>
      </c>
      <c r="O53" t="n">
        <v>0</v>
      </c>
      <c r="P53" t="n">
        <v>0</v>
      </c>
      <c r="Q53" t="n">
        <v>0</v>
      </c>
      <c r="R53" s="2" t="inlineStr"/>
    </row>
    <row r="54" ht="15" customHeight="1">
      <c r="A54" t="inlineStr">
        <is>
          <t>A 35318-2025</t>
        </is>
      </c>
      <c r="B54" s="1" t="n">
        <v>45854</v>
      </c>
      <c r="C54" s="1" t="n">
        <v>46199</v>
      </c>
      <c r="D54" t="inlineStr">
        <is>
          <t>UPPSALA LÄN</t>
        </is>
      </c>
      <c r="E54" t="inlineStr">
        <is>
          <t>KNIVSTA</t>
        </is>
      </c>
      <c r="F54" t="inlineStr">
        <is>
          <t>Holmen skog AB</t>
        </is>
      </c>
      <c r="G54" t="n">
        <v>2.2</v>
      </c>
      <c r="H54" t="n">
        <v>0</v>
      </c>
      <c r="I54" t="n">
        <v>0</v>
      </c>
      <c r="J54" t="n">
        <v>0</v>
      </c>
      <c r="K54" t="n">
        <v>0</v>
      </c>
      <c r="L54" t="n">
        <v>0</v>
      </c>
      <c r="M54" t="n">
        <v>0</v>
      </c>
      <c r="N54" t="n">
        <v>0</v>
      </c>
      <c r="O54" t="n">
        <v>0</v>
      </c>
      <c r="P54" t="n">
        <v>0</v>
      </c>
      <c r="Q54" t="n">
        <v>0</v>
      </c>
      <c r="R54" s="2" t="inlineStr"/>
    </row>
    <row r="55" ht="15" customHeight="1">
      <c r="A55" t="inlineStr">
        <is>
          <t>A 11841-2023</t>
        </is>
      </c>
      <c r="B55" s="1" t="n">
        <v>44995</v>
      </c>
      <c r="C55" s="1" t="n">
        <v>46199</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662-2026</t>
        </is>
      </c>
      <c r="B56" s="1" t="n">
        <v>46029</v>
      </c>
      <c r="C56" s="1" t="n">
        <v>46199</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36473-2025</t>
        </is>
      </c>
      <c r="B57" s="1" t="n">
        <v>45869</v>
      </c>
      <c r="C57" s="1" t="n">
        <v>46199</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5276-2026</t>
        </is>
      </c>
      <c r="B58" s="1" t="n">
        <v>46037</v>
      </c>
      <c r="C58" s="1" t="n">
        <v>46199</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3375-2026</t>
        </is>
      </c>
      <c r="B59" s="1" t="n">
        <v>46042</v>
      </c>
      <c r="C59" s="1" t="n">
        <v>46199</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30351-2022</t>
        </is>
      </c>
      <c r="B60" s="1" t="n">
        <v>44757</v>
      </c>
      <c r="C60" s="1" t="n">
        <v>46199</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11847-2023</t>
        </is>
      </c>
      <c r="B61" s="1" t="n">
        <v>44995</v>
      </c>
      <c r="C61" s="1" t="n">
        <v>46199</v>
      </c>
      <c r="D61" t="inlineStr">
        <is>
          <t>UPPSALA LÄN</t>
        </is>
      </c>
      <c r="E61" t="inlineStr">
        <is>
          <t>KNIVSTA</t>
        </is>
      </c>
      <c r="G61" t="n">
        <v>2.1</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46199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3824-2026</t>
        </is>
      </c>
      <c r="B63" s="1" t="n">
        <v>46043</v>
      </c>
      <c r="C63" s="1" t="n">
        <v>46199</v>
      </c>
      <c r="D63" t="inlineStr">
        <is>
          <t>UPPSALA LÄN</t>
        </is>
      </c>
      <c r="E63" t="inlineStr">
        <is>
          <t>KNIVSTA</t>
        </is>
      </c>
      <c r="G63" t="n">
        <v>1.9</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46199</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5908-2026</t>
        </is>
      </c>
      <c r="B65" s="1" t="n">
        <v>46052</v>
      </c>
      <c r="C65" s="1" t="n">
        <v>46199</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5910-2026</t>
        </is>
      </c>
      <c r="B66" s="1" t="n">
        <v>46052</v>
      </c>
      <c r="C66" s="1" t="n">
        <v>46199</v>
      </c>
      <c r="D66" t="inlineStr">
        <is>
          <t>UPPSALA LÄN</t>
        </is>
      </c>
      <c r="E66" t="inlineStr">
        <is>
          <t>KNIVSTA</t>
        </is>
      </c>
      <c r="G66" t="n">
        <v>0.6</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46199</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9744-2026</t>
        </is>
      </c>
      <c r="B68" s="1" t="n">
        <v>46072</v>
      </c>
      <c r="C68" s="1" t="n">
        <v>46199</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12027-2026</t>
        </is>
      </c>
      <c r="B69" s="1" t="n">
        <v>46085</v>
      </c>
      <c r="C69" s="1" t="n">
        <v>46199</v>
      </c>
      <c r="D69" t="inlineStr">
        <is>
          <t>UPPSALA LÄN</t>
        </is>
      </c>
      <c r="E69" t="inlineStr">
        <is>
          <t>KNIVSTA</t>
        </is>
      </c>
      <c r="G69" t="n">
        <v>0.6</v>
      </c>
      <c r="H69" t="n">
        <v>0</v>
      </c>
      <c r="I69" t="n">
        <v>0</v>
      </c>
      <c r="J69" t="n">
        <v>0</v>
      </c>
      <c r="K69" t="n">
        <v>0</v>
      </c>
      <c r="L69" t="n">
        <v>0</v>
      </c>
      <c r="M69" t="n">
        <v>0</v>
      </c>
      <c r="N69" t="n">
        <v>0</v>
      </c>
      <c r="O69" t="n">
        <v>0</v>
      </c>
      <c r="P69" t="n">
        <v>0</v>
      </c>
      <c r="Q69" t="n">
        <v>0</v>
      </c>
      <c r="R69" s="2" t="inlineStr"/>
    </row>
    <row r="70" ht="15" customHeight="1">
      <c r="A70" t="inlineStr">
        <is>
          <t>A 12774-2026</t>
        </is>
      </c>
      <c r="B70" s="1" t="n">
        <v>46091</v>
      </c>
      <c r="C70" s="1" t="n">
        <v>46199</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13013-2026</t>
        </is>
      </c>
      <c r="B71" s="1" t="n">
        <v>46092</v>
      </c>
      <c r="C71" s="1" t="n">
        <v>46199</v>
      </c>
      <c r="D71" t="inlineStr">
        <is>
          <t>UPPSALA LÄN</t>
        </is>
      </c>
      <c r="E71" t="inlineStr">
        <is>
          <t>KNIVSTA</t>
        </is>
      </c>
      <c r="F71" t="inlineStr">
        <is>
          <t>Holmen skog AB</t>
        </is>
      </c>
      <c r="G71" t="n">
        <v>4.6</v>
      </c>
      <c r="H71" t="n">
        <v>0</v>
      </c>
      <c r="I71" t="n">
        <v>0</v>
      </c>
      <c r="J71" t="n">
        <v>0</v>
      </c>
      <c r="K71" t="n">
        <v>0</v>
      </c>
      <c r="L71" t="n">
        <v>0</v>
      </c>
      <c r="M71" t="n">
        <v>0</v>
      </c>
      <c r="N71" t="n">
        <v>0</v>
      </c>
      <c r="O71" t="n">
        <v>0</v>
      </c>
      <c r="P71" t="n">
        <v>0</v>
      </c>
      <c r="Q71" t="n">
        <v>0</v>
      </c>
      <c r="R71" s="2" t="inlineStr"/>
    </row>
    <row r="72" ht="15" customHeight="1">
      <c r="A72" t="inlineStr">
        <is>
          <t>A 13011-2026</t>
        </is>
      </c>
      <c r="B72" s="1" t="n">
        <v>46092</v>
      </c>
      <c r="C72" s="1" t="n">
        <v>46199</v>
      </c>
      <c r="D72" t="inlineStr">
        <is>
          <t>UPPSALA LÄN</t>
        </is>
      </c>
      <c r="E72" t="inlineStr">
        <is>
          <t>KNIVSTA</t>
        </is>
      </c>
      <c r="F72" t="inlineStr">
        <is>
          <t>Holmen skog AB</t>
        </is>
      </c>
      <c r="G72" t="n">
        <v>1.9</v>
      </c>
      <c r="H72" t="n">
        <v>0</v>
      </c>
      <c r="I72" t="n">
        <v>0</v>
      </c>
      <c r="J72" t="n">
        <v>0</v>
      </c>
      <c r="K72" t="n">
        <v>0</v>
      </c>
      <c r="L72" t="n">
        <v>0</v>
      </c>
      <c r="M72" t="n">
        <v>0</v>
      </c>
      <c r="N72" t="n">
        <v>0</v>
      </c>
      <c r="O72" t="n">
        <v>0</v>
      </c>
      <c r="P72" t="n">
        <v>0</v>
      </c>
      <c r="Q72" t="n">
        <v>0</v>
      </c>
      <c r="R72" s="2" t="inlineStr"/>
      <c r="U72">
        <f>HYPERLINK("https://klasma.github.io/Logging_0330/knärot/A 13011-2026 karta knärot.png", "A 13011-2026")</f>
        <v/>
      </c>
      <c r="V72">
        <f>HYPERLINK("https://klasma.github.io/Logging_0330/klagomål/A 13011-2026 FSC-klagomål.docx", "A 13011-2026")</f>
        <v/>
      </c>
      <c r="W72">
        <f>HYPERLINK("https://klasma.github.io/Logging_0330/klagomålsmail/A 13011-2026 FSC-klagomål mail.docx", "A 13011-2026")</f>
        <v/>
      </c>
      <c r="X72">
        <f>HYPERLINK("https://klasma.github.io/Logging_0330/tillsyn/A 13011-2026 tillsynsbegäran.docx", "A 13011-2026")</f>
        <v/>
      </c>
      <c r="Y72">
        <f>HYPERLINK("https://klasma.github.io/Logging_0330/tillsynsmail/A 13011-2026 tillsynsbegäran mail.docx", "A 13011-2026")</f>
        <v/>
      </c>
    </row>
    <row r="73" ht="15" customHeight="1">
      <c r="A73" t="inlineStr">
        <is>
          <t>A 13016-2026</t>
        </is>
      </c>
      <c r="B73" s="1" t="n">
        <v>46092</v>
      </c>
      <c r="C73" s="1" t="n">
        <v>46199</v>
      </c>
      <c r="D73" t="inlineStr">
        <is>
          <t>UPPSALA LÄN</t>
        </is>
      </c>
      <c r="E73" t="inlineStr">
        <is>
          <t>KNIVSTA</t>
        </is>
      </c>
      <c r="F73" t="inlineStr">
        <is>
          <t>Holmen skog AB</t>
        </is>
      </c>
      <c r="G73" t="n">
        <v>1.5</v>
      </c>
      <c r="H73" t="n">
        <v>0</v>
      </c>
      <c r="I73" t="n">
        <v>0</v>
      </c>
      <c r="J73" t="n">
        <v>0</v>
      </c>
      <c r="K73" t="n">
        <v>0</v>
      </c>
      <c r="L73" t="n">
        <v>0</v>
      </c>
      <c r="M73" t="n">
        <v>0</v>
      </c>
      <c r="N73" t="n">
        <v>0</v>
      </c>
      <c r="O73" t="n">
        <v>0</v>
      </c>
      <c r="P73" t="n">
        <v>0</v>
      </c>
      <c r="Q73" t="n">
        <v>0</v>
      </c>
      <c r="R73" s="2" t="inlineStr"/>
    </row>
    <row r="74" ht="15" customHeight="1">
      <c r="A74" t="inlineStr">
        <is>
          <t>A 13001-2026</t>
        </is>
      </c>
      <c r="B74" s="1" t="n">
        <v>46092</v>
      </c>
      <c r="C74" s="1" t="n">
        <v>46199</v>
      </c>
      <c r="D74" t="inlineStr">
        <is>
          <t>UPPSALA LÄN</t>
        </is>
      </c>
      <c r="E74" t="inlineStr">
        <is>
          <t>KNIVSTA</t>
        </is>
      </c>
      <c r="F74" t="inlineStr">
        <is>
          <t>Holmen skog AB</t>
        </is>
      </c>
      <c r="G74" t="n">
        <v>2.9</v>
      </c>
      <c r="H74" t="n">
        <v>0</v>
      </c>
      <c r="I74" t="n">
        <v>0</v>
      </c>
      <c r="J74" t="n">
        <v>0</v>
      </c>
      <c r="K74" t="n">
        <v>0</v>
      </c>
      <c r="L74" t="n">
        <v>0</v>
      </c>
      <c r="M74" t="n">
        <v>0</v>
      </c>
      <c r="N74" t="n">
        <v>0</v>
      </c>
      <c r="O74" t="n">
        <v>0</v>
      </c>
      <c r="P74" t="n">
        <v>0</v>
      </c>
      <c r="Q74" t="n">
        <v>0</v>
      </c>
      <c r="R74" s="2" t="inlineStr"/>
    </row>
    <row r="75" ht="15" customHeight="1">
      <c r="A75" t="inlineStr">
        <is>
          <t>A 13005-2026</t>
        </is>
      </c>
      <c r="B75" s="1" t="n">
        <v>46092</v>
      </c>
      <c r="C75" s="1" t="n">
        <v>46199</v>
      </c>
      <c r="D75" t="inlineStr">
        <is>
          <t>UPPSALA LÄN</t>
        </is>
      </c>
      <c r="E75" t="inlineStr">
        <is>
          <t>KNIVSTA</t>
        </is>
      </c>
      <c r="F75" t="inlineStr">
        <is>
          <t>Holmen skog AB</t>
        </is>
      </c>
      <c r="G75" t="n">
        <v>3</v>
      </c>
      <c r="H75" t="n">
        <v>0</v>
      </c>
      <c r="I75" t="n">
        <v>0</v>
      </c>
      <c r="J75" t="n">
        <v>0</v>
      </c>
      <c r="K75" t="n">
        <v>0</v>
      </c>
      <c r="L75" t="n">
        <v>0</v>
      </c>
      <c r="M75" t="n">
        <v>0</v>
      </c>
      <c r="N75" t="n">
        <v>0</v>
      </c>
      <c r="O75" t="n">
        <v>0</v>
      </c>
      <c r="P75" t="n">
        <v>0</v>
      </c>
      <c r="Q75" t="n">
        <v>0</v>
      </c>
      <c r="R75" s="2" t="inlineStr"/>
    </row>
    <row r="76" ht="15" customHeight="1">
      <c r="A76" t="inlineStr">
        <is>
          <t>A 66293-2021</t>
        </is>
      </c>
      <c r="B76" s="1" t="n">
        <v>44518</v>
      </c>
      <c r="C76" s="1" t="n">
        <v>46199</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23969-2026</t>
        </is>
      </c>
      <c r="B77" s="1" t="n">
        <v>46167</v>
      </c>
      <c r="C77" s="1" t="n">
        <v>46199</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46199</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19676-2025</t>
        </is>
      </c>
      <c r="B79" s="1" t="n">
        <v>45770</v>
      </c>
      <c r="C79" s="1" t="n">
        <v>46199</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46199</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30627-2023</t>
        </is>
      </c>
      <c r="B81" s="1" t="n">
        <v>45112</v>
      </c>
      <c r="C81" s="1" t="n">
        <v>46199</v>
      </c>
      <c r="D81" t="inlineStr">
        <is>
          <t>UPPSALA LÄN</t>
        </is>
      </c>
      <c r="E81" t="inlineStr">
        <is>
          <t>KNIVSTA</t>
        </is>
      </c>
      <c r="F81" t="inlineStr">
        <is>
          <t>Holmen skog AB</t>
        </is>
      </c>
      <c r="G81" t="n">
        <v>1.6</v>
      </c>
      <c r="H81" t="n">
        <v>0</v>
      </c>
      <c r="I81" t="n">
        <v>0</v>
      </c>
      <c r="J81" t="n">
        <v>0</v>
      </c>
      <c r="K81" t="n">
        <v>0</v>
      </c>
      <c r="L81" t="n">
        <v>0</v>
      </c>
      <c r="M81" t="n">
        <v>0</v>
      </c>
      <c r="N81" t="n">
        <v>0</v>
      </c>
      <c r="O81" t="n">
        <v>0</v>
      </c>
      <c r="P81" t="n">
        <v>0</v>
      </c>
      <c r="Q81" t="n">
        <v>0</v>
      </c>
      <c r="R81" s="2" t="inlineStr"/>
    </row>
    <row r="82" ht="15" customHeight="1">
      <c r="A82" t="inlineStr">
        <is>
          <t>A 1629-2024</t>
        </is>
      </c>
      <c r="B82" s="1" t="n">
        <v>45306</v>
      </c>
      <c r="C82" s="1" t="n">
        <v>46199</v>
      </c>
      <c r="D82" t="inlineStr">
        <is>
          <t>UPPSALA LÄN</t>
        </is>
      </c>
      <c r="E82" t="inlineStr">
        <is>
          <t>KNIVSTA</t>
        </is>
      </c>
      <c r="F82" t="inlineStr">
        <is>
          <t>Holmen skog AB</t>
        </is>
      </c>
      <c r="G82" t="n">
        <v>3.6</v>
      </c>
      <c r="H82" t="n">
        <v>0</v>
      </c>
      <c r="I82" t="n">
        <v>0</v>
      </c>
      <c r="J82" t="n">
        <v>0</v>
      </c>
      <c r="K82" t="n">
        <v>0</v>
      </c>
      <c r="L82" t="n">
        <v>0</v>
      </c>
      <c r="M82" t="n">
        <v>0</v>
      </c>
      <c r="N82" t="n">
        <v>0</v>
      </c>
      <c r="O82" t="n">
        <v>0</v>
      </c>
      <c r="P82" t="n">
        <v>0</v>
      </c>
      <c r="Q82" t="n">
        <v>0</v>
      </c>
      <c r="R82" s="2" t="inlineStr"/>
    </row>
    <row r="83" ht="15" customHeight="1">
      <c r="A83" t="inlineStr">
        <is>
          <t>A 19774-2026</t>
        </is>
      </c>
      <c r="B83" s="1" t="n">
        <v>46135</v>
      </c>
      <c r="C83" s="1" t="n">
        <v>46199</v>
      </c>
      <c r="D83" t="inlineStr">
        <is>
          <t>UPPSALA LÄN</t>
        </is>
      </c>
      <c r="E83" t="inlineStr">
        <is>
          <t>KNIVSTA</t>
        </is>
      </c>
      <c r="G83" t="n">
        <v>4.2</v>
      </c>
      <c r="H83" t="n">
        <v>0</v>
      </c>
      <c r="I83" t="n">
        <v>0</v>
      </c>
      <c r="J83" t="n">
        <v>0</v>
      </c>
      <c r="K83" t="n">
        <v>0</v>
      </c>
      <c r="L83" t="n">
        <v>0</v>
      </c>
      <c r="M83" t="n">
        <v>0</v>
      </c>
      <c r="N83" t="n">
        <v>0</v>
      </c>
      <c r="O83" t="n">
        <v>0</v>
      </c>
      <c r="P83" t="n">
        <v>0</v>
      </c>
      <c r="Q83" t="n">
        <v>0</v>
      </c>
      <c r="R83" s="2" t="inlineStr"/>
    </row>
    <row r="84" ht="15" customHeight="1">
      <c r="A84" t="inlineStr">
        <is>
          <t>A 52666-2025</t>
        </is>
      </c>
      <c r="B84" s="1" t="n">
        <v>45955</v>
      </c>
      <c r="C84" s="1" t="n">
        <v>46199</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33974-2025</t>
        </is>
      </c>
      <c r="B85" s="1" t="n">
        <v>45843</v>
      </c>
      <c r="C85" s="1" t="n">
        <v>46199</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45525-2023</t>
        </is>
      </c>
      <c r="B86" s="1" t="n">
        <v>45194</v>
      </c>
      <c r="C86" s="1" t="n">
        <v>46199</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20528-2026</t>
        </is>
      </c>
      <c r="B87" s="1" t="n">
        <v>46140</v>
      </c>
      <c r="C87" s="1" t="n">
        <v>46199</v>
      </c>
      <c r="D87" t="inlineStr">
        <is>
          <t>UPPSALA LÄN</t>
        </is>
      </c>
      <c r="E87" t="inlineStr">
        <is>
          <t>KNIVSTA</t>
        </is>
      </c>
      <c r="G87" t="n">
        <v>5.7</v>
      </c>
      <c r="H87" t="n">
        <v>0</v>
      </c>
      <c r="I87" t="n">
        <v>0</v>
      </c>
      <c r="J87" t="n">
        <v>0</v>
      </c>
      <c r="K87" t="n">
        <v>0</v>
      </c>
      <c r="L87" t="n">
        <v>0</v>
      </c>
      <c r="M87" t="n">
        <v>0</v>
      </c>
      <c r="N87" t="n">
        <v>0</v>
      </c>
      <c r="O87" t="n">
        <v>0</v>
      </c>
      <c r="P87" t="n">
        <v>0</v>
      </c>
      <c r="Q87" t="n">
        <v>0</v>
      </c>
      <c r="R87" s="2" t="inlineStr"/>
    </row>
    <row r="88" ht="15" customHeight="1">
      <c r="A88" t="inlineStr">
        <is>
          <t>A 16773-2022</t>
        </is>
      </c>
      <c r="B88" s="1" t="n">
        <v>44673</v>
      </c>
      <c r="C88" s="1" t="n">
        <v>46199</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46199</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51849-2023</t>
        </is>
      </c>
      <c r="B90" s="1" t="n">
        <v>45223</v>
      </c>
      <c r="C90" s="1" t="n">
        <v>46199</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60018-2024</t>
        </is>
      </c>
      <c r="B91" s="1" t="n">
        <v>45642</v>
      </c>
      <c r="C91" s="1" t="n">
        <v>46199</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19777-2026</t>
        </is>
      </c>
      <c r="B92" s="1" t="n">
        <v>46135</v>
      </c>
      <c r="C92" s="1" t="n">
        <v>46199</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17333-2024</t>
        </is>
      </c>
      <c r="B93" s="1" t="n">
        <v>45414</v>
      </c>
      <c r="C93" s="1" t="n">
        <v>46199</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1791-2024</t>
        </is>
      </c>
      <c r="B94" s="1" t="n">
        <v>45307</v>
      </c>
      <c r="C94" s="1" t="n">
        <v>46199</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2628-2025</t>
        </is>
      </c>
      <c r="B95" s="1" t="n">
        <v>45675</v>
      </c>
      <c r="C95" s="1" t="n">
        <v>46199</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28668-2026</t>
        </is>
      </c>
      <c r="B96" s="1" t="n">
        <v>46193</v>
      </c>
      <c r="C96" s="1" t="n">
        <v>46199</v>
      </c>
      <c r="D96" t="inlineStr">
        <is>
          <t>UPPSALA LÄN</t>
        </is>
      </c>
      <c r="E96" t="inlineStr">
        <is>
          <t>KNIVSTA</t>
        </is>
      </c>
      <c r="G96" t="n">
        <v>7.4</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46199</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46199</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46199</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46199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2629-2025</t>
        </is>
      </c>
      <c r="B101" s="1" t="n">
        <v>45675</v>
      </c>
      <c r="C101" s="1" t="n">
        <v>46199</v>
      </c>
      <c r="D101" t="inlineStr">
        <is>
          <t>UPPSALA LÄN</t>
        </is>
      </c>
      <c r="E101" t="inlineStr">
        <is>
          <t>KNIVSTA</t>
        </is>
      </c>
      <c r="G101" t="n">
        <v>1.1</v>
      </c>
      <c r="H101" t="n">
        <v>0</v>
      </c>
      <c r="I101" t="n">
        <v>0</v>
      </c>
      <c r="J101" t="n">
        <v>0</v>
      </c>
      <c r="K101" t="n">
        <v>0</v>
      </c>
      <c r="L101" t="n">
        <v>0</v>
      </c>
      <c r="M101" t="n">
        <v>0</v>
      </c>
      <c r="N101" t="n">
        <v>0</v>
      </c>
      <c r="O101" t="n">
        <v>0</v>
      </c>
      <c r="P101" t="n">
        <v>0</v>
      </c>
      <c r="Q101" t="n">
        <v>0</v>
      </c>
      <c r="R101" s="2" t="inlineStr"/>
    </row>
    <row r="102" ht="15" customHeight="1">
      <c r="A102" t="inlineStr">
        <is>
          <t>A 5320-2023</t>
        </is>
      </c>
      <c r="B102" s="1" t="n">
        <v>44959</v>
      </c>
      <c r="C102" s="1" t="n">
        <v>46199</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46199</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c r="A104" t="inlineStr">
        <is>
          <t>A 17091-2023</t>
        </is>
      </c>
      <c r="B104" s="1" t="n">
        <v>45034</v>
      </c>
      <c r="C104" s="1" t="n">
        <v>46199</v>
      </c>
      <c r="D104" t="inlineStr">
        <is>
          <t>UPPSALA LÄN</t>
        </is>
      </c>
      <c r="E104" t="inlineStr">
        <is>
          <t>KNIVSTA</t>
        </is>
      </c>
      <c r="G104" t="n">
        <v>0.8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2026-06-26T00:49:06Z</dcterms:created>
  <dcterms:modified xmlns:dcterms="http://purl.org/dc/terms/" xmlns:xsi="http://www.w3.org/2001/XMLSchema-instance" xsi:type="dcterms:W3CDTF">2026-06-26T00:49:06Z</dcterms:modified>
</cp:coreProperties>
</file>