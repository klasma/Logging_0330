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46252</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46252</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46252</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46252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46252</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46252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46252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46252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46252</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46252</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46252</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46252</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11405-2025</t>
        </is>
      </c>
      <c r="B25" t="inlineStr">
        <is>
          <t>avverkningsanmälan</t>
        </is>
      </c>
      <c r="C25" t="inlineStr">
        <is>
          <t>Föryngringsavverkning</t>
        </is>
      </c>
      <c r="D25" s="1" t="n">
        <v>45726</v>
      </c>
      <c r="E25" s="1" t="n">
        <v>46252</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9561-2026</t>
        </is>
      </c>
      <c r="B26" t="inlineStr">
        <is>
          <t>avverkningsanmälan</t>
        </is>
      </c>
      <c r="C26" t="inlineStr">
        <is>
          <t>Föryngringsavverkning</t>
        </is>
      </c>
      <c r="D26" s="1" t="n">
        <v>46071</v>
      </c>
      <c r="E26" s="1" t="n">
        <v>46252</v>
      </c>
      <c r="F26" t="inlineStr">
        <is>
          <t>UPPSALA LÄN</t>
        </is>
      </c>
      <c r="G26" t="inlineStr">
        <is>
          <t>KNIVSTA</t>
        </is>
      </c>
      <c r="H26" t="inlineStr">
        <is>
          <t>Övriga statliga verk och myndigheter</t>
        </is>
      </c>
      <c r="I26" t="n">
        <v>2.6</v>
      </c>
      <c r="J26" t="n">
        <v>0</v>
      </c>
      <c r="K26" t="n">
        <v>0</v>
      </c>
      <c r="L26" t="n">
        <v>1</v>
      </c>
      <c r="M26" t="n">
        <v>0</v>
      </c>
      <c r="N26" t="n">
        <v>0</v>
      </c>
      <c r="O26" t="n">
        <v>0</v>
      </c>
      <c r="P26" t="n">
        <v>0</v>
      </c>
      <c r="Q26" t="n">
        <v>1</v>
      </c>
      <c r="R26" t="n">
        <v>0</v>
      </c>
      <c r="S26" t="n">
        <v>1</v>
      </c>
      <c r="T26" t="n">
        <v>1</v>
      </c>
      <c r="U26" t="n">
        <v>0</v>
      </c>
      <c r="V26" s="2" t="inlineStr">
        <is>
          <t>Svartöra</t>
        </is>
      </c>
      <c r="W26">
        <f>HYPERLINK("https://klasma.github.io/Logging_0330/artfynd/A 9561-2026 artfynd.xlsx", "A 9561-2026")</f>
        <v/>
      </c>
      <c r="X26">
        <f>HYPERLINK("https://klasma.github.io/Logging_0330/kartor/A 9561-2026 karta.png", "A 9561-2026")</f>
        <v/>
      </c>
      <c r="Y26">
        <f>HYPERLINK("https://klasma.github.io/Logging_0330/kartor_geotiff/A 9561-2026 georefererad karta.tif", "A 9561-2026")</f>
        <v/>
      </c>
      <c r="AA26">
        <f>HYPERLINK("https://klasma.github.io/Logging_0330/klagomål/A 9561-2026 FSC-klagomål.docx", "A 9561-2026")</f>
        <v/>
      </c>
      <c r="AB26">
        <f>HYPERLINK("https://klasma.github.io/Logging_0330/klagomålsmail/A 9561-2026 FSC-klagomål mail.docx", "A 9561-2026")</f>
        <v/>
      </c>
      <c r="AC26">
        <f>HYPERLINK("https://klasma.github.io/Logging_0330/tillsyn/A 9561-2026 tillsynsbegäran.docx", "A 9561-2026")</f>
        <v/>
      </c>
      <c r="AD26">
        <f>HYPERLINK("https://klasma.github.io/Logging_0330/tillsynsmail/A 9561-2026 tillsynsbegäran mail.docx", "A 9561-2026")</f>
        <v/>
      </c>
    </row>
    <row r="27" ht="15" customHeight="1">
      <c r="A27" t="inlineStr">
        <is>
          <t>A 13002-2026</t>
        </is>
      </c>
      <c r="B27" t="inlineStr">
        <is>
          <t>avverkningsanmälan</t>
        </is>
      </c>
      <c r="C27" t="inlineStr">
        <is>
          <t>Föryngringsavverkning</t>
        </is>
      </c>
      <c r="D27" s="1" t="n">
        <v>46092</v>
      </c>
      <c r="E27" s="1" t="n">
        <v>46252</v>
      </c>
      <c r="F27" t="inlineStr">
        <is>
          <t>UPPSALA LÄN</t>
        </is>
      </c>
      <c r="G27" t="inlineStr">
        <is>
          <t>KNIVSTA</t>
        </is>
      </c>
      <c r="H27" t="inlineStr">
        <is>
          <t>Holmen skog AB</t>
        </is>
      </c>
      <c r="I27" t="n">
        <v>0.7</v>
      </c>
      <c r="J27" t="n">
        <v>1</v>
      </c>
      <c r="K27" t="n">
        <v>0</v>
      </c>
      <c r="L27" t="n">
        <v>0</v>
      </c>
      <c r="M27" t="n">
        <v>1</v>
      </c>
      <c r="N27" t="n">
        <v>0</v>
      </c>
      <c r="O27" t="n">
        <v>0</v>
      </c>
      <c r="P27" t="n">
        <v>0</v>
      </c>
      <c r="Q27" t="n">
        <v>1</v>
      </c>
      <c r="R27" t="n">
        <v>1</v>
      </c>
      <c r="S27" t="n">
        <v>1</v>
      </c>
      <c r="T27" t="n">
        <v>1</v>
      </c>
      <c r="U27" t="n">
        <v>1</v>
      </c>
      <c r="V27" s="2" t="inlineStr">
        <is>
          <t>Knärot</t>
        </is>
      </c>
      <c r="W27">
        <f>HYPERLINK("https://klasma.github.io/Logging_0330/artfynd/A 13002-2026 artfynd.xlsx", "A 13002-2026")</f>
        <v/>
      </c>
      <c r="X27">
        <f>HYPERLINK("https://klasma.github.io/Logging_0330/kartor/A 13002-2026 karta.png", "A 13002-2026")</f>
        <v/>
      </c>
      <c r="Y27">
        <f>HYPERLINK("https://klasma.github.io/Logging_0330/kartor_geotiff/A 13002-2026 georefererad karta.tif", "A 13002-2026")</f>
        <v/>
      </c>
      <c r="Z27">
        <f>HYPERLINK("https://klasma.github.io/Logging_0330/knärot/A 13002-2026 karta knärot.png", "A 13002-2026")</f>
        <v/>
      </c>
      <c r="AA27">
        <f>HYPERLINK("https://klasma.github.io/Logging_0330/klagomål/A 13002-2026 FSC-klagomål.docx", "A 13002-2026")</f>
        <v/>
      </c>
      <c r="AB27">
        <f>HYPERLINK("https://klasma.github.io/Logging_0330/klagomålsmail/A 13002-2026 FSC-klagomål mail.docx", "A 13002-2026")</f>
        <v/>
      </c>
      <c r="AC27">
        <f>HYPERLINK("https://klasma.github.io/Logging_0330/tillsyn/A 13002-2026 tillsynsbegäran.docx", "A 13002-2026")</f>
        <v/>
      </c>
      <c r="AD27">
        <f>HYPERLINK("https://klasma.github.io/Logging_0330/tillsynsmail/A 13002-2026 tillsynsbegäran mail.docx", "A 13002-2026")</f>
        <v/>
      </c>
    </row>
    <row r="28" ht="15" customHeight="1">
      <c r="A28" t="inlineStr">
        <is>
          <t>A 12991-2026</t>
        </is>
      </c>
      <c r="B28" t="inlineStr">
        <is>
          <t>avverkningsanmälan</t>
        </is>
      </c>
      <c r="C28" t="inlineStr">
        <is>
          <t>Föryngringsavverkning</t>
        </is>
      </c>
      <c r="D28" s="1" t="n">
        <v>46092</v>
      </c>
      <c r="E28" s="1" t="n">
        <v>46252</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13380-2026</t>
        </is>
      </c>
      <c r="B29" t="inlineStr">
        <is>
          <t>avverkningsanmälan</t>
        </is>
      </c>
      <c r="C29" t="inlineStr">
        <is>
          <t>Föryngringsavverkning</t>
        </is>
      </c>
      <c r="D29" s="1" t="n">
        <v>46094</v>
      </c>
      <c r="E29" s="1" t="n">
        <v>46252</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46252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46252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46252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46252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23239-2023</t>
        </is>
      </c>
      <c r="B46" t="inlineStr">
        <is>
          <t>avverkningsanmälan</t>
        </is>
      </c>
      <c r="C46" t="inlineStr">
        <is>
          <t>Föryngringsavverkning</t>
        </is>
      </c>
      <c r="D46" s="1" t="n">
        <v>45075</v>
      </c>
      <c r="E46" s="1" t="n">
        <v>46252</v>
      </c>
      <c r="F46" t="inlineStr">
        <is>
          <t>UPPSALA LÄN</t>
        </is>
      </c>
      <c r="G46" t="inlineStr">
        <is>
          <t>KNIVSTA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46252</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46252</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66284-2021</t>
        </is>
      </c>
      <c r="B49" t="inlineStr">
        <is>
          <t>avverkningsanmälan</t>
        </is>
      </c>
      <c r="C49" t="inlineStr">
        <is>
          <t>Föryngringsavverkning</t>
        </is>
      </c>
      <c r="D49" s="1" t="n">
        <v>44518</v>
      </c>
      <c r="E49" s="1" t="n">
        <v>46252</v>
      </c>
      <c r="F49" t="inlineStr">
        <is>
          <t>UPPSALA LÄN</t>
        </is>
      </c>
      <c r="G49" t="inlineStr">
        <is>
          <t>KNIVSTA</t>
        </is>
      </c>
      <c r="I49" t="n">
        <v>6.9</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46252</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45453-2025</t>
        </is>
      </c>
      <c r="B51" t="inlineStr">
        <is>
          <t>avverkningsanmälan</t>
        </is>
      </c>
      <c r="C51" t="inlineStr">
        <is>
          <t>Föryngringsavverkning</t>
        </is>
      </c>
      <c r="D51" s="1" t="n">
        <v>45922</v>
      </c>
      <c r="E51" s="1" t="n">
        <v>46252</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34864-2025</t>
        </is>
      </c>
      <c r="B52" t="inlineStr">
        <is>
          <t>avverkningsanmälan</t>
        </is>
      </c>
      <c r="C52" t="inlineStr">
        <is>
          <t>Föryngringsavverkning</t>
        </is>
      </c>
      <c r="D52" s="1" t="n">
        <v>45849</v>
      </c>
      <c r="E52" s="1" t="n">
        <v>46252</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35318-2025</t>
        </is>
      </c>
      <c r="B53" t="inlineStr">
        <is>
          <t>avverkningsanmälan</t>
        </is>
      </c>
      <c r="C53" t="inlineStr">
        <is>
          <t>Föryngringsavverkning</t>
        </is>
      </c>
      <c r="D53" s="1" t="n">
        <v>45854</v>
      </c>
      <c r="E53" s="1" t="n">
        <v>46252</v>
      </c>
      <c r="F53" t="inlineStr">
        <is>
          <t>UPPSALA LÄN</t>
        </is>
      </c>
      <c r="G53" t="inlineStr">
        <is>
          <t>KNIVSTA</t>
        </is>
      </c>
      <c r="H53" t="inlineStr">
        <is>
          <t>Holmen skog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26182-2022</t>
        </is>
      </c>
      <c r="B54" t="inlineStr">
        <is>
          <t>avverkningsanmälan</t>
        </is>
      </c>
      <c r="C54" t="inlineStr">
        <is>
          <t>Föryngringsavverkning</t>
        </is>
      </c>
      <c r="D54" s="1" t="n">
        <v>44735</v>
      </c>
      <c r="E54" s="1" t="n">
        <v>46252</v>
      </c>
      <c r="F54" t="inlineStr">
        <is>
          <t>UPPSALA LÄN</t>
        </is>
      </c>
      <c r="G54" t="inlineStr">
        <is>
          <t>KNIVSTA</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2628-2025</t>
        </is>
      </c>
      <c r="B55" t="inlineStr">
        <is>
          <t>avverkningsanmälan</t>
        </is>
      </c>
      <c r="C55" t="inlineStr">
        <is>
          <t>Föryngringsavverkning</t>
        </is>
      </c>
      <c r="D55" s="1" t="n">
        <v>45675</v>
      </c>
      <c r="E55" s="1" t="n">
        <v>46252</v>
      </c>
      <c r="F55" t="inlineStr">
        <is>
          <t>UPPSALA LÄN</t>
        </is>
      </c>
      <c r="G55" t="inlineStr">
        <is>
          <t>KNIVSTA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46252</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17333-2024</t>
        </is>
      </c>
      <c r="B57" t="inlineStr">
        <is>
          <t>avverkningsanmälan</t>
        </is>
      </c>
      <c r="C57" t="inlineStr">
        <is>
          <t>Föryngringsavverkning</t>
        </is>
      </c>
      <c r="D57" s="1" t="n">
        <v>45414</v>
      </c>
      <c r="E57" s="1" t="n">
        <v>46252</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36473-2025</t>
        </is>
      </c>
      <c r="B58" t="inlineStr">
        <is>
          <t>avverkningsanmälan</t>
        </is>
      </c>
      <c r="C58" t="inlineStr">
        <is>
          <t>Föryngringsavverkning</t>
        </is>
      </c>
      <c r="D58" s="1" t="n">
        <v>45869</v>
      </c>
      <c r="E58" s="1" t="n">
        <v>46252</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11847-2023</t>
        </is>
      </c>
      <c r="B59" t="inlineStr">
        <is>
          <t>avverkningsanmälan</t>
        </is>
      </c>
      <c r="C59" t="inlineStr">
        <is>
          <t>Föryngringsavverkning</t>
        </is>
      </c>
      <c r="D59" s="1" t="n">
        <v>44995</v>
      </c>
      <c r="E59" s="1" t="n">
        <v>46252</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49090-2025</t>
        </is>
      </c>
      <c r="B60" t="inlineStr">
        <is>
          <t>avverkningsanmälan</t>
        </is>
      </c>
      <c r="C60" t="inlineStr">
        <is>
          <t>Föryngringsavverkning</t>
        </is>
      </c>
      <c r="D60" s="1" t="n">
        <v>45937</v>
      </c>
      <c r="E60" s="1" t="n">
        <v>46252</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46252</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11450-2023</t>
        </is>
      </c>
      <c r="B62" t="inlineStr">
        <is>
          <t>avverkningsanmälan</t>
        </is>
      </c>
      <c r="C62" t="inlineStr">
        <is>
          <t>Föryngringsavverkning</t>
        </is>
      </c>
      <c r="D62" s="1" t="n">
        <v>44993</v>
      </c>
      <c r="E62" s="1" t="n">
        <v>46252</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45525-2023</t>
        </is>
      </c>
      <c r="B63" t="inlineStr">
        <is>
          <t>avverkningsanmälan</t>
        </is>
      </c>
      <c r="C63" t="inlineStr">
        <is>
          <t>Avverkning för annat ändamål</t>
        </is>
      </c>
      <c r="D63" s="1" t="n">
        <v>45194</v>
      </c>
      <c r="E63" s="1" t="n">
        <v>46252</v>
      </c>
      <c r="F63" t="inlineStr">
        <is>
          <t>UPPSALA LÄN</t>
        </is>
      </c>
      <c r="G63" t="inlineStr">
        <is>
          <t>KNIVSTA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16773-2022</t>
        </is>
      </c>
      <c r="B64" t="inlineStr">
        <is>
          <t>avverkningsanmälan</t>
        </is>
      </c>
      <c r="C64" t="inlineStr">
        <is>
          <t>Avverkning för annat ändamål</t>
        </is>
      </c>
      <c r="D64" s="1" t="n">
        <v>44673</v>
      </c>
      <c r="E64" s="1" t="n">
        <v>46252</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30351-2022</t>
        </is>
      </c>
      <c r="B65" t="inlineStr">
        <is>
          <t>avverkningsanmälan</t>
        </is>
      </c>
      <c r="C65" t="inlineStr">
        <is>
          <t>Föryngringsavverkning</t>
        </is>
      </c>
      <c r="D65" s="1" t="n">
        <v>44757</v>
      </c>
      <c r="E65" s="1" t="n">
        <v>46252</v>
      </c>
      <c r="F65" t="inlineStr">
        <is>
          <t>UPPSALA LÄN</t>
        </is>
      </c>
      <c r="G65" t="inlineStr">
        <is>
          <t>KNIVSTA</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31875-2022</t>
        </is>
      </c>
      <c r="B66" t="inlineStr">
        <is>
          <t>avverkningsanmälan</t>
        </is>
      </c>
      <c r="C66" t="inlineStr">
        <is>
          <t>Föryngringsavverkning</t>
        </is>
      </c>
      <c r="D66" s="1" t="n">
        <v>44777</v>
      </c>
      <c r="E66" s="1" t="n">
        <v>46252</v>
      </c>
      <c r="F66" t="inlineStr">
        <is>
          <t>UPPSALA LÄN</t>
        </is>
      </c>
      <c r="G66" t="inlineStr">
        <is>
          <t>KNIVSTA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46252</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51849-2023</t>
        </is>
      </c>
      <c r="B68" t="inlineStr">
        <is>
          <t>avverkningsanmälan</t>
        </is>
      </c>
      <c r="C68" t="inlineStr">
        <is>
          <t>Föryngringsavverkning</t>
        </is>
      </c>
      <c r="D68" s="1" t="n">
        <v>45223</v>
      </c>
      <c r="E68" s="1" t="n">
        <v>46252</v>
      </c>
      <c r="F68" t="inlineStr">
        <is>
          <t>UPPSALA LÄN</t>
        </is>
      </c>
      <c r="G68" t="inlineStr">
        <is>
          <t>KNIVSTA</t>
        </is>
      </c>
      <c r="I68" t="n">
        <v>16.3</v>
      </c>
      <c r="J68" t="n">
        <v>0</v>
      </c>
      <c r="K68" t="n">
        <v>0</v>
      </c>
      <c r="L68" t="n">
        <v>0</v>
      </c>
      <c r="M68" t="n">
        <v>0</v>
      </c>
      <c r="N68" t="n">
        <v>0</v>
      </c>
      <c r="O68" t="n">
        <v>0</v>
      </c>
      <c r="P68" t="n">
        <v>0</v>
      </c>
      <c r="Q68" t="n">
        <v>0</v>
      </c>
      <c r="R68" t="n">
        <v>0</v>
      </c>
      <c r="S68" t="n">
        <v>0</v>
      </c>
      <c r="T68" t="n">
        <v>0</v>
      </c>
      <c r="U68" t="n">
        <v>0</v>
      </c>
      <c r="V68" s="2" t="inlineStr"/>
    </row>
    <row r="69" ht="15" customHeight="1">
      <c r="A69" t="inlineStr">
        <is>
          <t>A 60018-2024</t>
        </is>
      </c>
      <c r="B69" t="inlineStr">
        <is>
          <t>avverkningsanmälan</t>
        </is>
      </c>
      <c r="C69" t="inlineStr">
        <is>
          <t>Föryngringsavverkning</t>
        </is>
      </c>
      <c r="D69" s="1" t="n">
        <v>45642</v>
      </c>
      <c r="E69" s="1" t="n">
        <v>46252</v>
      </c>
      <c r="F69" t="inlineStr">
        <is>
          <t>UPPSALA LÄN</t>
        </is>
      </c>
      <c r="G69" t="inlineStr">
        <is>
          <t>KNIVSTA</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66293-2021</t>
        </is>
      </c>
      <c r="B70" t="inlineStr">
        <is>
          <t>avverkningsanmälan</t>
        </is>
      </c>
      <c r="C70" t="inlineStr">
        <is>
          <t>Föryngringsavverkning</t>
        </is>
      </c>
      <c r="D70" s="1" t="n">
        <v>44518</v>
      </c>
      <c r="E70" s="1" t="n">
        <v>46252</v>
      </c>
      <c r="F70" t="inlineStr">
        <is>
          <t>UPPSALA LÄN</t>
        </is>
      </c>
      <c r="G70" t="inlineStr">
        <is>
          <t>KNIVSTA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45916-2022</t>
        </is>
      </c>
      <c r="B71" t="inlineStr">
        <is>
          <t>avverkningsanmälan</t>
        </is>
      </c>
      <c r="C71" t="inlineStr">
        <is>
          <t>Föryngringsavverkning</t>
        </is>
      </c>
      <c r="D71" s="1" t="n">
        <v>44846</v>
      </c>
      <c r="E71" s="1" t="n">
        <v>46252</v>
      </c>
      <c r="F71" t="inlineStr">
        <is>
          <t>UPPSALA LÄN</t>
        </is>
      </c>
      <c r="G71" t="inlineStr">
        <is>
          <t>KNIVSTA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1791-2024</t>
        </is>
      </c>
      <c r="B72" t="inlineStr">
        <is>
          <t>avverkningsanmälan</t>
        </is>
      </c>
      <c r="C72" t="inlineStr">
        <is>
          <t>Föryngringsavverkning</t>
        </is>
      </c>
      <c r="D72" s="1" t="n">
        <v>45307</v>
      </c>
      <c r="E72" s="1" t="n">
        <v>46252</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662-2026</t>
        </is>
      </c>
      <c r="B73" t="inlineStr">
        <is>
          <t>avverkningsanmälan</t>
        </is>
      </c>
      <c r="C73" t="inlineStr">
        <is>
          <t>Föryngringsavverkning</t>
        </is>
      </c>
      <c r="D73" s="1" t="n">
        <v>46029</v>
      </c>
      <c r="E73" s="1" t="n">
        <v>46252</v>
      </c>
      <c r="F73" t="inlineStr">
        <is>
          <t>UPPSALA LÄN</t>
        </is>
      </c>
      <c r="G73" t="inlineStr">
        <is>
          <t>KNIVSTA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2629-2025</t>
        </is>
      </c>
      <c r="B74" t="inlineStr">
        <is>
          <t>avverkningsanmälan</t>
        </is>
      </c>
      <c r="C74" t="inlineStr">
        <is>
          <t>Föryngringsavverkning</t>
        </is>
      </c>
      <c r="D74" s="1" t="n">
        <v>45675</v>
      </c>
      <c r="E74" s="1" t="n">
        <v>46252</v>
      </c>
      <c r="F74" t="inlineStr">
        <is>
          <t>UPPSALA LÄN</t>
        </is>
      </c>
      <c r="G74" t="inlineStr">
        <is>
          <t>KNIVSTA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5320-2023</t>
        </is>
      </c>
      <c r="B75" t="inlineStr">
        <is>
          <t>avverkningsanmälan</t>
        </is>
      </c>
      <c r="C75" t="inlineStr">
        <is>
          <t>Föryngringsavverkning</t>
        </is>
      </c>
      <c r="D75" s="1" t="n">
        <v>44959</v>
      </c>
      <c r="E75" s="1" t="n">
        <v>46252</v>
      </c>
      <c r="F75" t="inlineStr">
        <is>
          <t>UPPSALA LÄN</t>
        </is>
      </c>
      <c r="G75" t="inlineStr">
        <is>
          <t>KNIVSTA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3824-2026</t>
        </is>
      </c>
      <c r="B76" t="inlineStr">
        <is>
          <t>avverkningsanmälan</t>
        </is>
      </c>
      <c r="C76" t="inlineStr">
        <is>
          <t>Föryngringsavverkning</t>
        </is>
      </c>
      <c r="D76" s="1" t="n">
        <v>46043</v>
      </c>
      <c r="E76" s="1" t="n">
        <v>46252</v>
      </c>
      <c r="F76" t="inlineStr">
        <is>
          <t>UPPSALA LÄN</t>
        </is>
      </c>
      <c r="G76" t="inlineStr">
        <is>
          <t>KNIVSTA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3375-2026</t>
        </is>
      </c>
      <c r="B77" t="inlineStr">
        <is>
          <t>avverkningsanmälan</t>
        </is>
      </c>
      <c r="C77" t="inlineStr">
        <is>
          <t>Föryngringsavverkning</t>
        </is>
      </c>
      <c r="D77" s="1" t="n">
        <v>46042</v>
      </c>
      <c r="E77" s="1" t="n">
        <v>46252</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46252</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46252</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11452-2023</t>
        </is>
      </c>
      <c r="B80" t="inlineStr">
        <is>
          <t>avverkningsanmälan</t>
        </is>
      </c>
      <c r="C80" t="inlineStr">
        <is>
          <t>Föryngringsavverkning</t>
        </is>
      </c>
      <c r="D80" s="1" t="n">
        <v>44993</v>
      </c>
      <c r="E80" s="1" t="n">
        <v>46252</v>
      </c>
      <c r="F80" t="inlineStr">
        <is>
          <t>UPPSALA LÄN</t>
        </is>
      </c>
      <c r="G80" t="inlineStr">
        <is>
          <t>KNIVSTA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30627-2023</t>
        </is>
      </c>
      <c r="B81" t="inlineStr">
        <is>
          <t>avverkningsanmälan</t>
        </is>
      </c>
      <c r="C81" t="inlineStr">
        <is>
          <t>Föryngringsavverkning</t>
        </is>
      </c>
      <c r="D81" s="1" t="n">
        <v>45112</v>
      </c>
      <c r="E81" s="1" t="n">
        <v>46252</v>
      </c>
      <c r="F81" t="inlineStr">
        <is>
          <t>UPPSALA LÄN</t>
        </is>
      </c>
      <c r="G81" t="inlineStr">
        <is>
          <t>KNIVSTA</t>
        </is>
      </c>
      <c r="H81" t="inlineStr">
        <is>
          <t>Holmen skog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46252</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12027-2026</t>
        </is>
      </c>
      <c r="B83" t="inlineStr">
        <is>
          <t>avverkningsanmälan</t>
        </is>
      </c>
      <c r="C83" t="inlineStr">
        <is>
          <t>Avverkning för annat ändamål</t>
        </is>
      </c>
      <c r="D83" s="1" t="n">
        <v>46085</v>
      </c>
      <c r="E83" s="1" t="n">
        <v>46252</v>
      </c>
      <c r="F83" t="inlineStr">
        <is>
          <t>UPPSALA LÄN</t>
        </is>
      </c>
      <c r="G83" t="inlineStr">
        <is>
          <t>KNIVSTA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43908-2023</t>
        </is>
      </c>
      <c r="B84" t="inlineStr">
        <is>
          <t>avverkningsanmälan</t>
        </is>
      </c>
      <c r="C84" t="inlineStr">
        <is>
          <t>Föryngringsavverkning</t>
        </is>
      </c>
      <c r="D84" s="1" t="n">
        <v>45187</v>
      </c>
      <c r="E84" s="1" t="n">
        <v>46252</v>
      </c>
      <c r="F84" t="inlineStr">
        <is>
          <t>UPPSALA LÄN</t>
        </is>
      </c>
      <c r="G84" t="inlineStr">
        <is>
          <t>KNIVSTA</t>
        </is>
      </c>
      <c r="H84" t="inlineStr">
        <is>
          <t>Kyrkan</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12774-2026</t>
        </is>
      </c>
      <c r="B85" t="inlineStr">
        <is>
          <t>avverkningsanmälan</t>
        </is>
      </c>
      <c r="C85" t="inlineStr">
        <is>
          <t>Föryngringsavverkning</t>
        </is>
      </c>
      <c r="D85" s="1" t="n">
        <v>46091</v>
      </c>
      <c r="E85" s="1" t="n">
        <v>46252</v>
      </c>
      <c r="F85" t="inlineStr">
        <is>
          <t>UPPSALA LÄN</t>
        </is>
      </c>
      <c r="G85" t="inlineStr">
        <is>
          <t>KNIVSTA</t>
        </is>
      </c>
      <c r="H85" t="inlineStr">
        <is>
          <t>Holmen skog AB</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13011-2026</t>
        </is>
      </c>
      <c r="B86" t="inlineStr">
        <is>
          <t>avverkningsanmälan</t>
        </is>
      </c>
      <c r="C86" t="inlineStr">
        <is>
          <t>Föryngringsavverkning</t>
        </is>
      </c>
      <c r="D86" s="1" t="n">
        <v>46092</v>
      </c>
      <c r="E86" s="1" t="n">
        <v>46252</v>
      </c>
      <c r="F86" t="inlineStr">
        <is>
          <t>UPPSALA LÄN</t>
        </is>
      </c>
      <c r="G86" t="inlineStr">
        <is>
          <t>KNIVSTA</t>
        </is>
      </c>
      <c r="H86" t="inlineStr">
        <is>
          <t>Holmen skog AB</t>
        </is>
      </c>
      <c r="I86" t="n">
        <v>1.9</v>
      </c>
      <c r="J86" t="n">
        <v>0</v>
      </c>
      <c r="K86" t="n">
        <v>0</v>
      </c>
      <c r="L86" t="n">
        <v>0</v>
      </c>
      <c r="M86" t="n">
        <v>0</v>
      </c>
      <c r="N86" t="n">
        <v>0</v>
      </c>
      <c r="O86" t="n">
        <v>0</v>
      </c>
      <c r="P86" t="n">
        <v>0</v>
      </c>
      <c r="Q86" t="n">
        <v>0</v>
      </c>
      <c r="R86" t="n">
        <v>0</v>
      </c>
      <c r="S86" t="n">
        <v>0</v>
      </c>
      <c r="T86" t="n">
        <v>0</v>
      </c>
      <c r="U86" t="n">
        <v>0</v>
      </c>
      <c r="V86" s="2" t="inlineStr"/>
      <c r="Z86">
        <f>HYPERLINK("https://klasma.github.io/Logging_0330/knärot/A 13011-2026 karta knärot.png", "A 13011-2026")</f>
        <v/>
      </c>
      <c r="AA86">
        <f>HYPERLINK("https://klasma.github.io/Logging_0330/klagomål/A 13011-2026 FSC-klagomål.docx", "A 13011-2026")</f>
        <v/>
      </c>
      <c r="AB86">
        <f>HYPERLINK("https://klasma.github.io/Logging_0330/klagomålsmail/A 13011-2026 FSC-klagomål mail.docx", "A 13011-2026")</f>
        <v/>
      </c>
      <c r="AC86">
        <f>HYPERLINK("https://klasma.github.io/Logging_0330/tillsyn/A 13011-2026 tillsynsbegäran.docx", "A 13011-2026")</f>
        <v/>
      </c>
      <c r="AD86">
        <f>HYPERLINK("https://klasma.github.io/Logging_0330/tillsynsmail/A 13011-2026 tillsynsbegäran mail.docx", "A 13011-2026")</f>
        <v/>
      </c>
    </row>
    <row r="87" ht="15" customHeight="1">
      <c r="A87" t="inlineStr">
        <is>
          <t>A 13013-2026</t>
        </is>
      </c>
      <c r="B87" t="inlineStr">
        <is>
          <t>avverkningsanmälan</t>
        </is>
      </c>
      <c r="C87" t="inlineStr">
        <is>
          <t>Föryngringsavverkning</t>
        </is>
      </c>
      <c r="D87" s="1" t="n">
        <v>46092</v>
      </c>
      <c r="E87" s="1" t="n">
        <v>46252</v>
      </c>
      <c r="F87" t="inlineStr">
        <is>
          <t>UPPSALA LÄN</t>
        </is>
      </c>
      <c r="G87" t="inlineStr">
        <is>
          <t>KNIVSTA</t>
        </is>
      </c>
      <c r="H87" t="inlineStr">
        <is>
          <t>Holmen skog AB</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13001-2026</t>
        </is>
      </c>
      <c r="B88" t="inlineStr">
        <is>
          <t>avverkningsanmälan</t>
        </is>
      </c>
      <c r="C88" t="inlineStr">
        <is>
          <t>Föryngringsavverkning</t>
        </is>
      </c>
      <c r="D88" s="1" t="n">
        <v>46092</v>
      </c>
      <c r="E88" s="1" t="n">
        <v>46252</v>
      </c>
      <c r="F88" t="inlineStr">
        <is>
          <t>UPPSALA LÄN</t>
        </is>
      </c>
      <c r="G88" t="inlineStr">
        <is>
          <t>KNIVSTA</t>
        </is>
      </c>
      <c r="H88" t="inlineStr">
        <is>
          <t>Holmen skog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13005-2026</t>
        </is>
      </c>
      <c r="B89" t="inlineStr">
        <is>
          <t>avverkningsanmälan</t>
        </is>
      </c>
      <c r="C89" t="inlineStr">
        <is>
          <t>Föryngringsavverkning</t>
        </is>
      </c>
      <c r="D89" s="1" t="n">
        <v>46092</v>
      </c>
      <c r="E89" s="1" t="n">
        <v>46252</v>
      </c>
      <c r="F89" t="inlineStr">
        <is>
          <t>UPPSALA LÄN</t>
        </is>
      </c>
      <c r="G89" t="inlineStr">
        <is>
          <t>KNIVSTA</t>
        </is>
      </c>
      <c r="H89" t="inlineStr">
        <is>
          <t>Holmen skog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13016-2026</t>
        </is>
      </c>
      <c r="B90" t="inlineStr">
        <is>
          <t>avverkningsanmälan</t>
        </is>
      </c>
      <c r="C90" t="inlineStr">
        <is>
          <t>Föryngringsavverkning</t>
        </is>
      </c>
      <c r="D90" s="1" t="n">
        <v>46092</v>
      </c>
      <c r="E90" s="1" t="n">
        <v>46252</v>
      </c>
      <c r="F90" t="inlineStr">
        <is>
          <t>UPPSALA LÄN</t>
        </is>
      </c>
      <c r="G90" t="inlineStr">
        <is>
          <t>KNIVSTA</t>
        </is>
      </c>
      <c r="H90" t="inlineStr">
        <is>
          <t>Holmen skog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8343-2024</t>
        </is>
      </c>
      <c r="B91" t="inlineStr">
        <is>
          <t>avverkningsanmälan</t>
        </is>
      </c>
      <c r="C91" t="inlineStr">
        <is>
          <t>Föryngringsavverkning</t>
        </is>
      </c>
      <c r="D91" s="1" t="n">
        <v>45352</v>
      </c>
      <c r="E91" s="1" t="n">
        <v>46252</v>
      </c>
      <c r="F91" t="inlineStr">
        <is>
          <t>UPPSALA LÄN</t>
        </is>
      </c>
      <c r="G91" t="inlineStr">
        <is>
          <t>KNIVSTA</t>
        </is>
      </c>
      <c r="H91" t="inlineStr">
        <is>
          <t>Holmen skog AB</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28668-2026</t>
        </is>
      </c>
      <c r="B92" t="inlineStr">
        <is>
          <t>avverkningsanmälan</t>
        </is>
      </c>
      <c r="C92" t="inlineStr">
        <is>
          <t>Avverkning för annat ändamål</t>
        </is>
      </c>
      <c r="D92" s="1" t="n">
        <v>46193</v>
      </c>
      <c r="E92" s="1" t="n">
        <v>46252</v>
      </c>
      <c r="F92" t="inlineStr">
        <is>
          <t>UPPSALA LÄN</t>
        </is>
      </c>
      <c r="G92" t="inlineStr">
        <is>
          <t>KNIVSTA</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19676-2025</t>
        </is>
      </c>
      <c r="B93" t="inlineStr">
        <is>
          <t>avverkningsanmälan</t>
        </is>
      </c>
      <c r="C93" t="inlineStr">
        <is>
          <t>Föryngringsavverkning</t>
        </is>
      </c>
      <c r="D93" s="1" t="n">
        <v>45770</v>
      </c>
      <c r="E93" s="1" t="n">
        <v>46252</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19774-2026</t>
        </is>
      </c>
      <c r="B94" t="inlineStr">
        <is>
          <t>avverkningsanmälan</t>
        </is>
      </c>
      <c r="C94" t="inlineStr">
        <is>
          <t>Föryngringsavverkning</t>
        </is>
      </c>
      <c r="D94" s="1" t="n">
        <v>46135</v>
      </c>
      <c r="E94" s="1" t="n">
        <v>46252</v>
      </c>
      <c r="F94" t="inlineStr">
        <is>
          <t>UPPSALA LÄN</t>
        </is>
      </c>
      <c r="G94" t="inlineStr">
        <is>
          <t>KNIVSTA</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52666-2025</t>
        </is>
      </c>
      <c r="B95" t="inlineStr">
        <is>
          <t>avverkningsanmälan</t>
        </is>
      </c>
      <c r="C95" t="inlineStr">
        <is>
          <t>Föryngringsavverkning</t>
        </is>
      </c>
      <c r="D95" s="1" t="n">
        <v>45955</v>
      </c>
      <c r="E95" s="1" t="n">
        <v>46252</v>
      </c>
      <c r="F95" t="inlineStr">
        <is>
          <t>UPPSALA LÄN</t>
        </is>
      </c>
      <c r="G95" t="inlineStr">
        <is>
          <t>KNIVSTA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13697-2024</t>
        </is>
      </c>
      <c r="B96" t="inlineStr">
        <is>
          <t>avverkningsanmälan</t>
        </is>
      </c>
      <c r="C96" t="inlineStr">
        <is>
          <t>Föryngringsavverkning</t>
        </is>
      </c>
      <c r="D96" s="1" t="n">
        <v>45390</v>
      </c>
      <c r="E96" s="1" t="n">
        <v>46252</v>
      </c>
      <c r="F96" t="inlineStr">
        <is>
          <t>UPPSALA LÄN</t>
        </is>
      </c>
      <c r="G96" t="inlineStr">
        <is>
          <t>KNIVSTA</t>
        </is>
      </c>
      <c r="H96" t="inlineStr">
        <is>
          <t>Holmen skog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33974-2025</t>
        </is>
      </c>
      <c r="B97" t="inlineStr">
        <is>
          <t>avverkningsanmälan</t>
        </is>
      </c>
      <c r="C97" t="inlineStr">
        <is>
          <t>Föryngringsavverkning</t>
        </is>
      </c>
      <c r="D97" s="1" t="n">
        <v>45843</v>
      </c>
      <c r="E97" s="1" t="n">
        <v>46252</v>
      </c>
      <c r="F97" t="inlineStr">
        <is>
          <t>UPPSALA LÄN</t>
        </is>
      </c>
      <c r="G97" t="inlineStr">
        <is>
          <t>KNIVSTA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20528-2026</t>
        </is>
      </c>
      <c r="B98" t="inlineStr">
        <is>
          <t>avverkningsanmälan</t>
        </is>
      </c>
      <c r="C98" t="inlineStr">
        <is>
          <t>Föryngringsavverkning</t>
        </is>
      </c>
      <c r="D98" s="1" t="n">
        <v>46140</v>
      </c>
      <c r="E98" s="1" t="n">
        <v>46252</v>
      </c>
      <c r="F98" t="inlineStr">
        <is>
          <t>UPPSALA LÄN</t>
        </is>
      </c>
      <c r="G98" t="inlineStr">
        <is>
          <t>KNIVSTA</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19777-2026</t>
        </is>
      </c>
      <c r="B99" t="inlineStr">
        <is>
          <t>avverkningsanmälan</t>
        </is>
      </c>
      <c r="C99" t="inlineStr">
        <is>
          <t>Föryngringsavverkning</t>
        </is>
      </c>
      <c r="D99" s="1" t="n">
        <v>46135</v>
      </c>
      <c r="E99" s="1" t="n">
        <v>46252</v>
      </c>
      <c r="F99" t="inlineStr">
        <is>
          <t>UPPSALA LÄN</t>
        </is>
      </c>
      <c r="G99" t="inlineStr">
        <is>
          <t>KNIVSTA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1629-2024</t>
        </is>
      </c>
      <c r="B100" t="inlineStr">
        <is>
          <t>avverkningsanmälan</t>
        </is>
      </c>
      <c r="C100" t="inlineStr">
        <is>
          <t>Föryngringsavverkning</t>
        </is>
      </c>
      <c r="D100" s="1" t="n">
        <v>45306</v>
      </c>
      <c r="E100" s="1" t="n">
        <v>46252</v>
      </c>
      <c r="F100" t="inlineStr">
        <is>
          <t>UPPSALA LÄN</t>
        </is>
      </c>
      <c r="G100" t="inlineStr">
        <is>
          <t>KNIVSTA</t>
        </is>
      </c>
      <c r="H100" t="inlineStr">
        <is>
          <t>Holmen skog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30764-2023</t>
        </is>
      </c>
      <c r="B101" t="inlineStr">
        <is>
          <t>avverkningsanmälan</t>
        </is>
      </c>
      <c r="C101" t="inlineStr">
        <is>
          <t>Föryngringsavverkning</t>
        </is>
      </c>
      <c r="D101" s="1" t="n">
        <v>45112</v>
      </c>
      <c r="E101" s="1" t="n">
        <v>46252</v>
      </c>
      <c r="F101" t="inlineStr">
        <is>
          <t>UPPSALA LÄN</t>
        </is>
      </c>
      <c r="G101" t="inlineStr">
        <is>
          <t>KNIVSTA</t>
        </is>
      </c>
      <c r="H101" t="inlineStr">
        <is>
          <t>Holmen skog AB</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794-2024</t>
        </is>
      </c>
      <c r="B102" t="inlineStr">
        <is>
          <t>avverkningsanmälan</t>
        </is>
      </c>
      <c r="C102" t="inlineStr">
        <is>
          <t>Föryngringsavverkning</t>
        </is>
      </c>
      <c r="D102" s="1" t="n">
        <v>45300</v>
      </c>
      <c r="E102" s="1" t="n">
        <v>46252</v>
      </c>
      <c r="F102" t="inlineStr">
        <is>
          <t>UPPSALA LÄN</t>
        </is>
      </c>
      <c r="G102" t="inlineStr">
        <is>
          <t>KNIVSTA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46252</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46252</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46252</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2026-08-18T01:47:17Z</dcterms:created>
  <dcterms:modified xmlns:dcterms="http://purl.org/dc/terms/" xmlns:xsi="http://www.w3.org/2001/XMLSchema-instance" xsi:type="dcterms:W3CDTF">2026-08-18T01:47:17Z</dcterms:modified>
</cp:coreProperties>
</file>