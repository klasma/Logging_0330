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46302</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46302</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8</v>
      </c>
      <c r="U11" t="n">
        <v>8</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46302</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46302</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46302</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46302</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10</v>
      </c>
      <c r="U15" t="n">
        <v>10</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46302</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46302</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13004-2026</t>
        </is>
      </c>
      <c r="B18" t="inlineStr">
        <is>
          <t>avverkningsanmälan</t>
        </is>
      </c>
      <c r="C18" t="inlineStr">
        <is>
          <t>Föryngringsavverkning</t>
        </is>
      </c>
      <c r="D18" s="1" t="n">
        <v>46092</v>
      </c>
      <c r="E18" s="1" t="n">
        <v>46302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34859-2025</t>
        </is>
      </c>
      <c r="B19" t="inlineStr">
        <is>
          <t>avverkningsanmälan</t>
        </is>
      </c>
      <c r="C19" t="inlineStr">
        <is>
          <t>Föryngringsavverkning</t>
        </is>
      </c>
      <c r="D19" s="1" t="n">
        <v>45849</v>
      </c>
      <c r="E19" s="1" t="n">
        <v>46302</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A 18576-2026</t>
        </is>
      </c>
      <c r="B20" t="inlineStr">
        <is>
          <t>avverkningsanmälan</t>
        </is>
      </c>
      <c r="C20" t="inlineStr">
        <is>
          <t>Föryngringsavverkning</t>
        </is>
      </c>
      <c r="D20" s="1" t="n">
        <v>46127</v>
      </c>
      <c r="E20" s="1" t="n">
        <v>46302</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61768-2025</t>
        </is>
      </c>
      <c r="B21" t="inlineStr">
        <is>
          <t>avverkningsanmälan</t>
        </is>
      </c>
      <c r="C21" t="inlineStr">
        <is>
          <t>Föryngringsavverkning</t>
        </is>
      </c>
      <c r="D21" s="1" t="n">
        <v>46002</v>
      </c>
      <c r="E21" s="1" t="n">
        <v>46302</v>
      </c>
      <c r="F21" t="inlineStr">
        <is>
          <t>UPPSALA LÄN</t>
        </is>
      </c>
      <c r="G21" t="inlineStr">
        <is>
          <t>KNIVSTA</t>
        </is>
      </c>
      <c r="I21" t="n">
        <v>3</v>
      </c>
      <c r="J21" t="n">
        <v>0</v>
      </c>
      <c r="K21" t="n">
        <v>1</v>
      </c>
      <c r="L21" t="n">
        <v>1</v>
      </c>
      <c r="M21" t="n">
        <v>0</v>
      </c>
      <c r="N21" t="n">
        <v>0</v>
      </c>
      <c r="O21" t="n">
        <v>0</v>
      </c>
      <c r="P21" t="n">
        <v>0</v>
      </c>
      <c r="Q21" t="n">
        <v>1</v>
      </c>
      <c r="R21" t="n">
        <v>0</v>
      </c>
      <c r="S21" t="n">
        <v>2</v>
      </c>
      <c r="T21" t="n">
        <v>2</v>
      </c>
      <c r="U21" t="n">
        <v>0</v>
      </c>
      <c r="V21" s="2" t="inlineStr">
        <is>
          <t>Gullpudra
Kamjordstjärna</t>
        </is>
      </c>
      <c r="W21">
        <f>HYPERLINK("https://klasma.github.io/Logging_0330/artfynd/A 61768-2025 artfynd.xlsx", "A 61768-2025")</f>
        <v/>
      </c>
      <c r="X21">
        <f>HYPERLINK("https://klasma.github.io/Logging_0330/kartor/A 61768-2025 karta.png", "A 61768-2025")</f>
        <v/>
      </c>
      <c r="Y21">
        <f>HYPERLINK("https://klasma.github.io/Logging_0330/kartor_geotiff/A 61768-2025 georefererad karta.tif", "A 61768-2025")</f>
        <v/>
      </c>
      <c r="AA21">
        <f>HYPERLINK("https://klasma.github.io/Logging_0330/klagomål/A 61768-2025 FSC-klagomål.docx", "A 61768-2025")</f>
        <v/>
      </c>
      <c r="AB21">
        <f>HYPERLINK("https://klasma.github.io/Logging_0330/klagomålsmail/A 61768-2025 FSC-klagomål mail.docx", "A 61768-2025")</f>
        <v/>
      </c>
      <c r="AC21">
        <f>HYPERLINK("https://klasma.github.io/Logging_0330/tillsyn/A 61768-2025 tillsynsbegäran.docx", "A 61768-2025")</f>
        <v/>
      </c>
      <c r="AD21">
        <f>HYPERLINK("https://klasma.github.io/Logging_0330/tillsynsmail/A 61768-2025 tillsynsbegäran mail.docx", "A 61768-2025")</f>
        <v/>
      </c>
    </row>
    <row r="22" ht="15" customHeight="1">
      <c r="A22" t="inlineStr">
        <is>
          <t>S 194-2025</t>
        </is>
      </c>
      <c r="B22" t="inlineStr">
        <is>
          <t>samrådsanmälan</t>
        </is>
      </c>
      <c r="C22" t="inlineStr">
        <is>
          <t>Annan skogsbruksåtgärd</t>
        </is>
      </c>
      <c r="D22" s="1" t="n">
        <v>45679</v>
      </c>
      <c r="E22" s="1" t="n">
        <v>46302</v>
      </c>
      <c r="F22" t="inlineStr">
        <is>
          <t>UPPSALA LÄN</t>
        </is>
      </c>
      <c r="G22" t="inlineStr">
        <is>
          <t>KNIVSTA</t>
        </is>
      </c>
      <c r="I22" t="n">
        <v>1</v>
      </c>
      <c r="J22" t="n">
        <v>0</v>
      </c>
      <c r="K22" t="n">
        <v>1</v>
      </c>
      <c r="L22" t="n">
        <v>1</v>
      </c>
      <c r="M22" t="n">
        <v>0</v>
      </c>
      <c r="N22" t="n">
        <v>0</v>
      </c>
      <c r="O22" t="n">
        <v>0</v>
      </c>
      <c r="P22" t="n">
        <v>0</v>
      </c>
      <c r="Q22" t="n">
        <v>1</v>
      </c>
      <c r="R22" t="n">
        <v>0</v>
      </c>
      <c r="S22" t="n">
        <v>2</v>
      </c>
      <c r="T22" t="n">
        <v>3</v>
      </c>
      <c r="U22" t="n">
        <v>0</v>
      </c>
      <c r="V22" s="2" t="inlineStr">
        <is>
          <t>Tallticka
Grovticka</t>
        </is>
      </c>
      <c r="W22">
        <f>HYPERLINK("https://klasma.github.io/Logging_0330/artfynd/S 194-2025 artfynd.xlsx", "S 194-2025")</f>
        <v/>
      </c>
      <c r="X22">
        <f>HYPERLINK("https://klasma.github.io/Logging_0330/kartor/S 194-2025 karta.png", "S 194-2025")</f>
        <v/>
      </c>
      <c r="Y22">
        <f>HYPERLINK("https://klasma.github.io/Logging_0330/kartor_geotiff/S 194-2025 georefererad karta.tif", "S 194-2025")</f>
        <v/>
      </c>
      <c r="AA22">
        <f>HYPERLINK("https://klasma.github.io/Logging_0330/klagomål/S 194-2025 FSC-klagomål.docx", "S 194-2025")</f>
        <v/>
      </c>
      <c r="AB22">
        <f>HYPERLINK("https://klasma.github.io/Logging_0330/klagomålsmail/S 194-2025 FSC-klagomål mail.docx", "S 194-2025")</f>
        <v/>
      </c>
      <c r="AC22">
        <f>HYPERLINK("https://klasma.github.io/Logging_0330/tillsyn/S 194-2025 tillsynsbegäran.docx", "S 194-2025")</f>
        <v/>
      </c>
      <c r="AD22">
        <f>HYPERLINK("https://klasma.github.io/Logging_0330/tillsynsmail/S 194-2025 tillsynsbegäran mail.docx", "S 194-2025")</f>
        <v/>
      </c>
    </row>
    <row r="23" ht="15" customHeight="1">
      <c r="A23" t="inlineStr">
        <is>
          <t>A 666-2026</t>
        </is>
      </c>
      <c r="B23" t="inlineStr">
        <is>
          <t>avverkningsanmälan</t>
        </is>
      </c>
      <c r="C23" t="inlineStr">
        <is>
          <t>Föryngringsavverkning</t>
        </is>
      </c>
      <c r="D23" s="1" t="n">
        <v>46029</v>
      </c>
      <c r="E23" s="1" t="n">
        <v>46302</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46302</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46302</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46302</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46302</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46302</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5402-2023</t>
        </is>
      </c>
      <c r="B29" t="inlineStr">
        <is>
          <t>avverkningsanmälan</t>
        </is>
      </c>
      <c r="C29" t="inlineStr">
        <is>
          <t>Föryngringsavverkning</t>
        </is>
      </c>
      <c r="D29" s="1" t="n">
        <v>44959</v>
      </c>
      <c r="E29" s="1" t="n">
        <v>46302</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33770-2023</t>
        </is>
      </c>
      <c r="B30" t="inlineStr">
        <is>
          <t>avverkningsanmälan</t>
        </is>
      </c>
      <c r="C30" t="inlineStr">
        <is>
          <t>Föryngringsavverkning</t>
        </is>
      </c>
      <c r="D30" s="1" t="n">
        <v>45133</v>
      </c>
      <c r="E30" s="1" t="n">
        <v>46302</v>
      </c>
      <c r="F30" t="inlineStr">
        <is>
          <t>UPPSALA LÄN</t>
        </is>
      </c>
      <c r="G30" t="inlineStr">
        <is>
          <t>KNIVSTA</t>
        </is>
      </c>
      <c r="H30" t="inlineStr">
        <is>
          <t>Holmen skog AB</t>
        </is>
      </c>
      <c r="I30" t="n">
        <v>4</v>
      </c>
      <c r="J30" t="n">
        <v>1</v>
      </c>
      <c r="K30" t="n">
        <v>0</v>
      </c>
      <c r="L30" t="n">
        <v>0</v>
      </c>
      <c r="M30" t="n">
        <v>0</v>
      </c>
      <c r="N30" t="n">
        <v>0</v>
      </c>
      <c r="O30" t="n">
        <v>0</v>
      </c>
      <c r="P30" t="n">
        <v>0</v>
      </c>
      <c r="Q30" t="n">
        <v>0</v>
      </c>
      <c r="R30" t="n">
        <v>0</v>
      </c>
      <c r="S30" t="n">
        <v>1</v>
      </c>
      <c r="T30" t="n">
        <v>1</v>
      </c>
      <c r="U30" t="n">
        <v>0</v>
      </c>
      <c r="V30" s="2" t="inlineStr">
        <is>
          <t>Slaguggla</t>
        </is>
      </c>
      <c r="W30">
        <f>HYPERLINK("https://klasma.github.io/Logging_0330/artfynd/A 33770-2023 artfynd.xlsx", "A 33770-2023")</f>
        <v/>
      </c>
      <c r="X30">
        <f>HYPERLINK("https://klasma.github.io/Logging_0330/kartor/A 33770-2023 karta.png", "A 33770-2023")</f>
        <v/>
      </c>
      <c r="Y30">
        <f>HYPERLINK("https://klasma.github.io/Logging_0330/kartor_geotiff/A 33770-2023 georefererad karta.tif", "A 33770-2023")</f>
        <v/>
      </c>
      <c r="AA30">
        <f>HYPERLINK("https://klasma.github.io/Logging_0330/klagomål/A 33770-2023 FSC-klagomål.docx", "A 33770-2023")</f>
        <v/>
      </c>
      <c r="AB30">
        <f>HYPERLINK("https://klasma.github.io/Logging_0330/klagomålsmail/A 33770-2023 FSC-klagomål mail.docx", "A 33770-2023")</f>
        <v/>
      </c>
      <c r="AC30">
        <f>HYPERLINK("https://klasma.github.io/Logging_0330/tillsyn/A 33770-2023 tillsynsbegäran.docx", "A 33770-2023")</f>
        <v/>
      </c>
      <c r="AD30">
        <f>HYPERLINK("https://klasma.github.io/Logging_0330/tillsynsmail/A 33770-2023 tillsynsbegäran mail.docx", "A 33770-2023")</f>
        <v/>
      </c>
      <c r="AE30">
        <f>HYPERLINK("https://klasma.github.io/Logging_0330/fåglar/A 33770-2023 prioriterade fågelarter.docx", "A 33770-2023")</f>
        <v/>
      </c>
    </row>
    <row r="31" ht="15" customHeight="1">
      <c r="A31" t="inlineStr">
        <is>
          <t>A 37356-2026</t>
        </is>
      </c>
      <c r="B31" t="inlineStr">
        <is>
          <t>avverkningsanmälan</t>
        </is>
      </c>
      <c r="C31" t="inlineStr">
        <is>
          <t>Föryngringsavverkning</t>
        </is>
      </c>
      <c r="D31" s="1" t="n">
        <v>46275</v>
      </c>
      <c r="E31" s="1" t="n">
        <v>46302</v>
      </c>
      <c r="F31" t="inlineStr">
        <is>
          <t>UPPSALA LÄN</t>
        </is>
      </c>
      <c r="G31" t="inlineStr">
        <is>
          <t>KNIVSTA</t>
        </is>
      </c>
      <c r="H31" t="inlineStr">
        <is>
          <t>Holmen skog AB</t>
        </is>
      </c>
      <c r="I31" t="n">
        <v>5.8</v>
      </c>
      <c r="J31" t="n">
        <v>0</v>
      </c>
      <c r="K31" t="n">
        <v>0</v>
      </c>
      <c r="L31" t="n">
        <v>0</v>
      </c>
      <c r="M31" t="n">
        <v>0</v>
      </c>
      <c r="N31" t="n">
        <v>0</v>
      </c>
      <c r="O31" t="n">
        <v>0</v>
      </c>
      <c r="P31" t="n">
        <v>0</v>
      </c>
      <c r="Q31" t="n">
        <v>0</v>
      </c>
      <c r="R31" t="n">
        <v>0</v>
      </c>
      <c r="S31" t="n">
        <v>1</v>
      </c>
      <c r="T31" t="n">
        <v>1</v>
      </c>
      <c r="U31" t="n">
        <v>1</v>
      </c>
      <c r="V31" s="2" t="inlineStr">
        <is>
          <t>Kransmossa</t>
        </is>
      </c>
      <c r="W31">
        <f>HYPERLINK("https://klasma.github.io/Logging_0330/artfynd/A 37356-2026 artfynd.xlsx", "A 37356-2026")</f>
        <v/>
      </c>
      <c r="X31">
        <f>HYPERLINK("https://klasma.github.io/Logging_0330/kartor/A 37356-2026 karta.png", "A 37356-2026")</f>
        <v/>
      </c>
      <c r="Y31">
        <f>HYPERLINK("https://klasma.github.io/Logging_0330/kartor_geotiff/A 37356-2026 georefererad karta.tif", "A 37356-2026")</f>
        <v/>
      </c>
      <c r="AA31">
        <f>HYPERLINK("https://klasma.github.io/Logging_0330/klagomål/A 37356-2026 FSC-klagomål.docx", "A 37356-2026")</f>
        <v/>
      </c>
      <c r="AB31">
        <f>HYPERLINK("https://klasma.github.io/Logging_0330/klagomålsmail/A 37356-2026 FSC-klagomål mail.docx", "A 37356-2026")</f>
        <v/>
      </c>
      <c r="AC31">
        <f>HYPERLINK("https://klasma.github.io/Logging_0330/tillsyn/A 37356-2026 tillsynsbegäran.docx", "A 37356-2026")</f>
        <v/>
      </c>
      <c r="AD31">
        <f>HYPERLINK("https://klasma.github.io/Logging_0330/tillsynsmail/A 37356-2026 tillsynsbegäran mail.docx", "A 37356-2026")</f>
        <v/>
      </c>
    </row>
    <row r="32" ht="15" customHeight="1">
      <c r="A32" t="inlineStr">
        <is>
          <t>A 11405-2025</t>
        </is>
      </c>
      <c r="B32" t="inlineStr">
        <is>
          <t>avverkningsanmälan</t>
        </is>
      </c>
      <c r="C32" t="inlineStr">
        <is>
          <t>Föryngringsavverkning</t>
        </is>
      </c>
      <c r="D32" s="1" t="n">
        <v>45726</v>
      </c>
      <c r="E32" s="1" t="n">
        <v>46302</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46302</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46302</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46302</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46302</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46302</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46302</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46302</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46302</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46302</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46302</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46302</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46302</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46302</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46302</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46302</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46302</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46302</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26182-2022</t>
        </is>
      </c>
      <c r="B50" t="inlineStr">
        <is>
          <t>avverkningsanmälan</t>
        </is>
      </c>
      <c r="C50" t="inlineStr">
        <is>
          <t>Föryngringsavverkning</t>
        </is>
      </c>
      <c r="D50" s="1" t="n">
        <v>44735</v>
      </c>
      <c r="E50" s="1" t="n">
        <v>46302</v>
      </c>
      <c r="F50" t="inlineStr">
        <is>
          <t>UPPSALA LÄN</t>
        </is>
      </c>
      <c r="G50" t="inlineStr">
        <is>
          <t>KNIVSTA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46302</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17333-2024</t>
        </is>
      </c>
      <c r="B52" t="inlineStr">
        <is>
          <t>avverkningsanmälan</t>
        </is>
      </c>
      <c r="C52" t="inlineStr">
        <is>
          <t>Föryngringsavverkning</t>
        </is>
      </c>
      <c r="D52" s="1" t="n">
        <v>45414</v>
      </c>
      <c r="E52" s="1" t="n">
        <v>46302</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11841-2023</t>
        </is>
      </c>
      <c r="B53" t="inlineStr">
        <is>
          <t>avverkningsanmälan</t>
        </is>
      </c>
      <c r="C53" t="inlineStr">
        <is>
          <t>Föryngringsavverkning</t>
        </is>
      </c>
      <c r="D53" s="1" t="n">
        <v>44995</v>
      </c>
      <c r="E53" s="1" t="n">
        <v>46302</v>
      </c>
      <c r="F53" t="inlineStr">
        <is>
          <t>UPPSALA LÄN</t>
        </is>
      </c>
      <c r="G53" t="inlineStr">
        <is>
          <t>KNIVSTA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46302</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11450-2023</t>
        </is>
      </c>
      <c r="B55" t="inlineStr">
        <is>
          <t>avverkningsanmälan</t>
        </is>
      </c>
      <c r="C55" t="inlineStr">
        <is>
          <t>Föryngringsavverkning</t>
        </is>
      </c>
      <c r="D55" s="1" t="n">
        <v>44993</v>
      </c>
      <c r="E55" s="1" t="n">
        <v>46302</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46302</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20902-2024</t>
        </is>
      </c>
      <c r="B57" t="inlineStr">
        <is>
          <t>avverkningsanmälan</t>
        </is>
      </c>
      <c r="C57" t="inlineStr">
        <is>
          <t>Föryngringsavverkning</t>
        </is>
      </c>
      <c r="D57" s="1" t="n">
        <v>45439</v>
      </c>
      <c r="E57" s="1" t="n">
        <v>46302</v>
      </c>
      <c r="F57" t="inlineStr">
        <is>
          <t>UPPSALA LÄN</t>
        </is>
      </c>
      <c r="G57" t="inlineStr">
        <is>
          <t>KNIVSTA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3824-2026</t>
        </is>
      </c>
      <c r="B58" t="inlineStr">
        <is>
          <t>avverkningsanmälan</t>
        </is>
      </c>
      <c r="C58" t="inlineStr">
        <is>
          <t>Föryngringsavverkning</t>
        </is>
      </c>
      <c r="D58" s="1" t="n">
        <v>46043</v>
      </c>
      <c r="E58" s="1" t="n">
        <v>46302</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3375-2026</t>
        </is>
      </c>
      <c r="B59" t="inlineStr">
        <is>
          <t>avverkningsanmälan</t>
        </is>
      </c>
      <c r="C59" t="inlineStr">
        <is>
          <t>Föryngringsavverkning</t>
        </is>
      </c>
      <c r="D59" s="1" t="n">
        <v>46042</v>
      </c>
      <c r="E59" s="1" t="n">
        <v>46302</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16773-2022</t>
        </is>
      </c>
      <c r="B60" t="inlineStr">
        <is>
          <t>avverkningsanmälan</t>
        </is>
      </c>
      <c r="C60" t="inlineStr">
        <is>
          <t>Avverkning för annat ändamål</t>
        </is>
      </c>
      <c r="D60" s="1" t="n">
        <v>44673</v>
      </c>
      <c r="E60" s="1" t="n">
        <v>46302</v>
      </c>
      <c r="F60" t="inlineStr">
        <is>
          <t>UPPSALA LÄN</t>
        </is>
      </c>
      <c r="G60" t="inlineStr">
        <is>
          <t>KNIVSTA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5908-2026</t>
        </is>
      </c>
      <c r="B61" t="inlineStr">
        <is>
          <t>avverkningsanmälan</t>
        </is>
      </c>
      <c r="C61" t="inlineStr">
        <is>
          <t>Föryngringsavverkning</t>
        </is>
      </c>
      <c r="D61" s="1" t="n">
        <v>46052</v>
      </c>
      <c r="E61" s="1" t="n">
        <v>46302</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5910-2026</t>
        </is>
      </c>
      <c r="B62" t="inlineStr">
        <is>
          <t>avverkningsanmälan</t>
        </is>
      </c>
      <c r="C62" t="inlineStr">
        <is>
          <t>Föryngringsavverkning</t>
        </is>
      </c>
      <c r="D62" s="1" t="n">
        <v>46052</v>
      </c>
      <c r="E62" s="1" t="n">
        <v>46302</v>
      </c>
      <c r="F62" t="inlineStr">
        <is>
          <t>UPPSALA LÄN</t>
        </is>
      </c>
      <c r="G62" t="inlineStr">
        <is>
          <t>KNIVSTA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9744-2026</t>
        </is>
      </c>
      <c r="B63" t="inlineStr">
        <is>
          <t>avverkningsanmälan</t>
        </is>
      </c>
      <c r="C63" t="inlineStr">
        <is>
          <t>Föryngringsavverkning</t>
        </is>
      </c>
      <c r="D63" s="1" t="n">
        <v>46072</v>
      </c>
      <c r="E63" s="1" t="n">
        <v>46302</v>
      </c>
      <c r="F63" t="inlineStr">
        <is>
          <t>UPPSALA LÄN</t>
        </is>
      </c>
      <c r="G63" t="inlineStr">
        <is>
          <t>KNIVSTA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60018-2024</t>
        </is>
      </c>
      <c r="B64" t="inlineStr">
        <is>
          <t>avverkningsanmälan</t>
        </is>
      </c>
      <c r="C64" t="inlineStr">
        <is>
          <t>Föryngringsavverkning</t>
        </is>
      </c>
      <c r="D64" s="1" t="n">
        <v>45642</v>
      </c>
      <c r="E64" s="1" t="n">
        <v>46302</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45453-2025</t>
        </is>
      </c>
      <c r="B65" t="inlineStr">
        <is>
          <t>avverkningsanmälan</t>
        </is>
      </c>
      <c r="C65" t="inlineStr">
        <is>
          <t>Föryngringsavverkning</t>
        </is>
      </c>
      <c r="D65" s="1" t="n">
        <v>45922</v>
      </c>
      <c r="E65" s="1" t="n">
        <v>46302</v>
      </c>
      <c r="F65" t="inlineStr">
        <is>
          <t>UPPSALA LÄN</t>
        </is>
      </c>
      <c r="G65" t="inlineStr">
        <is>
          <t>KNIVSTA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46302</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12774-2026</t>
        </is>
      </c>
      <c r="B67" t="inlineStr">
        <is>
          <t>avverkningsanmälan</t>
        </is>
      </c>
      <c r="C67" t="inlineStr">
        <is>
          <t>Föryngringsavverkning</t>
        </is>
      </c>
      <c r="D67" s="1" t="n">
        <v>46091</v>
      </c>
      <c r="E67" s="1" t="n">
        <v>46302</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13011-2026</t>
        </is>
      </c>
      <c r="B68" t="inlineStr">
        <is>
          <t>avverkningsanmälan</t>
        </is>
      </c>
      <c r="C68" t="inlineStr">
        <is>
          <t>Föryngringsavverkning</t>
        </is>
      </c>
      <c r="D68" s="1" t="n">
        <v>46092</v>
      </c>
      <c r="E68" s="1" t="n">
        <v>46302</v>
      </c>
      <c r="F68" t="inlineStr">
        <is>
          <t>UPPSALA LÄN</t>
        </is>
      </c>
      <c r="G68" t="inlineStr">
        <is>
          <t>KNIVSTA</t>
        </is>
      </c>
      <c r="H68" t="inlineStr">
        <is>
          <t>Holmen skog AB</t>
        </is>
      </c>
      <c r="I68" t="n">
        <v>1.9</v>
      </c>
      <c r="J68" t="n">
        <v>0</v>
      </c>
      <c r="K68" t="n">
        <v>0</v>
      </c>
      <c r="L68" t="n">
        <v>0</v>
      </c>
      <c r="M68" t="n">
        <v>0</v>
      </c>
      <c r="N68" t="n">
        <v>0</v>
      </c>
      <c r="O68" t="n">
        <v>0</v>
      </c>
      <c r="P68" t="n">
        <v>0</v>
      </c>
      <c r="Q68" t="n">
        <v>0</v>
      </c>
      <c r="R68" t="n">
        <v>0</v>
      </c>
      <c r="S68" t="n">
        <v>0</v>
      </c>
      <c r="T68" t="n">
        <v>0</v>
      </c>
      <c r="U68" t="n">
        <v>0</v>
      </c>
      <c r="V68" s="2" t="inlineStr"/>
      <c r="Z68">
        <f>HYPERLINK("https://klasma.github.io/Logging_0330/knärot/A 13011-2026 karta knärot.png", "A 13011-2026")</f>
        <v/>
      </c>
      <c r="AA68">
        <f>HYPERLINK("https://klasma.github.io/Logging_0330/klagomål/A 13011-2026 FSC-klagomål.docx", "A 13011-2026")</f>
        <v/>
      </c>
      <c r="AB68">
        <f>HYPERLINK("https://klasma.github.io/Logging_0330/klagomålsmail/A 13011-2026 FSC-klagomål mail.docx", "A 13011-2026")</f>
        <v/>
      </c>
      <c r="AC68">
        <f>HYPERLINK("https://klasma.github.io/Logging_0330/tillsyn/A 13011-2026 tillsynsbegäran.docx", "A 13011-2026")</f>
        <v/>
      </c>
      <c r="AD68">
        <f>HYPERLINK("https://klasma.github.io/Logging_0330/tillsynsmail/A 13011-2026 tillsynsbegäran mail.docx", "A 13011-2026")</f>
        <v/>
      </c>
    </row>
    <row r="69" ht="15" customHeight="1">
      <c r="A69" t="inlineStr">
        <is>
          <t>A 13013-2026</t>
        </is>
      </c>
      <c r="B69" t="inlineStr">
        <is>
          <t>avverkningsanmälan</t>
        </is>
      </c>
      <c r="C69" t="inlineStr">
        <is>
          <t>Föryngringsavverkning</t>
        </is>
      </c>
      <c r="D69" s="1" t="n">
        <v>46092</v>
      </c>
      <c r="E69" s="1" t="n">
        <v>46302</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13001-2026</t>
        </is>
      </c>
      <c r="B70" t="inlineStr">
        <is>
          <t>avverkningsanmälan</t>
        </is>
      </c>
      <c r="C70" t="inlineStr">
        <is>
          <t>Föryngringsavverkning</t>
        </is>
      </c>
      <c r="D70" s="1" t="n">
        <v>46092</v>
      </c>
      <c r="E70" s="1" t="n">
        <v>46302</v>
      </c>
      <c r="F70" t="inlineStr">
        <is>
          <t>UPPSALA LÄN</t>
        </is>
      </c>
      <c r="G70" t="inlineStr">
        <is>
          <t>KNIVSTA</t>
        </is>
      </c>
      <c r="H70" t="inlineStr">
        <is>
          <t>Holmen skog AB</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13005-2026</t>
        </is>
      </c>
      <c r="B71" t="inlineStr">
        <is>
          <t>avverkningsanmälan</t>
        </is>
      </c>
      <c r="C71" t="inlineStr">
        <is>
          <t>Föryngringsavverkning</t>
        </is>
      </c>
      <c r="D71" s="1" t="n">
        <v>46092</v>
      </c>
      <c r="E71" s="1" t="n">
        <v>46302</v>
      </c>
      <c r="F71" t="inlineStr">
        <is>
          <t>UPPSALA LÄN</t>
        </is>
      </c>
      <c r="G71" t="inlineStr">
        <is>
          <t>KNIVSTA</t>
        </is>
      </c>
      <c r="H71" t="inlineStr">
        <is>
          <t>Holmen skog AB</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13016-2026</t>
        </is>
      </c>
      <c r="B72" t="inlineStr">
        <is>
          <t>avverkningsanmälan</t>
        </is>
      </c>
      <c r="C72" t="inlineStr">
        <is>
          <t>Föryngringsavverkning</t>
        </is>
      </c>
      <c r="D72" s="1" t="n">
        <v>46092</v>
      </c>
      <c r="E72" s="1" t="n">
        <v>46302</v>
      </c>
      <c r="F72" t="inlineStr">
        <is>
          <t>UPPSALA LÄN</t>
        </is>
      </c>
      <c r="G72" t="inlineStr">
        <is>
          <t>KNIVSTA</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47803-2025</t>
        </is>
      </c>
      <c r="B73" t="inlineStr">
        <is>
          <t>avverkningsanmälan</t>
        </is>
      </c>
      <c r="C73" t="inlineStr">
        <is>
          <t>Avverkning för annat ändamål</t>
        </is>
      </c>
      <c r="D73" s="1" t="n">
        <v>45931</v>
      </c>
      <c r="E73" s="1" t="n">
        <v>46302</v>
      </c>
      <c r="F73" t="inlineStr">
        <is>
          <t>UPPSALA LÄN</t>
        </is>
      </c>
      <c r="G73" t="inlineStr">
        <is>
          <t>KNIVSTA</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49090-2025</t>
        </is>
      </c>
      <c r="B74" t="inlineStr">
        <is>
          <t>avverkningsanmälan</t>
        </is>
      </c>
      <c r="C74" t="inlineStr">
        <is>
          <t>Föryngringsavverkning</t>
        </is>
      </c>
      <c r="D74" s="1" t="n">
        <v>45937</v>
      </c>
      <c r="E74" s="1" t="n">
        <v>46302</v>
      </c>
      <c r="F74" t="inlineStr">
        <is>
          <t>UPPSALA LÄN</t>
        </is>
      </c>
      <c r="G74" t="inlineStr">
        <is>
          <t>KNIVSTA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46302</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34864-2025</t>
        </is>
      </c>
      <c r="B76" t="inlineStr">
        <is>
          <t>avverkningsanmälan</t>
        </is>
      </c>
      <c r="C76" t="inlineStr">
        <is>
          <t>Föryngringsavverkning</t>
        </is>
      </c>
      <c r="D76" s="1" t="n">
        <v>45849</v>
      </c>
      <c r="E76" s="1" t="n">
        <v>46302</v>
      </c>
      <c r="F76" t="inlineStr">
        <is>
          <t>UPPSALA LÄN</t>
        </is>
      </c>
      <c r="G76" t="inlineStr">
        <is>
          <t>KNIVSTA</t>
        </is>
      </c>
      <c r="H76" t="inlineStr">
        <is>
          <t>Holmen skog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35318-2025</t>
        </is>
      </c>
      <c r="B77" t="inlineStr">
        <is>
          <t>avverkningsanmälan</t>
        </is>
      </c>
      <c r="C77" t="inlineStr">
        <is>
          <t>Föryngringsavverkning</t>
        </is>
      </c>
      <c r="D77" s="1" t="n">
        <v>45854</v>
      </c>
      <c r="E77" s="1" t="n">
        <v>46302</v>
      </c>
      <c r="F77" t="inlineStr">
        <is>
          <t>UPPSALA LÄN</t>
        </is>
      </c>
      <c r="G77" t="inlineStr">
        <is>
          <t>KNIVSTA</t>
        </is>
      </c>
      <c r="H77" t="inlineStr">
        <is>
          <t>Holmen skog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36473-2025</t>
        </is>
      </c>
      <c r="B78" t="inlineStr">
        <is>
          <t>avverkningsanmälan</t>
        </is>
      </c>
      <c r="C78" t="inlineStr">
        <is>
          <t>Föryngringsavverkning</t>
        </is>
      </c>
      <c r="D78" s="1" t="n">
        <v>45869</v>
      </c>
      <c r="E78" s="1" t="n">
        <v>46302</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19774-2026</t>
        </is>
      </c>
      <c r="B79" t="inlineStr">
        <is>
          <t>avverkningsanmälan</t>
        </is>
      </c>
      <c r="C79" t="inlineStr">
        <is>
          <t>Föryngringsavverkning</t>
        </is>
      </c>
      <c r="D79" s="1" t="n">
        <v>46135</v>
      </c>
      <c r="E79" s="1" t="n">
        <v>46302</v>
      </c>
      <c r="F79" t="inlineStr">
        <is>
          <t>UPPSALA LÄN</t>
        </is>
      </c>
      <c r="G79" t="inlineStr">
        <is>
          <t>KNIVSTA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52666-2025</t>
        </is>
      </c>
      <c r="B80" t="inlineStr">
        <is>
          <t>avverkningsanmälan</t>
        </is>
      </c>
      <c r="C80" t="inlineStr">
        <is>
          <t>Föryngringsavverkning</t>
        </is>
      </c>
      <c r="D80" s="1" t="n">
        <v>45955</v>
      </c>
      <c r="E80" s="1" t="n">
        <v>46302</v>
      </c>
      <c r="F80" t="inlineStr">
        <is>
          <t>UPPSALA LÄN</t>
        </is>
      </c>
      <c r="G80" t="inlineStr">
        <is>
          <t>KNIVSTA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60243-2025</t>
        </is>
      </c>
      <c r="B81" t="inlineStr">
        <is>
          <t>avverkningsanmälan</t>
        </is>
      </c>
      <c r="C81" t="inlineStr">
        <is>
          <t>Föryngringsavverkning</t>
        </is>
      </c>
      <c r="D81" s="1" t="n">
        <v>45994</v>
      </c>
      <c r="E81" s="1" t="n">
        <v>46302</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33974-2025</t>
        </is>
      </c>
      <c r="B82" t="inlineStr">
        <is>
          <t>avverkningsanmälan</t>
        </is>
      </c>
      <c r="C82" t="inlineStr">
        <is>
          <t>Föryngringsavverkning</t>
        </is>
      </c>
      <c r="D82" s="1" t="n">
        <v>45843</v>
      </c>
      <c r="E82" s="1" t="n">
        <v>46302</v>
      </c>
      <c r="F82" t="inlineStr">
        <is>
          <t>UPPSALA LÄN</t>
        </is>
      </c>
      <c r="G82" t="inlineStr">
        <is>
          <t>KNIVSTA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46302</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19777-2026</t>
        </is>
      </c>
      <c r="B84" t="inlineStr">
        <is>
          <t>avverkningsanmälan</t>
        </is>
      </c>
      <c r="C84" t="inlineStr">
        <is>
          <t>Föryngringsavverkning</t>
        </is>
      </c>
      <c r="D84" s="1" t="n">
        <v>46135</v>
      </c>
      <c r="E84" s="1" t="n">
        <v>46302</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23239-2023</t>
        </is>
      </c>
      <c r="B85" t="inlineStr">
        <is>
          <t>avverkningsanmälan</t>
        </is>
      </c>
      <c r="C85" t="inlineStr">
        <is>
          <t>Föryngringsavverkning</t>
        </is>
      </c>
      <c r="D85" s="1" t="n">
        <v>45075</v>
      </c>
      <c r="E85" s="1" t="n">
        <v>46302</v>
      </c>
      <c r="F85" t="inlineStr">
        <is>
          <t>UPPSALA LÄN</t>
        </is>
      </c>
      <c r="G85" t="inlineStr">
        <is>
          <t>KNIVSTA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23969-2026</t>
        </is>
      </c>
      <c r="B86" t="inlineStr">
        <is>
          <t>avverkningsanmälan</t>
        </is>
      </c>
      <c r="C86" t="inlineStr">
        <is>
          <t>Föryngringsavverkning</t>
        </is>
      </c>
      <c r="D86" s="1" t="n">
        <v>46167</v>
      </c>
      <c r="E86" s="1" t="n">
        <v>46302</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66284-2021</t>
        </is>
      </c>
      <c r="B87" t="inlineStr">
        <is>
          <t>avverkningsanmälan</t>
        </is>
      </c>
      <c r="C87" t="inlineStr">
        <is>
          <t>Föryngringsavverkning</t>
        </is>
      </c>
      <c r="D87" s="1" t="n">
        <v>44518</v>
      </c>
      <c r="E87" s="1" t="n">
        <v>46302</v>
      </c>
      <c r="F87" t="inlineStr">
        <is>
          <t>UPPSALA LÄN</t>
        </is>
      </c>
      <c r="G87" t="inlineStr">
        <is>
          <t>KNIVSTA</t>
        </is>
      </c>
      <c r="I87" t="n">
        <v>6.9</v>
      </c>
      <c r="J87" t="n">
        <v>0</v>
      </c>
      <c r="K87" t="n">
        <v>0</v>
      </c>
      <c r="L87" t="n">
        <v>0</v>
      </c>
      <c r="M87" t="n">
        <v>0</v>
      </c>
      <c r="N87" t="n">
        <v>0</v>
      </c>
      <c r="O87" t="n">
        <v>0</v>
      </c>
      <c r="P87" t="n">
        <v>0</v>
      </c>
      <c r="Q87" t="n">
        <v>0</v>
      </c>
      <c r="R87" t="n">
        <v>0</v>
      </c>
      <c r="S87" t="n">
        <v>0</v>
      </c>
      <c r="T87" t="n">
        <v>0</v>
      </c>
      <c r="U87" t="n">
        <v>0</v>
      </c>
      <c r="V87" s="2" t="inlineStr"/>
    </row>
    <row r="88" ht="15" customHeight="1">
      <c r="A88" t="inlineStr">
        <is>
          <t>A 11847-2023</t>
        </is>
      </c>
      <c r="B88" t="inlineStr">
        <is>
          <t>avverkningsanmälan</t>
        </is>
      </c>
      <c r="C88" t="inlineStr">
        <is>
          <t>Föryngringsavverkning</t>
        </is>
      </c>
      <c r="D88" s="1" t="n">
        <v>44995</v>
      </c>
      <c r="E88" s="1" t="n">
        <v>46302</v>
      </c>
      <c r="F88" t="inlineStr">
        <is>
          <t>UPPSALA LÄN</t>
        </is>
      </c>
      <c r="G88" t="inlineStr">
        <is>
          <t>KNIVSTA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30351-2022</t>
        </is>
      </c>
      <c r="B89" t="inlineStr">
        <is>
          <t>avverkningsanmälan</t>
        </is>
      </c>
      <c r="C89" t="inlineStr">
        <is>
          <t>Föryngringsavverkning</t>
        </is>
      </c>
      <c r="D89" s="1" t="n">
        <v>44757</v>
      </c>
      <c r="E89" s="1" t="n">
        <v>46302</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31875-2022</t>
        </is>
      </c>
      <c r="B90" t="inlineStr">
        <is>
          <t>avverkningsanmälan</t>
        </is>
      </c>
      <c r="C90" t="inlineStr">
        <is>
          <t>Föryngringsavverkning</t>
        </is>
      </c>
      <c r="D90" s="1" t="n">
        <v>44777</v>
      </c>
      <c r="E90" s="1" t="n">
        <v>46302</v>
      </c>
      <c r="F90" t="inlineStr">
        <is>
          <t>UPPSALA LÄN</t>
        </is>
      </c>
      <c r="G90" t="inlineStr">
        <is>
          <t>KNIVSTA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28668-2026</t>
        </is>
      </c>
      <c r="B91" t="inlineStr">
        <is>
          <t>avverkningsanmälan</t>
        </is>
      </c>
      <c r="C91" t="inlineStr">
        <is>
          <t>Avverkning för annat ändamål</t>
        </is>
      </c>
      <c r="D91" s="1" t="n">
        <v>46193</v>
      </c>
      <c r="E91" s="1" t="n">
        <v>46302</v>
      </c>
      <c r="F91" t="inlineStr">
        <is>
          <t>UPPSALA LÄN</t>
        </is>
      </c>
      <c r="G91" t="inlineStr">
        <is>
          <t>KNIVSTA</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51849-2023</t>
        </is>
      </c>
      <c r="B92" t="inlineStr">
        <is>
          <t>avverkningsanmälan</t>
        </is>
      </c>
      <c r="C92" t="inlineStr">
        <is>
          <t>Föryngringsavverkning</t>
        </is>
      </c>
      <c r="D92" s="1" t="n">
        <v>45223</v>
      </c>
      <c r="E92" s="1" t="n">
        <v>46302</v>
      </c>
      <c r="F92" t="inlineStr">
        <is>
          <t>UPPSALA LÄN</t>
        </is>
      </c>
      <c r="G92" t="inlineStr">
        <is>
          <t>KNIVSTA</t>
        </is>
      </c>
      <c r="I92" t="n">
        <v>16.3</v>
      </c>
      <c r="J92" t="n">
        <v>0</v>
      </c>
      <c r="K92" t="n">
        <v>0</v>
      </c>
      <c r="L92" t="n">
        <v>0</v>
      </c>
      <c r="M92" t="n">
        <v>0</v>
      </c>
      <c r="N92" t="n">
        <v>0</v>
      </c>
      <c r="O92" t="n">
        <v>0</v>
      </c>
      <c r="P92" t="n">
        <v>0</v>
      </c>
      <c r="Q92" t="n">
        <v>0</v>
      </c>
      <c r="R92" t="n">
        <v>0</v>
      </c>
      <c r="S92" t="n">
        <v>0</v>
      </c>
      <c r="T92" t="n">
        <v>0</v>
      </c>
      <c r="U92" t="n">
        <v>0</v>
      </c>
      <c r="V92" s="2" t="inlineStr"/>
    </row>
    <row r="93" ht="15" customHeight="1">
      <c r="A93" t="inlineStr">
        <is>
          <t>A 37413-2026</t>
        </is>
      </c>
      <c r="B93" t="inlineStr">
        <is>
          <t>avverkningsanmälan</t>
        </is>
      </c>
      <c r="C93" t="inlineStr">
        <is>
          <t>Föryngringsavverkning</t>
        </is>
      </c>
      <c r="D93" s="1" t="n">
        <v>46275</v>
      </c>
      <c r="E93" s="1" t="n">
        <v>46302</v>
      </c>
      <c r="F93" t="inlineStr">
        <is>
          <t>UPPSALA LÄN</t>
        </is>
      </c>
      <c r="G93" t="inlineStr">
        <is>
          <t>KNIVSTA</t>
        </is>
      </c>
      <c r="H93" t="inlineStr">
        <is>
          <t>Holmen skog AB</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37437-2026</t>
        </is>
      </c>
      <c r="B94" t="inlineStr">
        <is>
          <t>avverkningsanmälan</t>
        </is>
      </c>
      <c r="C94" t="inlineStr">
        <is>
          <t>Föryngringsavverkning</t>
        </is>
      </c>
      <c r="D94" s="1" t="n">
        <v>46275</v>
      </c>
      <c r="E94" s="1" t="n">
        <v>46302</v>
      </c>
      <c r="F94" t="inlineStr">
        <is>
          <t>UPPSALA LÄN</t>
        </is>
      </c>
      <c r="G94" t="inlineStr">
        <is>
          <t>KNIVSTA</t>
        </is>
      </c>
      <c r="H94" t="inlineStr">
        <is>
          <t>Holmen skog AB</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66293-2021</t>
        </is>
      </c>
      <c r="B95" t="inlineStr">
        <is>
          <t>avverkningsanmälan</t>
        </is>
      </c>
      <c r="C95" t="inlineStr">
        <is>
          <t>Föryngringsavverkning</t>
        </is>
      </c>
      <c r="D95" s="1" t="n">
        <v>44518</v>
      </c>
      <c r="E95" s="1" t="n">
        <v>46302</v>
      </c>
      <c r="F95" t="inlineStr">
        <is>
          <t>UPPSALA LÄN</t>
        </is>
      </c>
      <c r="G95" t="inlineStr">
        <is>
          <t>KNIVSTA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45916-2022</t>
        </is>
      </c>
      <c r="B96" t="inlineStr">
        <is>
          <t>avverkningsanmälan</t>
        </is>
      </c>
      <c r="C96" t="inlineStr">
        <is>
          <t>Föryngringsavverkning</t>
        </is>
      </c>
      <c r="D96" s="1" t="n">
        <v>44846</v>
      </c>
      <c r="E96" s="1" t="n">
        <v>46302</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46302</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46302</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39978-2026</t>
        </is>
      </c>
      <c r="B99" t="inlineStr">
        <is>
          <t>avverkningsanmälan</t>
        </is>
      </c>
      <c r="C99" t="inlineStr">
        <is>
          <t>Föryngringsavverkning</t>
        </is>
      </c>
      <c r="D99" s="1" t="n">
        <v>46293</v>
      </c>
      <c r="E99" s="1" t="n">
        <v>46302</v>
      </c>
      <c r="F99" t="inlineStr">
        <is>
          <t>UPPSALA LÄN</t>
        </is>
      </c>
      <c r="G99" t="inlineStr">
        <is>
          <t>KNIVSTA</t>
        </is>
      </c>
      <c r="H99" t="inlineStr">
        <is>
          <t>Holmen skog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11452-2023</t>
        </is>
      </c>
      <c r="B100" t="inlineStr">
        <is>
          <t>avverkningsanmälan</t>
        </is>
      </c>
      <c r="C100" t="inlineStr">
        <is>
          <t>Föryngringsavverkning</t>
        </is>
      </c>
      <c r="D100" s="1" t="n">
        <v>44993</v>
      </c>
      <c r="E100" s="1" t="n">
        <v>46302</v>
      </c>
      <c r="F100" t="inlineStr">
        <is>
          <t>UPPSALA LÄN</t>
        </is>
      </c>
      <c r="G100" t="inlineStr">
        <is>
          <t>KNIVSTA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30627-2023</t>
        </is>
      </c>
      <c r="B101" t="inlineStr">
        <is>
          <t>avverkningsanmälan</t>
        </is>
      </c>
      <c r="C101" t="inlineStr">
        <is>
          <t>Föryngringsavverkning</t>
        </is>
      </c>
      <c r="D101" s="1" t="n">
        <v>45112</v>
      </c>
      <c r="E101" s="1" t="n">
        <v>46302</v>
      </c>
      <c r="F101" t="inlineStr">
        <is>
          <t>UPPSALA LÄN</t>
        </is>
      </c>
      <c r="G101" t="inlineStr">
        <is>
          <t>KNIVSTA</t>
        </is>
      </c>
      <c r="H101" t="inlineStr">
        <is>
          <t>Holmen skog AB</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43908-2023</t>
        </is>
      </c>
      <c r="B102" t="inlineStr">
        <is>
          <t>avverkningsanmälan</t>
        </is>
      </c>
      <c r="C102" t="inlineStr">
        <is>
          <t>Föryngringsavverkning</t>
        </is>
      </c>
      <c r="D102" s="1" t="n">
        <v>45187</v>
      </c>
      <c r="E102" s="1" t="n">
        <v>46302</v>
      </c>
      <c r="F102" t="inlineStr">
        <is>
          <t>UPPSALA LÄN</t>
        </is>
      </c>
      <c r="G102" t="inlineStr">
        <is>
          <t>KNIVSTA</t>
        </is>
      </c>
      <c r="H102" t="inlineStr">
        <is>
          <t>Kyrkan</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8343-2024</t>
        </is>
      </c>
      <c r="B103" t="inlineStr">
        <is>
          <t>avverkningsanmälan</t>
        </is>
      </c>
      <c r="C103" t="inlineStr">
        <is>
          <t>Föryngringsavverkning</t>
        </is>
      </c>
      <c r="D103" s="1" t="n">
        <v>45352</v>
      </c>
      <c r="E103" s="1" t="n">
        <v>46302</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19676-2025</t>
        </is>
      </c>
      <c r="B104" t="inlineStr">
        <is>
          <t>avverkningsanmälan</t>
        </is>
      </c>
      <c r="C104" t="inlineStr">
        <is>
          <t>Föryngringsavverkning</t>
        </is>
      </c>
      <c r="D104" s="1" t="n">
        <v>45770</v>
      </c>
      <c r="E104" s="1" t="n">
        <v>46302</v>
      </c>
      <c r="F104" t="inlineStr">
        <is>
          <t>UPPSALA LÄN</t>
        </is>
      </c>
      <c r="G104" t="inlineStr">
        <is>
          <t>KNIVSTA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13697-2024</t>
        </is>
      </c>
      <c r="B105" t="inlineStr">
        <is>
          <t>avverkningsanmälan</t>
        </is>
      </c>
      <c r="C105" t="inlineStr">
        <is>
          <t>Föryngringsavverkning</t>
        </is>
      </c>
      <c r="D105" s="1" t="n">
        <v>45390</v>
      </c>
      <c r="E105" s="1" t="n">
        <v>46302</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1629-2024</t>
        </is>
      </c>
      <c r="B106" t="inlineStr">
        <is>
          <t>avverkningsanmälan</t>
        </is>
      </c>
      <c r="C106" t="inlineStr">
        <is>
          <t>Föryngringsavverkning</t>
        </is>
      </c>
      <c r="D106" s="1" t="n">
        <v>45306</v>
      </c>
      <c r="E106" s="1" t="n">
        <v>46302</v>
      </c>
      <c r="F106" t="inlineStr">
        <is>
          <t>UPPSALA LÄN</t>
        </is>
      </c>
      <c r="G106" t="inlineStr">
        <is>
          <t>KNIVSTA</t>
        </is>
      </c>
      <c r="H106" t="inlineStr">
        <is>
          <t>Holmen skog AB</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30764-2023</t>
        </is>
      </c>
      <c r="B107" t="inlineStr">
        <is>
          <t>avverkningsanmälan</t>
        </is>
      </c>
      <c r="C107" t="inlineStr">
        <is>
          <t>Föryngringsavverkning</t>
        </is>
      </c>
      <c r="D107" s="1" t="n">
        <v>45112</v>
      </c>
      <c r="E107" s="1" t="n">
        <v>46302</v>
      </c>
      <c r="F107" t="inlineStr">
        <is>
          <t>UPPSALA LÄN</t>
        </is>
      </c>
      <c r="G107" t="inlineStr">
        <is>
          <t>KNIVSTA</t>
        </is>
      </c>
      <c r="H107" t="inlineStr">
        <is>
          <t>Holmen skog AB</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794-2024</t>
        </is>
      </c>
      <c r="B108" t="inlineStr">
        <is>
          <t>avverkningsanmälan</t>
        </is>
      </c>
      <c r="C108" t="inlineStr">
        <is>
          <t>Föryngringsavverkning</t>
        </is>
      </c>
      <c r="D108" s="1" t="n">
        <v>45300</v>
      </c>
      <c r="E108" s="1" t="n">
        <v>46302</v>
      </c>
      <c r="F108" t="inlineStr">
        <is>
          <t>UPPSALA LÄN</t>
        </is>
      </c>
      <c r="G108" t="inlineStr">
        <is>
          <t>KNIVSTA</t>
        </is>
      </c>
      <c r="I108" t="n">
        <v>1.6</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46302</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2026-10-07T02:02:17Z</dcterms:created>
  <dcterms:modified xmlns:dcterms="http://purl.org/dc/terms/" xmlns:xsi="http://www.w3.org/2001/XMLSchema-instance" xsi:type="dcterms:W3CDTF">2026-10-07T02:02:17Z</dcterms:modified>
</cp:coreProperties>
</file>