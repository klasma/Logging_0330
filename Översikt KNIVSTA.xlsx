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46085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46085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46085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46085</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9561-2026</t>
        </is>
      </c>
      <c r="B10" s="1" t="n">
        <v>46071.64916666667</v>
      </c>
      <c r="C10" s="1" t="n">
        <v>46085</v>
      </c>
      <c r="D10" t="inlineStr">
        <is>
          <t>UPPSALA LÄN</t>
        </is>
      </c>
      <c r="E10" t="inlineStr">
        <is>
          <t>KNIVSTA</t>
        </is>
      </c>
      <c r="F10" t="inlineStr">
        <is>
          <t>Övriga statliga verk och myndigheter</t>
        </is>
      </c>
      <c r="G10" t="n">
        <v>2.6</v>
      </c>
      <c r="H10" t="n">
        <v>0</v>
      </c>
      <c r="I10" t="n">
        <v>0</v>
      </c>
      <c r="J10" t="n">
        <v>1</v>
      </c>
      <c r="K10" t="n">
        <v>0</v>
      </c>
      <c r="L10" t="n">
        <v>0</v>
      </c>
      <c r="M10" t="n">
        <v>0</v>
      </c>
      <c r="N10" t="n">
        <v>0</v>
      </c>
      <c r="O10" t="n">
        <v>1</v>
      </c>
      <c r="P10" t="n">
        <v>0</v>
      </c>
      <c r="Q10" t="n">
        <v>1</v>
      </c>
      <c r="R10" s="2" t="inlineStr">
        <is>
          <t>Svartöra</t>
        </is>
      </c>
      <c r="S10">
        <f>HYPERLINK("https://klasma.github.io/Logging_0330/artfynd/A 9561-2026 artfynd.xlsx", "A 9561-2026")</f>
        <v/>
      </c>
      <c r="T10">
        <f>HYPERLINK("https://klasma.github.io/Logging_0330/kartor/A 9561-2026 karta.png", "A 9561-2026")</f>
        <v/>
      </c>
      <c r="V10">
        <f>HYPERLINK("https://klasma.github.io/Logging_0330/klagomål/A 9561-2026 FSC-klagomål.docx", "A 9561-2026")</f>
        <v/>
      </c>
      <c r="W10">
        <f>HYPERLINK("https://klasma.github.io/Logging_0330/klagomålsmail/A 9561-2026 FSC-klagomål mail.docx", "A 9561-2026")</f>
        <v/>
      </c>
      <c r="X10">
        <f>HYPERLINK("https://klasma.github.io/Logging_0330/tillsyn/A 9561-2026 tillsynsbegäran.docx", "A 9561-2026")</f>
        <v/>
      </c>
      <c r="Y10">
        <f>HYPERLINK("https://klasma.github.io/Logging_0330/tillsynsmail/A 9561-2026 tillsynsbegäran mail.docx", "A 9561-2026")</f>
        <v/>
      </c>
    </row>
    <row r="11" ht="15" customHeight="1">
      <c r="A11" t="inlineStr">
        <is>
          <t>A 21831-2024</t>
        </is>
      </c>
      <c r="B11" s="1" t="n">
        <v>45442</v>
      </c>
      <c r="C11" s="1" t="n">
        <v>46085</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46085</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53813-2025</t>
        </is>
      </c>
      <c r="B13" s="1" t="n">
        <v>45960</v>
      </c>
      <c r="C13" s="1" t="n">
        <v>46085</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16407-2025</t>
        </is>
      </c>
      <c r="B14" s="1" t="n">
        <v>45751.45120370371</v>
      </c>
      <c r="C14" s="1" t="n">
        <v>46085</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61768-2025</t>
        </is>
      </c>
      <c r="B15" s="1" t="n">
        <v>46002.63940972222</v>
      </c>
      <c r="C15" s="1" t="n">
        <v>46085</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16973-2021</t>
        </is>
      </c>
      <c r="B16" s="1" t="n">
        <v>44295</v>
      </c>
      <c r="C16" s="1" t="n">
        <v>46085</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5455-2025</t>
        </is>
      </c>
      <c r="B17" s="1" t="n">
        <v>45693</v>
      </c>
      <c r="C17" s="1" t="n">
        <v>46085</v>
      </c>
      <c r="D17" t="inlineStr">
        <is>
          <t>UPPSALA LÄN</t>
        </is>
      </c>
      <c r="E17" t="inlineStr">
        <is>
          <t>KNIVSTA</t>
        </is>
      </c>
      <c r="G17" t="n">
        <v>17.1</v>
      </c>
      <c r="H17" t="n">
        <v>0</v>
      </c>
      <c r="I17" t="n">
        <v>1</v>
      </c>
      <c r="J17" t="n">
        <v>0</v>
      </c>
      <c r="K17" t="n">
        <v>0</v>
      </c>
      <c r="L17" t="n">
        <v>0</v>
      </c>
      <c r="M17" t="n">
        <v>0</v>
      </c>
      <c r="N17" t="n">
        <v>0</v>
      </c>
      <c r="O17" t="n">
        <v>0</v>
      </c>
      <c r="P17" t="n">
        <v>0</v>
      </c>
      <c r="Q17" t="n">
        <v>1</v>
      </c>
      <c r="R17" s="2" t="inlineStr">
        <is>
          <t>Vedticka</t>
        </is>
      </c>
      <c r="S17">
        <f>HYPERLINK("https://klasma.github.io/Logging_0330/artfynd/A 5455-2025 artfynd.xlsx", "A 5455-2025")</f>
        <v/>
      </c>
      <c r="T17">
        <f>HYPERLINK("https://klasma.github.io/Logging_0330/kartor/A 5455-2025 karta.png", "A 5455-2025")</f>
        <v/>
      </c>
      <c r="V17">
        <f>HYPERLINK("https://klasma.github.io/Logging_0330/klagomål/A 5455-2025 FSC-klagomål.docx", "A 5455-2025")</f>
        <v/>
      </c>
      <c r="W17">
        <f>HYPERLINK("https://klasma.github.io/Logging_0330/klagomålsmail/A 5455-2025 FSC-klagomål mail.docx", "A 5455-2025")</f>
        <v/>
      </c>
      <c r="X17">
        <f>HYPERLINK("https://klasma.github.io/Logging_0330/tillsyn/A 5455-2025 tillsynsbegäran.docx", "A 5455-2025")</f>
        <v/>
      </c>
      <c r="Y17">
        <f>HYPERLINK("https://klasma.github.io/Logging_0330/tillsynsmail/A 5455-2025 tillsynsbegäran mail.docx", "A 5455-2025")</f>
        <v/>
      </c>
    </row>
    <row r="18" ht="15" customHeight="1">
      <c r="A18" t="inlineStr">
        <is>
          <t>A 11405-2025</t>
        </is>
      </c>
      <c r="B18" s="1" t="n">
        <v>45726</v>
      </c>
      <c r="C18" s="1" t="n">
        <v>46085</v>
      </c>
      <c r="D18" t="inlineStr">
        <is>
          <t>UPPSALA LÄN</t>
        </is>
      </c>
      <c r="E18" t="inlineStr">
        <is>
          <t>KNIVSTA</t>
        </is>
      </c>
      <c r="G18" t="n">
        <v>1.6</v>
      </c>
      <c r="H18" t="n">
        <v>0</v>
      </c>
      <c r="I18" t="n">
        <v>0</v>
      </c>
      <c r="J18" t="n">
        <v>0</v>
      </c>
      <c r="K18" t="n">
        <v>0</v>
      </c>
      <c r="L18" t="n">
        <v>1</v>
      </c>
      <c r="M18" t="n">
        <v>0</v>
      </c>
      <c r="N18" t="n">
        <v>0</v>
      </c>
      <c r="O18" t="n">
        <v>1</v>
      </c>
      <c r="P18" t="n">
        <v>1</v>
      </c>
      <c r="Q18" t="n">
        <v>1</v>
      </c>
      <c r="R18" s="2" t="inlineStr">
        <is>
          <t>Fältgentiana</t>
        </is>
      </c>
      <c r="S18">
        <f>HYPERLINK("https://klasma.github.io/Logging_0330/artfynd/A 11405-2025 artfynd.xlsx", "A 11405-2025")</f>
        <v/>
      </c>
      <c r="T18">
        <f>HYPERLINK("https://klasma.github.io/Logging_0330/kartor/A 11405-2025 karta.png", "A 11405-2025")</f>
        <v/>
      </c>
      <c r="V18">
        <f>HYPERLINK("https://klasma.github.io/Logging_0330/klagomål/A 11405-2025 FSC-klagomål.docx", "A 11405-2025")</f>
        <v/>
      </c>
      <c r="W18">
        <f>HYPERLINK("https://klasma.github.io/Logging_0330/klagomålsmail/A 11405-2025 FSC-klagomål mail.docx", "A 11405-2025")</f>
        <v/>
      </c>
      <c r="X18">
        <f>HYPERLINK("https://klasma.github.io/Logging_0330/tillsyn/A 11405-2025 tillsynsbegäran.docx", "A 11405-2025")</f>
        <v/>
      </c>
      <c r="Y18">
        <f>HYPERLINK("https://klasma.github.io/Logging_0330/tillsynsmail/A 11405-2025 tillsynsbegäran mail.docx", "A 11405-2025")</f>
        <v/>
      </c>
    </row>
    <row r="19" ht="15" customHeight="1">
      <c r="A19" t="inlineStr">
        <is>
          <t>A 33770-2023</t>
        </is>
      </c>
      <c r="B19" s="1" t="n">
        <v>45133</v>
      </c>
      <c r="C19" s="1" t="n">
        <v>46085</v>
      </c>
      <c r="D19" t="inlineStr">
        <is>
          <t>UPPSALA LÄN</t>
        </is>
      </c>
      <c r="E19" t="inlineStr">
        <is>
          <t>KNIVSTA</t>
        </is>
      </c>
      <c r="F19" t="inlineStr">
        <is>
          <t>Holmen skog AB</t>
        </is>
      </c>
      <c r="G19" t="n">
        <v>4</v>
      </c>
      <c r="H19" t="n">
        <v>1</v>
      </c>
      <c r="I19" t="n">
        <v>0</v>
      </c>
      <c r="J19" t="n">
        <v>1</v>
      </c>
      <c r="K19" t="n">
        <v>0</v>
      </c>
      <c r="L19" t="n">
        <v>0</v>
      </c>
      <c r="M19" t="n">
        <v>0</v>
      </c>
      <c r="N19" t="n">
        <v>0</v>
      </c>
      <c r="O19" t="n">
        <v>1</v>
      </c>
      <c r="P19" t="n">
        <v>0</v>
      </c>
      <c r="Q19" t="n">
        <v>1</v>
      </c>
      <c r="R19" s="2" t="inlineStr">
        <is>
          <t>Slaguggla</t>
        </is>
      </c>
      <c r="S19">
        <f>HYPERLINK("https://klasma.github.io/Logging_0330/artfynd/A 33770-2023 artfynd.xlsx", "A 33770-2023")</f>
        <v/>
      </c>
      <c r="T19">
        <f>HYPERLINK("https://klasma.github.io/Logging_0330/kartor/A 33770-2023 karta.png", "A 33770-2023")</f>
        <v/>
      </c>
      <c r="V19">
        <f>HYPERLINK("https://klasma.github.io/Logging_0330/klagomål/A 33770-2023 FSC-klagomål.docx", "A 33770-2023")</f>
        <v/>
      </c>
      <c r="W19">
        <f>HYPERLINK("https://klasma.github.io/Logging_0330/klagomålsmail/A 33770-2023 FSC-klagomål mail.docx", "A 33770-2023")</f>
        <v/>
      </c>
      <c r="X19">
        <f>HYPERLINK("https://klasma.github.io/Logging_0330/tillsyn/A 33770-2023 tillsynsbegäran.docx", "A 33770-2023")</f>
        <v/>
      </c>
      <c r="Y19">
        <f>HYPERLINK("https://klasma.github.io/Logging_0330/tillsynsmail/A 33770-2023 tillsynsbegäran mail.docx", "A 33770-2023")</f>
        <v/>
      </c>
      <c r="Z19">
        <f>HYPERLINK("https://klasma.github.io/Logging_0330/fåglar/A 33770-2023 prioriterade fågelarter.docx", "A 33770-2023")</f>
        <v/>
      </c>
    </row>
    <row r="20" ht="15" customHeight="1">
      <c r="A20" t="inlineStr">
        <is>
          <t>A 19796-2021</t>
        </is>
      </c>
      <c r="B20" s="1" t="n">
        <v>44313</v>
      </c>
      <c r="C20" s="1" t="n">
        <v>46085</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46085</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46085</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46085</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46085</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46085</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46085</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46085</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46085</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46085</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46085</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46085</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46085</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46085</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46085</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46085</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46085</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46085</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46085</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46085</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46085</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46085</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66284-2021</t>
        </is>
      </c>
      <c r="B42" s="1" t="n">
        <v>44518</v>
      </c>
      <c r="C42" s="1" t="n">
        <v>46085</v>
      </c>
      <c r="D42" t="inlineStr">
        <is>
          <t>UPPSALA LÄN</t>
        </is>
      </c>
      <c r="E42" t="inlineStr">
        <is>
          <t>KNIVSTA</t>
        </is>
      </c>
      <c r="G42" t="n">
        <v>6.9</v>
      </c>
      <c r="H42" t="n">
        <v>0</v>
      </c>
      <c r="I42" t="n">
        <v>0</v>
      </c>
      <c r="J42" t="n">
        <v>0</v>
      </c>
      <c r="K42" t="n">
        <v>0</v>
      </c>
      <c r="L42" t="n">
        <v>0</v>
      </c>
      <c r="M42" t="n">
        <v>0</v>
      </c>
      <c r="N42" t="n">
        <v>0</v>
      </c>
      <c r="O42" t="n">
        <v>0</v>
      </c>
      <c r="P42" t="n">
        <v>0</v>
      </c>
      <c r="Q42" t="n">
        <v>0</v>
      </c>
      <c r="R42" s="2" t="inlineStr"/>
    </row>
    <row r="43" ht="15" customHeight="1">
      <c r="A43" t="inlineStr">
        <is>
          <t>A 19676-2025</t>
        </is>
      </c>
      <c r="B43" s="1" t="n">
        <v>45770</v>
      </c>
      <c r="C43" s="1" t="n">
        <v>46085</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46085</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46085</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1629-2024</t>
        </is>
      </c>
      <c r="B46" s="1" t="n">
        <v>45306</v>
      </c>
      <c r="C46" s="1" t="n">
        <v>46085</v>
      </c>
      <c r="D46" t="inlineStr">
        <is>
          <t>UPPSALA LÄN</t>
        </is>
      </c>
      <c r="E46" t="inlineStr">
        <is>
          <t>KNIVSTA</t>
        </is>
      </c>
      <c r="F46" t="inlineStr">
        <is>
          <t>Holmen skog AB</t>
        </is>
      </c>
      <c r="G46" t="n">
        <v>3.6</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46085</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46085</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662-2026</t>
        </is>
      </c>
      <c r="B49" s="1" t="n">
        <v>46029.58549768518</v>
      </c>
      <c r="C49" s="1" t="n">
        <v>46085</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9744-2026</t>
        </is>
      </c>
      <c r="B50" s="1" t="n">
        <v>46072.51857638889</v>
      </c>
      <c r="C50" s="1" t="n">
        <v>46085</v>
      </c>
      <c r="D50" t="inlineStr">
        <is>
          <t>UPPSALA LÄN</t>
        </is>
      </c>
      <c r="E50" t="inlineStr">
        <is>
          <t>KNIVSTA</t>
        </is>
      </c>
      <c r="G50" t="n">
        <v>2.4</v>
      </c>
      <c r="H50" t="n">
        <v>0</v>
      </c>
      <c r="I50" t="n">
        <v>0</v>
      </c>
      <c r="J50" t="n">
        <v>0</v>
      </c>
      <c r="K50" t="n">
        <v>0</v>
      </c>
      <c r="L50" t="n">
        <v>0</v>
      </c>
      <c r="M50" t="n">
        <v>0</v>
      </c>
      <c r="N50" t="n">
        <v>0</v>
      </c>
      <c r="O50" t="n">
        <v>0</v>
      </c>
      <c r="P50" t="n">
        <v>0</v>
      </c>
      <c r="Q50" t="n">
        <v>0</v>
      </c>
      <c r="R50" s="2" t="inlineStr"/>
    </row>
    <row r="51" ht="15" customHeight="1">
      <c r="A51" t="inlineStr">
        <is>
          <t>A 666-2026</t>
        </is>
      </c>
      <c r="B51" s="1" t="n">
        <v>46029.58832175926</v>
      </c>
      <c r="C51" s="1" t="n">
        <v>46085</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2952-2026</t>
        </is>
      </c>
      <c r="B52" s="1" t="n">
        <v>46037</v>
      </c>
      <c r="C52" s="1" t="n">
        <v>46085</v>
      </c>
      <c r="D52" t="inlineStr">
        <is>
          <t>UPPSALA LÄN</t>
        </is>
      </c>
      <c r="E52" t="inlineStr">
        <is>
          <t>KNIVSTA</t>
        </is>
      </c>
      <c r="G52" t="n">
        <v>2</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46085</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3016-2026</t>
        </is>
      </c>
      <c r="B54" s="1" t="n">
        <v>46038</v>
      </c>
      <c r="C54" s="1" t="n">
        <v>46085</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45453-2025</t>
        </is>
      </c>
      <c r="B55" s="1" t="n">
        <v>45922.48702546296</v>
      </c>
      <c r="C55" s="1" t="n">
        <v>46085</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3191-2024</t>
        </is>
      </c>
      <c r="B56" s="1" t="n">
        <v>45316.67186342592</v>
      </c>
      <c r="C56" s="1" t="n">
        <v>46085</v>
      </c>
      <c r="D56" t="inlineStr">
        <is>
          <t>UPPSALA LÄN</t>
        </is>
      </c>
      <c r="E56" t="inlineStr">
        <is>
          <t>KNIVSTA</t>
        </is>
      </c>
      <c r="G56" t="n">
        <v>0.6</v>
      </c>
      <c r="H56" t="n">
        <v>0</v>
      </c>
      <c r="I56" t="n">
        <v>0</v>
      </c>
      <c r="J56" t="n">
        <v>0</v>
      </c>
      <c r="K56" t="n">
        <v>0</v>
      </c>
      <c r="L56" t="n">
        <v>0</v>
      </c>
      <c r="M56" t="n">
        <v>0</v>
      </c>
      <c r="N56" t="n">
        <v>0</v>
      </c>
      <c r="O56" t="n">
        <v>0</v>
      </c>
      <c r="P56" t="n">
        <v>0</v>
      </c>
      <c r="Q56" t="n">
        <v>0</v>
      </c>
      <c r="R56" s="2" t="inlineStr"/>
    </row>
    <row r="57" ht="15" customHeight="1">
      <c r="A57" t="inlineStr">
        <is>
          <t>A 5276-2026</t>
        </is>
      </c>
      <c r="B57" s="1" t="n">
        <v>46037</v>
      </c>
      <c r="C57" s="1" t="n">
        <v>46085</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3015-2026</t>
        </is>
      </c>
      <c r="B58" s="1" t="n">
        <v>46038</v>
      </c>
      <c r="C58" s="1" t="n">
        <v>46085</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46085</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2944-2026</t>
        </is>
      </c>
      <c r="B60" s="1" t="n">
        <v>46037</v>
      </c>
      <c r="C60" s="1" t="n">
        <v>46085</v>
      </c>
      <c r="D60" t="inlineStr">
        <is>
          <t>UPPSALA LÄN</t>
        </is>
      </c>
      <c r="E60" t="inlineStr">
        <is>
          <t>KNIVSTA</t>
        </is>
      </c>
      <c r="G60" t="n">
        <v>4.7</v>
      </c>
      <c r="H60" t="n">
        <v>0</v>
      </c>
      <c r="I60" t="n">
        <v>0</v>
      </c>
      <c r="J60" t="n">
        <v>0</v>
      </c>
      <c r="K60" t="n">
        <v>0</v>
      </c>
      <c r="L60" t="n">
        <v>0</v>
      </c>
      <c r="M60" t="n">
        <v>0</v>
      </c>
      <c r="N60" t="n">
        <v>0</v>
      </c>
      <c r="O60" t="n">
        <v>0</v>
      </c>
      <c r="P60" t="n">
        <v>0</v>
      </c>
      <c r="Q60" t="n">
        <v>0</v>
      </c>
      <c r="R60" s="2" t="inlineStr"/>
    </row>
    <row r="61" ht="15" customHeight="1">
      <c r="A61" t="inlineStr">
        <is>
          <t>A 45525-2023</t>
        </is>
      </c>
      <c r="B61" s="1" t="n">
        <v>45194</v>
      </c>
      <c r="C61" s="1" t="n">
        <v>46085</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3375-2026</t>
        </is>
      </c>
      <c r="B62" s="1" t="n">
        <v>46042</v>
      </c>
      <c r="C62" s="1" t="n">
        <v>46085</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46085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16773-2022</t>
        </is>
      </c>
      <c r="B64" s="1" t="n">
        <v>44673</v>
      </c>
      <c r="C64" s="1" t="n">
        <v>46085</v>
      </c>
      <c r="D64" t="inlineStr">
        <is>
          <t>UPPSALA LÄN</t>
        </is>
      </c>
      <c r="E64" t="inlineStr">
        <is>
          <t>KNIVSTA</t>
        </is>
      </c>
      <c r="G64" t="n">
        <v>1.9</v>
      </c>
      <c r="H64" t="n">
        <v>0</v>
      </c>
      <c r="I64" t="n">
        <v>0</v>
      </c>
      <c r="J64" t="n">
        <v>0</v>
      </c>
      <c r="K64" t="n">
        <v>0</v>
      </c>
      <c r="L64" t="n">
        <v>0</v>
      </c>
      <c r="M64" t="n">
        <v>0</v>
      </c>
      <c r="N64" t="n">
        <v>0</v>
      </c>
      <c r="O64" t="n">
        <v>0</v>
      </c>
      <c r="P64" t="n">
        <v>0</v>
      </c>
      <c r="Q64" t="n">
        <v>0</v>
      </c>
      <c r="R64" s="2" t="inlineStr"/>
    </row>
    <row r="65" ht="15" customHeight="1">
      <c r="A65" t="inlineStr">
        <is>
          <t>A 30764-2023</t>
        </is>
      </c>
      <c r="B65" s="1" t="n">
        <v>45112</v>
      </c>
      <c r="C65" s="1" t="n">
        <v>46085</v>
      </c>
      <c r="D65" t="inlineStr">
        <is>
          <t>UPPSALA LÄN</t>
        </is>
      </c>
      <c r="E65" t="inlineStr">
        <is>
          <t>KNIVSTA</t>
        </is>
      </c>
      <c r="F65" t="inlineStr">
        <is>
          <t>Holmen skog AB</t>
        </is>
      </c>
      <c r="G65" t="n">
        <v>0.9</v>
      </c>
      <c r="H65" t="n">
        <v>0</v>
      </c>
      <c r="I65" t="n">
        <v>0</v>
      </c>
      <c r="J65" t="n">
        <v>0</v>
      </c>
      <c r="K65" t="n">
        <v>0</v>
      </c>
      <c r="L65" t="n">
        <v>0</v>
      </c>
      <c r="M65" t="n">
        <v>0</v>
      </c>
      <c r="N65" t="n">
        <v>0</v>
      </c>
      <c r="O65" t="n">
        <v>0</v>
      </c>
      <c r="P65" t="n">
        <v>0</v>
      </c>
      <c r="Q65" t="n">
        <v>0</v>
      </c>
      <c r="R65" s="2" t="inlineStr"/>
    </row>
    <row r="66" ht="15" customHeight="1">
      <c r="A66" t="inlineStr">
        <is>
          <t>A 51849-2023</t>
        </is>
      </c>
      <c r="B66" s="1" t="n">
        <v>45223.34391203704</v>
      </c>
      <c r="C66" s="1" t="n">
        <v>46085</v>
      </c>
      <c r="D66" t="inlineStr">
        <is>
          <t>UPPSALA LÄN</t>
        </is>
      </c>
      <c r="E66" t="inlineStr">
        <is>
          <t>KNIVSTA</t>
        </is>
      </c>
      <c r="G66" t="n">
        <v>16.3</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46085</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46085</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17333-2024</t>
        </is>
      </c>
      <c r="B69" s="1" t="n">
        <v>45414.5625462963</v>
      </c>
      <c r="C69" s="1" t="n">
        <v>46085</v>
      </c>
      <c r="D69" t="inlineStr">
        <is>
          <t>UPPSALA LÄN</t>
        </is>
      </c>
      <c r="E69" t="inlineStr">
        <is>
          <t>KNIVSTA</t>
        </is>
      </c>
      <c r="G69" t="n">
        <v>0.9</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46085</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52667-2025</t>
        </is>
      </c>
      <c r="B71" s="1" t="n">
        <v>45955.74666666667</v>
      </c>
      <c r="C71" s="1" t="n">
        <v>46085</v>
      </c>
      <c r="D71" t="inlineStr">
        <is>
          <t>UPPSALA LÄN</t>
        </is>
      </c>
      <c r="E71" t="inlineStr">
        <is>
          <t>KNIVSTA</t>
        </is>
      </c>
      <c r="G71" t="n">
        <v>1</v>
      </c>
      <c r="H71" t="n">
        <v>0</v>
      </c>
      <c r="I71" t="n">
        <v>0</v>
      </c>
      <c r="J71" t="n">
        <v>0</v>
      </c>
      <c r="K71" t="n">
        <v>0</v>
      </c>
      <c r="L71" t="n">
        <v>0</v>
      </c>
      <c r="M71" t="n">
        <v>0</v>
      </c>
      <c r="N71" t="n">
        <v>0</v>
      </c>
      <c r="O71" t="n">
        <v>0</v>
      </c>
      <c r="P71" t="n">
        <v>0</v>
      </c>
      <c r="Q71" t="n">
        <v>0</v>
      </c>
      <c r="R71" s="2" t="inlineStr"/>
    </row>
    <row r="72" ht="15" customHeight="1">
      <c r="A72" t="inlineStr">
        <is>
          <t>A 52666-2025</t>
        </is>
      </c>
      <c r="B72" s="1" t="n">
        <v>45955.74299768519</v>
      </c>
      <c r="C72" s="1" t="n">
        <v>46085</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66305-2021</t>
        </is>
      </c>
      <c r="B73" s="1" t="n">
        <v>44518</v>
      </c>
      <c r="C73" s="1" t="n">
        <v>46085</v>
      </c>
      <c r="D73" t="inlineStr">
        <is>
          <t>UPPSALA LÄN</t>
        </is>
      </c>
      <c r="E73" t="inlineStr">
        <is>
          <t>KNIVSTA</t>
        </is>
      </c>
      <c r="G73" t="n">
        <v>8.300000000000001</v>
      </c>
      <c r="H73" t="n">
        <v>0</v>
      </c>
      <c r="I73" t="n">
        <v>0</v>
      </c>
      <c r="J73" t="n">
        <v>0</v>
      </c>
      <c r="K73" t="n">
        <v>0</v>
      </c>
      <c r="L73" t="n">
        <v>0</v>
      </c>
      <c r="M73" t="n">
        <v>0</v>
      </c>
      <c r="N73" t="n">
        <v>0</v>
      </c>
      <c r="O73" t="n">
        <v>0</v>
      </c>
      <c r="P73" t="n">
        <v>0</v>
      </c>
      <c r="Q73" t="n">
        <v>0</v>
      </c>
      <c r="R73" s="2" t="inlineStr"/>
    </row>
    <row r="74" ht="15" customHeight="1">
      <c r="A74" t="inlineStr">
        <is>
          <t>A 53898-2025</t>
        </is>
      </c>
      <c r="B74" s="1" t="n">
        <v>45961.43056712963</v>
      </c>
      <c r="C74" s="1" t="n">
        <v>46085</v>
      </c>
      <c r="D74" t="inlineStr">
        <is>
          <t>UPPSALA LÄN</t>
        </is>
      </c>
      <c r="E74" t="inlineStr">
        <is>
          <t>KNIVSTA</t>
        </is>
      </c>
      <c r="G74" t="n">
        <v>4.5</v>
      </c>
      <c r="H74" t="n">
        <v>0</v>
      </c>
      <c r="I74" t="n">
        <v>0</v>
      </c>
      <c r="J74" t="n">
        <v>0</v>
      </c>
      <c r="K74" t="n">
        <v>0</v>
      </c>
      <c r="L74" t="n">
        <v>0</v>
      </c>
      <c r="M74" t="n">
        <v>0</v>
      </c>
      <c r="N74" t="n">
        <v>0</v>
      </c>
      <c r="O74" t="n">
        <v>0</v>
      </c>
      <c r="P74" t="n">
        <v>0</v>
      </c>
      <c r="Q74" t="n">
        <v>0</v>
      </c>
      <c r="R74" s="2" t="inlineStr"/>
    </row>
    <row r="75" ht="15" customHeight="1">
      <c r="A75" t="inlineStr">
        <is>
          <t>A 2628-2025</t>
        </is>
      </c>
      <c r="B75" s="1" t="n">
        <v>45675.68435185185</v>
      </c>
      <c r="C75" s="1" t="n">
        <v>46085</v>
      </c>
      <c r="D75" t="inlineStr">
        <is>
          <t>UPPSALA LÄN</t>
        </is>
      </c>
      <c r="E75" t="inlineStr">
        <is>
          <t>KNIVSTA</t>
        </is>
      </c>
      <c r="G75" t="n">
        <v>2.9</v>
      </c>
      <c r="H75" t="n">
        <v>0</v>
      </c>
      <c r="I75" t="n">
        <v>0</v>
      </c>
      <c r="J75" t="n">
        <v>0</v>
      </c>
      <c r="K75" t="n">
        <v>0</v>
      </c>
      <c r="L75" t="n">
        <v>0</v>
      </c>
      <c r="M75" t="n">
        <v>0</v>
      </c>
      <c r="N75" t="n">
        <v>0</v>
      </c>
      <c r="O75" t="n">
        <v>0</v>
      </c>
      <c r="P75" t="n">
        <v>0</v>
      </c>
      <c r="Q75" t="n">
        <v>0</v>
      </c>
      <c r="R75" s="2" t="inlineStr"/>
    </row>
    <row r="76" ht="15" customHeight="1">
      <c r="A76" t="inlineStr">
        <is>
          <t>A 14267-2025</t>
        </is>
      </c>
      <c r="B76" s="1" t="n">
        <v>45740.63686342593</v>
      </c>
      <c r="C76" s="1" t="n">
        <v>46085</v>
      </c>
      <c r="D76" t="inlineStr">
        <is>
          <t>UPPSALA LÄN</t>
        </is>
      </c>
      <c r="E76" t="inlineStr">
        <is>
          <t>KNIVSTA</t>
        </is>
      </c>
      <c r="G76" t="n">
        <v>3.9</v>
      </c>
      <c r="H76" t="n">
        <v>0</v>
      </c>
      <c r="I76" t="n">
        <v>0</v>
      </c>
      <c r="J76" t="n">
        <v>0</v>
      </c>
      <c r="K76" t="n">
        <v>0</v>
      </c>
      <c r="L76" t="n">
        <v>0</v>
      </c>
      <c r="M76" t="n">
        <v>0</v>
      </c>
      <c r="N76" t="n">
        <v>0</v>
      </c>
      <c r="O76" t="n">
        <v>0</v>
      </c>
      <c r="P76" t="n">
        <v>0</v>
      </c>
      <c r="Q76" t="n">
        <v>0</v>
      </c>
      <c r="R76" s="2" t="inlineStr"/>
    </row>
    <row r="77" ht="15" customHeight="1">
      <c r="A77" t="inlineStr">
        <is>
          <t>A 11841-2023</t>
        </is>
      </c>
      <c r="B77" s="1" t="n">
        <v>44995.3221412037</v>
      </c>
      <c r="C77" s="1" t="n">
        <v>46085</v>
      </c>
      <c r="D77" t="inlineStr">
        <is>
          <t>UPPSALA LÄN</t>
        </is>
      </c>
      <c r="E77" t="inlineStr">
        <is>
          <t>KNIVSTA</t>
        </is>
      </c>
      <c r="G77" t="n">
        <v>3.9</v>
      </c>
      <c r="H77" t="n">
        <v>0</v>
      </c>
      <c r="I77" t="n">
        <v>0</v>
      </c>
      <c r="J77" t="n">
        <v>0</v>
      </c>
      <c r="K77" t="n">
        <v>0</v>
      </c>
      <c r="L77" t="n">
        <v>0</v>
      </c>
      <c r="M77" t="n">
        <v>0</v>
      </c>
      <c r="N77" t="n">
        <v>0</v>
      </c>
      <c r="O77" t="n">
        <v>0</v>
      </c>
      <c r="P77" t="n">
        <v>0</v>
      </c>
      <c r="Q77" t="n">
        <v>0</v>
      </c>
      <c r="R77" s="2" t="inlineStr"/>
    </row>
    <row r="78" ht="15" customHeight="1">
      <c r="A78" t="inlineStr">
        <is>
          <t>A 11452-2023</t>
        </is>
      </c>
      <c r="B78" s="1" t="n">
        <v>44993</v>
      </c>
      <c r="C78" s="1" t="n">
        <v>46085</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46085</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57631-2025</t>
        </is>
      </c>
      <c r="B80" s="1" t="n">
        <v>45981.34748842593</v>
      </c>
      <c r="C80" s="1" t="n">
        <v>46085</v>
      </c>
      <c r="D80" t="inlineStr">
        <is>
          <t>UPPSALA LÄN</t>
        </is>
      </c>
      <c r="E80" t="inlineStr">
        <is>
          <t>KNIVSTA</t>
        </is>
      </c>
      <c r="G80" t="n">
        <v>3.4</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46085</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11847-2023</t>
        </is>
      </c>
      <c r="B82" s="1" t="n">
        <v>44995.33957175926</v>
      </c>
      <c r="C82" s="1" t="n">
        <v>46085</v>
      </c>
      <c r="D82" t="inlineStr">
        <is>
          <t>UPPSALA LÄN</t>
        </is>
      </c>
      <c r="E82" t="inlineStr">
        <is>
          <t>KNIVSTA</t>
        </is>
      </c>
      <c r="G82" t="n">
        <v>2.1</v>
      </c>
      <c r="H82" t="n">
        <v>0</v>
      </c>
      <c r="I82" t="n">
        <v>0</v>
      </c>
      <c r="J82" t="n">
        <v>0</v>
      </c>
      <c r="K82" t="n">
        <v>0</v>
      </c>
      <c r="L82" t="n">
        <v>0</v>
      </c>
      <c r="M82" t="n">
        <v>0</v>
      </c>
      <c r="N82" t="n">
        <v>0</v>
      </c>
      <c r="O82" t="n">
        <v>0</v>
      </c>
      <c r="P82" t="n">
        <v>0</v>
      </c>
      <c r="Q82" t="n">
        <v>0</v>
      </c>
      <c r="R82" s="2" t="inlineStr"/>
    </row>
    <row r="83" ht="15" customHeight="1">
      <c r="A83" t="inlineStr">
        <is>
          <t>A 11450-2023</t>
        </is>
      </c>
      <c r="B83" s="1" t="n">
        <v>44993</v>
      </c>
      <c r="C83" s="1" t="n">
        <v>46085</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34078-2022</t>
        </is>
      </c>
      <c r="B84" s="1" t="n">
        <v>44791</v>
      </c>
      <c r="C84" s="1" t="n">
        <v>46085</v>
      </c>
      <c r="D84" t="inlineStr">
        <is>
          <t>UPPSALA LÄN</t>
        </is>
      </c>
      <c r="E84" t="inlineStr">
        <is>
          <t>KNIVSTA</t>
        </is>
      </c>
      <c r="F84" t="inlineStr">
        <is>
          <t>Övriga statliga verk och myndigheter</t>
        </is>
      </c>
      <c r="G84" t="n">
        <v>1.8</v>
      </c>
      <c r="H84" t="n">
        <v>0</v>
      </c>
      <c r="I84" t="n">
        <v>0</v>
      </c>
      <c r="J84" t="n">
        <v>0</v>
      </c>
      <c r="K84" t="n">
        <v>0</v>
      </c>
      <c r="L84" t="n">
        <v>0</v>
      </c>
      <c r="M84" t="n">
        <v>0</v>
      </c>
      <c r="N84" t="n">
        <v>0</v>
      </c>
      <c r="O84" t="n">
        <v>0</v>
      </c>
      <c r="P84" t="n">
        <v>0</v>
      </c>
      <c r="Q84" t="n">
        <v>0</v>
      </c>
      <c r="R84" s="2" t="inlineStr"/>
    </row>
    <row r="85" ht="15" customHeight="1">
      <c r="A85" t="inlineStr">
        <is>
          <t>A 53812-2025</t>
        </is>
      </c>
      <c r="B85" s="1" t="n">
        <v>45960</v>
      </c>
      <c r="C85" s="1" t="n">
        <v>46085</v>
      </c>
      <c r="D85" t="inlineStr">
        <is>
          <t>UPPSALA LÄN</t>
        </is>
      </c>
      <c r="E85" t="inlineStr">
        <is>
          <t>KNIVSTA</t>
        </is>
      </c>
      <c r="G85" t="n">
        <v>5.8</v>
      </c>
      <c r="H85" t="n">
        <v>0</v>
      </c>
      <c r="I85" t="n">
        <v>0</v>
      </c>
      <c r="J85" t="n">
        <v>0</v>
      </c>
      <c r="K85" t="n">
        <v>0</v>
      </c>
      <c r="L85" t="n">
        <v>0</v>
      </c>
      <c r="M85" t="n">
        <v>0</v>
      </c>
      <c r="N85" t="n">
        <v>0</v>
      </c>
      <c r="O85" t="n">
        <v>0</v>
      </c>
      <c r="P85" t="n">
        <v>0</v>
      </c>
      <c r="Q85" t="n">
        <v>0</v>
      </c>
      <c r="R85" s="2" t="inlineStr"/>
    </row>
    <row r="86" ht="15" customHeight="1">
      <c r="A86" t="inlineStr">
        <is>
          <t>A 60243-2025</t>
        </is>
      </c>
      <c r="B86" s="1" t="n">
        <v>45994.58650462963</v>
      </c>
      <c r="C86" s="1" t="n">
        <v>46085</v>
      </c>
      <c r="D86" t="inlineStr">
        <is>
          <t>UPPSALA LÄN</t>
        </is>
      </c>
      <c r="E86" t="inlineStr">
        <is>
          <t>KNIVSTA</t>
        </is>
      </c>
      <c r="F86" t="inlineStr">
        <is>
          <t>Holmen skog AB</t>
        </is>
      </c>
      <c r="G86" t="n">
        <v>2.4</v>
      </c>
      <c r="H86" t="n">
        <v>0</v>
      </c>
      <c r="I86" t="n">
        <v>0</v>
      </c>
      <c r="J86" t="n">
        <v>0</v>
      </c>
      <c r="K86" t="n">
        <v>0</v>
      </c>
      <c r="L86" t="n">
        <v>0</v>
      </c>
      <c r="M86" t="n">
        <v>0</v>
      </c>
      <c r="N86" t="n">
        <v>0</v>
      </c>
      <c r="O86" t="n">
        <v>0</v>
      </c>
      <c r="P86" t="n">
        <v>0</v>
      </c>
      <c r="Q86" t="n">
        <v>0</v>
      </c>
      <c r="R86" s="2" t="inlineStr"/>
    </row>
    <row r="87" ht="15" customHeight="1">
      <c r="A87" t="inlineStr">
        <is>
          <t>A 31875-2022</t>
        </is>
      </c>
      <c r="B87" s="1" t="n">
        <v>44777</v>
      </c>
      <c r="C87" s="1" t="n">
        <v>46085</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46085</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3836-2026</t>
        </is>
      </c>
      <c r="B89" s="1" t="n">
        <v>46043.5925</v>
      </c>
      <c r="C89" s="1" t="n">
        <v>46085</v>
      </c>
      <c r="D89" t="inlineStr">
        <is>
          <t>UPPSALA LÄN</t>
        </is>
      </c>
      <c r="E89" t="inlineStr">
        <is>
          <t>KNIVSTA</t>
        </is>
      </c>
      <c r="G89" t="n">
        <v>3.7</v>
      </c>
      <c r="H89" t="n">
        <v>0</v>
      </c>
      <c r="I89" t="n">
        <v>0</v>
      </c>
      <c r="J89" t="n">
        <v>0</v>
      </c>
      <c r="K89" t="n">
        <v>0</v>
      </c>
      <c r="L89" t="n">
        <v>0</v>
      </c>
      <c r="M89" t="n">
        <v>0</v>
      </c>
      <c r="N89" t="n">
        <v>0</v>
      </c>
      <c r="O89" t="n">
        <v>0</v>
      </c>
      <c r="P89" t="n">
        <v>0</v>
      </c>
      <c r="Q89" t="n">
        <v>0</v>
      </c>
      <c r="R89" s="2" t="inlineStr"/>
    </row>
    <row r="90" ht="15" customHeight="1">
      <c r="A90" t="inlineStr">
        <is>
          <t>A 26182-2022</t>
        </is>
      </c>
      <c r="B90" s="1" t="n">
        <v>44735</v>
      </c>
      <c r="C90" s="1" t="n">
        <v>46085</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20505-2021</t>
        </is>
      </c>
      <c r="B91" s="1" t="n">
        <v>44313</v>
      </c>
      <c r="C91" s="1" t="n">
        <v>46085</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2629-2025</t>
        </is>
      </c>
      <c r="B92" s="1" t="n">
        <v>45675.6953587963</v>
      </c>
      <c r="C92" s="1" t="n">
        <v>46085</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23239-2023</t>
        </is>
      </c>
      <c r="B93" s="1" t="n">
        <v>45075</v>
      </c>
      <c r="C93" s="1" t="n">
        <v>46085</v>
      </c>
      <c r="D93" t="inlineStr">
        <is>
          <t>UPPSALA LÄN</t>
        </is>
      </c>
      <c r="E93" t="inlineStr">
        <is>
          <t>KNIVSTA</t>
        </is>
      </c>
      <c r="G93" t="n">
        <v>1.8</v>
      </c>
      <c r="H93" t="n">
        <v>0</v>
      </c>
      <c r="I93" t="n">
        <v>0</v>
      </c>
      <c r="J93" t="n">
        <v>0</v>
      </c>
      <c r="K93" t="n">
        <v>0</v>
      </c>
      <c r="L93" t="n">
        <v>0</v>
      </c>
      <c r="M93" t="n">
        <v>0</v>
      </c>
      <c r="N93" t="n">
        <v>0</v>
      </c>
      <c r="O93" t="n">
        <v>0</v>
      </c>
      <c r="P93" t="n">
        <v>0</v>
      </c>
      <c r="Q93" t="n">
        <v>0</v>
      </c>
      <c r="R93" s="2" t="inlineStr"/>
    </row>
    <row r="94" ht="15" customHeight="1">
      <c r="A94" t="inlineStr">
        <is>
          <t>A 5908-2026</t>
        </is>
      </c>
      <c r="B94" s="1" t="n">
        <v>46052.44399305555</v>
      </c>
      <c r="C94" s="1" t="n">
        <v>46085</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46085</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5910-2026</t>
        </is>
      </c>
      <c r="B96" s="1" t="n">
        <v>46052.44677083333</v>
      </c>
      <c r="C96" s="1" t="n">
        <v>46085</v>
      </c>
      <c r="D96" t="inlineStr">
        <is>
          <t>UPPSALA LÄN</t>
        </is>
      </c>
      <c r="E96" t="inlineStr">
        <is>
          <t>KNIVSTA</t>
        </is>
      </c>
      <c r="G96" t="n">
        <v>0.6</v>
      </c>
      <c r="H96" t="n">
        <v>0</v>
      </c>
      <c r="I96" t="n">
        <v>0</v>
      </c>
      <c r="J96" t="n">
        <v>0</v>
      </c>
      <c r="K96" t="n">
        <v>0</v>
      </c>
      <c r="L96" t="n">
        <v>0</v>
      </c>
      <c r="M96" t="n">
        <v>0</v>
      </c>
      <c r="N96" t="n">
        <v>0</v>
      </c>
      <c r="O96" t="n">
        <v>0</v>
      </c>
      <c r="P96" t="n">
        <v>0</v>
      </c>
      <c r="Q96" t="n">
        <v>0</v>
      </c>
      <c r="R96" s="2" t="inlineStr"/>
    </row>
    <row r="97" ht="15" customHeight="1">
      <c r="A97" t="inlineStr">
        <is>
          <t>A 5402-2023</t>
        </is>
      </c>
      <c r="B97" s="1" t="n">
        <v>44959</v>
      </c>
      <c r="C97" s="1" t="n">
        <v>46085</v>
      </c>
      <c r="D97" t="inlineStr">
        <is>
          <t>UPPSALA LÄN</t>
        </is>
      </c>
      <c r="E97" t="inlineStr">
        <is>
          <t>KNIVSTA</t>
        </is>
      </c>
      <c r="G97" t="n">
        <v>4.3</v>
      </c>
      <c r="H97" t="n">
        <v>0</v>
      </c>
      <c r="I97" t="n">
        <v>0</v>
      </c>
      <c r="J97" t="n">
        <v>0</v>
      </c>
      <c r="K97" t="n">
        <v>0</v>
      </c>
      <c r="L97" t="n">
        <v>0</v>
      </c>
      <c r="M97" t="n">
        <v>0</v>
      </c>
      <c r="N97" t="n">
        <v>0</v>
      </c>
      <c r="O97" t="n">
        <v>0</v>
      </c>
      <c r="P97" t="n">
        <v>0</v>
      </c>
      <c r="Q97" t="n">
        <v>0</v>
      </c>
      <c r="R97" s="2" t="inlineStr"/>
    </row>
    <row r="98" ht="15" customHeight="1">
      <c r="A98" t="inlineStr">
        <is>
          <t>A 45916-2022</t>
        </is>
      </c>
      <c r="B98" s="1" t="n">
        <v>44846</v>
      </c>
      <c r="C98" s="1" t="n">
        <v>46085</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46085</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ht="15" customHeight="1">
      <c r="A100" t="inlineStr">
        <is>
          <t>A 17091-2023</t>
        </is>
      </c>
      <c r="B100" s="1" t="n">
        <v>45034.53554398148</v>
      </c>
      <c r="C100" s="1" t="n">
        <v>46085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66293-2021</t>
        </is>
      </c>
      <c r="B101" s="1" t="n">
        <v>44518</v>
      </c>
      <c r="C101" s="1" t="n">
        <v>46085</v>
      </c>
      <c r="D101" t="inlineStr">
        <is>
          <t>UPPSALA LÄN</t>
        </is>
      </c>
      <c r="E101" t="inlineStr">
        <is>
          <t>KNIVSTA</t>
        </is>
      </c>
      <c r="G101" t="n">
        <v>2.6</v>
      </c>
      <c r="H101" t="n">
        <v>0</v>
      </c>
      <c r="I101" t="n">
        <v>0</v>
      </c>
      <c r="J101" t="n">
        <v>0</v>
      </c>
      <c r="K101" t="n">
        <v>0</v>
      </c>
      <c r="L101" t="n">
        <v>0</v>
      </c>
      <c r="M101" t="n">
        <v>0</v>
      </c>
      <c r="N101" t="n">
        <v>0</v>
      </c>
      <c r="O101" t="n">
        <v>0</v>
      </c>
      <c r="P101" t="n">
        <v>0</v>
      </c>
      <c r="Q101" t="n">
        <v>0</v>
      </c>
      <c r="R101" s="2" t="inlineStr"/>
    </row>
    <row r="102" ht="15" customHeight="1">
      <c r="A102" t="inlineStr">
        <is>
          <t>A 2171-2024</t>
        </is>
      </c>
      <c r="B102" s="1" t="n">
        <v>45309</v>
      </c>
      <c r="C102" s="1" t="n">
        <v>46085</v>
      </c>
      <c r="D102" t="inlineStr">
        <is>
          <t>UPPSALA LÄN</t>
        </is>
      </c>
      <c r="E102" t="inlineStr">
        <is>
          <t>KNIVSTA</t>
        </is>
      </c>
      <c r="F102" t="inlineStr">
        <is>
          <t>Holmen skog AB</t>
        </is>
      </c>
      <c r="G102" t="n">
        <v>3.3</v>
      </c>
      <c r="H102" t="n">
        <v>0</v>
      </c>
      <c r="I102" t="n">
        <v>0</v>
      </c>
      <c r="J102" t="n">
        <v>0</v>
      </c>
      <c r="K102" t="n">
        <v>0</v>
      </c>
      <c r="L102" t="n">
        <v>0</v>
      </c>
      <c r="M102" t="n">
        <v>0</v>
      </c>
      <c r="N102" t="n">
        <v>0</v>
      </c>
      <c r="O102" t="n">
        <v>0</v>
      </c>
      <c r="P102" t="n">
        <v>0</v>
      </c>
      <c r="Q102" t="n">
        <v>0</v>
      </c>
      <c r="R102" s="2" t="inlineStr"/>
    </row>
    <row r="103" ht="15" customHeight="1">
      <c r="A103" t="inlineStr">
        <is>
          <t>A 21130-2025</t>
        </is>
      </c>
      <c r="B103" s="1" t="n">
        <v>45778.35857638889</v>
      </c>
      <c r="C103" s="1" t="n">
        <v>46085</v>
      </c>
      <c r="D103" t="inlineStr">
        <is>
          <t>UPPSALA LÄN</t>
        </is>
      </c>
      <c r="E103" t="inlineStr">
        <is>
          <t>KNIVSTA</t>
        </is>
      </c>
      <c r="G103" t="n">
        <v>2.2</v>
      </c>
      <c r="H103" t="n">
        <v>0</v>
      </c>
      <c r="I103" t="n">
        <v>0</v>
      </c>
      <c r="J103" t="n">
        <v>0</v>
      </c>
      <c r="K103" t="n">
        <v>0</v>
      </c>
      <c r="L103" t="n">
        <v>0</v>
      </c>
      <c r="M103" t="n">
        <v>0</v>
      </c>
      <c r="N103" t="n">
        <v>0</v>
      </c>
      <c r="O103" t="n">
        <v>0</v>
      </c>
      <c r="P103" t="n">
        <v>0</v>
      </c>
      <c r="Q103" t="n">
        <v>0</v>
      </c>
      <c r="R103" s="2" t="inlineStr"/>
    </row>
    <row r="104" ht="15" customHeight="1">
      <c r="A104" t="inlineStr">
        <is>
          <t>A 794-2024</t>
        </is>
      </c>
      <c r="B104" s="1" t="n">
        <v>45300.58149305556</v>
      </c>
      <c r="C104" s="1" t="n">
        <v>46085</v>
      </c>
      <c r="D104" t="inlineStr">
        <is>
          <t>UPPSALA LÄN</t>
        </is>
      </c>
      <c r="E104" t="inlineStr">
        <is>
          <t>KNIVSTA</t>
        </is>
      </c>
      <c r="G104" t="n">
        <v>1.6</v>
      </c>
      <c r="H104" t="n">
        <v>0</v>
      </c>
      <c r="I104" t="n">
        <v>0</v>
      </c>
      <c r="J104" t="n">
        <v>0</v>
      </c>
      <c r="K104" t="n">
        <v>0</v>
      </c>
      <c r="L104" t="n">
        <v>0</v>
      </c>
      <c r="M104" t="n">
        <v>0</v>
      </c>
      <c r="N104" t="n">
        <v>0</v>
      </c>
      <c r="O104" t="n">
        <v>0</v>
      </c>
      <c r="P104" t="n">
        <v>0</v>
      </c>
      <c r="Q104" t="n">
        <v>0</v>
      </c>
      <c r="R104" s="2" t="inlineStr"/>
    </row>
    <row r="105" ht="15" customHeight="1">
      <c r="A105" t="inlineStr">
        <is>
          <t>A 20902-2024</t>
        </is>
      </c>
      <c r="B105" s="1" t="n">
        <v>45439.48104166667</v>
      </c>
      <c r="C105" s="1" t="n">
        <v>46085</v>
      </c>
      <c r="D105" t="inlineStr">
        <is>
          <t>UPPSALA LÄN</t>
        </is>
      </c>
      <c r="E105" t="inlineStr">
        <is>
          <t>KNIVSTA</t>
        </is>
      </c>
      <c r="G105" t="n">
        <v>1</v>
      </c>
      <c r="H105" t="n">
        <v>0</v>
      </c>
      <c r="I105" t="n">
        <v>0</v>
      </c>
      <c r="J105" t="n">
        <v>0</v>
      </c>
      <c r="K105" t="n">
        <v>0</v>
      </c>
      <c r="L105" t="n">
        <v>0</v>
      </c>
      <c r="M105" t="n">
        <v>0</v>
      </c>
      <c r="N105" t="n">
        <v>0</v>
      </c>
      <c r="O105" t="n">
        <v>0</v>
      </c>
      <c r="P105" t="n">
        <v>0</v>
      </c>
      <c r="Q105" t="n">
        <v>0</v>
      </c>
      <c r="R105" s="2" t="inlineStr"/>
    </row>
    <row r="106" ht="15" customHeight="1">
      <c r="A106" t="inlineStr">
        <is>
          <t>A 26226-2025</t>
        </is>
      </c>
      <c r="B106" s="1" t="n">
        <v>45805.55829861111</v>
      </c>
      <c r="C106" s="1" t="n">
        <v>46085</v>
      </c>
      <c r="D106" t="inlineStr">
        <is>
          <t>UPPSALA LÄN</t>
        </is>
      </c>
      <c r="E106" t="inlineStr">
        <is>
          <t>KNIVSTA</t>
        </is>
      </c>
      <c r="G106" t="n">
        <v>9.1</v>
      </c>
      <c r="H106" t="n">
        <v>0</v>
      </c>
      <c r="I106" t="n">
        <v>0</v>
      </c>
      <c r="J106" t="n">
        <v>0</v>
      </c>
      <c r="K106" t="n">
        <v>0</v>
      </c>
      <c r="L106" t="n">
        <v>0</v>
      </c>
      <c r="M106" t="n">
        <v>0</v>
      </c>
      <c r="N106" t="n">
        <v>0</v>
      </c>
      <c r="O106" t="n">
        <v>0</v>
      </c>
      <c r="P106" t="n">
        <v>0</v>
      </c>
      <c r="Q106" t="n">
        <v>0</v>
      </c>
      <c r="R106" s="2" t="inlineStr"/>
    </row>
    <row r="107" ht="15" customHeight="1">
      <c r="A107" t="inlineStr">
        <is>
          <t>A 28189-2025</t>
        </is>
      </c>
      <c r="B107" s="1" t="n">
        <v>45818.41357638889</v>
      </c>
      <c r="C107" s="1" t="n">
        <v>46085</v>
      </c>
      <c r="D107" t="inlineStr">
        <is>
          <t>UPPSALA LÄN</t>
        </is>
      </c>
      <c r="E107" t="inlineStr">
        <is>
          <t>KNIVSTA</t>
        </is>
      </c>
      <c r="G107" t="n">
        <v>7.6</v>
      </c>
      <c r="H107" t="n">
        <v>0</v>
      </c>
      <c r="I107" t="n">
        <v>0</v>
      </c>
      <c r="J107" t="n">
        <v>0</v>
      </c>
      <c r="K107" t="n">
        <v>0</v>
      </c>
      <c r="L107" t="n">
        <v>0</v>
      </c>
      <c r="M107" t="n">
        <v>0</v>
      </c>
      <c r="N107" t="n">
        <v>0</v>
      </c>
      <c r="O107" t="n">
        <v>0</v>
      </c>
      <c r="P107" t="n">
        <v>0</v>
      </c>
      <c r="Q107" t="n">
        <v>0</v>
      </c>
      <c r="R107" s="2" t="inlineStr"/>
    </row>
    <row r="108" ht="15" customHeight="1">
      <c r="A108" t="inlineStr">
        <is>
          <t>A 33975-2025</t>
        </is>
      </c>
      <c r="B108" s="1" t="n">
        <v>45843.30805555556</v>
      </c>
      <c r="C108" s="1" t="n">
        <v>46085</v>
      </c>
      <c r="D108" t="inlineStr">
        <is>
          <t>UPPSALA LÄN</t>
        </is>
      </c>
      <c r="E108" t="inlineStr">
        <is>
          <t>KNIVSTA</t>
        </is>
      </c>
      <c r="G108" t="n">
        <v>1.5</v>
      </c>
      <c r="H108" t="n">
        <v>0</v>
      </c>
      <c r="I108" t="n">
        <v>0</v>
      </c>
      <c r="J108" t="n">
        <v>0</v>
      </c>
      <c r="K108" t="n">
        <v>0</v>
      </c>
      <c r="L108" t="n">
        <v>0</v>
      </c>
      <c r="M108" t="n">
        <v>0</v>
      </c>
      <c r="N108" t="n">
        <v>0</v>
      </c>
      <c r="O108" t="n">
        <v>0</v>
      </c>
      <c r="P108" t="n">
        <v>0</v>
      </c>
      <c r="Q108" t="n">
        <v>0</v>
      </c>
      <c r="R108" s="2" t="inlineStr"/>
    </row>
    <row r="109" ht="15" customHeight="1">
      <c r="A109" t="inlineStr">
        <is>
          <t>A 33974-2025</t>
        </is>
      </c>
      <c r="B109" s="1" t="n">
        <v>45843.305625</v>
      </c>
      <c r="C109" s="1" t="n">
        <v>46085</v>
      </c>
      <c r="D109" t="inlineStr">
        <is>
          <t>UPPSALA LÄN</t>
        </is>
      </c>
      <c r="E109" t="inlineStr">
        <is>
          <t>KNIVSTA</t>
        </is>
      </c>
      <c r="G109" t="n">
        <v>2.6</v>
      </c>
      <c r="H109" t="n">
        <v>0</v>
      </c>
      <c r="I109" t="n">
        <v>0</v>
      </c>
      <c r="J109" t="n">
        <v>0</v>
      </c>
      <c r="K109" t="n">
        <v>0</v>
      </c>
      <c r="L109" t="n">
        <v>0</v>
      </c>
      <c r="M109" t="n">
        <v>0</v>
      </c>
      <c r="N109" t="n">
        <v>0</v>
      </c>
      <c r="O109" t="n">
        <v>0</v>
      </c>
      <c r="P109" t="n">
        <v>0</v>
      </c>
      <c r="Q109" t="n">
        <v>0</v>
      </c>
      <c r="R109" s="2" t="inlineStr"/>
    </row>
    <row r="110" ht="15" customHeight="1">
      <c r="A110" t="inlineStr">
        <is>
          <t>A 33976-2025</t>
        </is>
      </c>
      <c r="B110" s="1" t="n">
        <v>45843</v>
      </c>
      <c r="C110" s="1" t="n">
        <v>46085</v>
      </c>
      <c r="D110" t="inlineStr">
        <is>
          <t>UPPSALA LÄN</t>
        </is>
      </c>
      <c r="E110" t="inlineStr">
        <is>
          <t>KNIVSTA</t>
        </is>
      </c>
      <c r="G110" t="n">
        <v>6.1</v>
      </c>
      <c r="H110" t="n">
        <v>0</v>
      </c>
      <c r="I110" t="n">
        <v>0</v>
      </c>
      <c r="J110" t="n">
        <v>0</v>
      </c>
      <c r="K110" t="n">
        <v>0</v>
      </c>
      <c r="L110" t="n">
        <v>0</v>
      </c>
      <c r="M110" t="n">
        <v>0</v>
      </c>
      <c r="N110" t="n">
        <v>0</v>
      </c>
      <c r="O110" t="n">
        <v>0</v>
      </c>
      <c r="P110" t="n">
        <v>0</v>
      </c>
      <c r="Q110" t="n">
        <v>0</v>
      </c>
      <c r="R110" s="2" t="inlineStr"/>
    </row>
    <row r="111" ht="15" customHeight="1">
      <c r="A111" t="inlineStr">
        <is>
          <t>A 34859-2025</t>
        </is>
      </c>
      <c r="B111" s="1" t="n">
        <v>45849.43511574074</v>
      </c>
      <c r="C111" s="1" t="n">
        <v>46085</v>
      </c>
      <c r="D111" t="inlineStr">
        <is>
          <t>UPPSALA LÄN</t>
        </is>
      </c>
      <c r="E111" t="inlineStr">
        <is>
          <t>KNIVSTA</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34864-2025</t>
        </is>
      </c>
      <c r="B112" s="1" t="n">
        <v>45849.44028935185</v>
      </c>
      <c r="C112" s="1" t="n">
        <v>46085</v>
      </c>
      <c r="D112" t="inlineStr">
        <is>
          <t>UPPSALA LÄN</t>
        </is>
      </c>
      <c r="E112" t="inlineStr">
        <is>
          <t>KNIVSTA</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35318-2025</t>
        </is>
      </c>
      <c r="B113" s="1" t="n">
        <v>45854.47917824074</v>
      </c>
      <c r="C113" s="1" t="n">
        <v>46085</v>
      </c>
      <c r="D113" t="inlineStr">
        <is>
          <t>UPPSALA LÄN</t>
        </is>
      </c>
      <c r="E113" t="inlineStr">
        <is>
          <t>KNIVSTA</t>
        </is>
      </c>
      <c r="F113" t="inlineStr">
        <is>
          <t>Holmen skog AB</t>
        </is>
      </c>
      <c r="G113" t="n">
        <v>2.2</v>
      </c>
      <c r="H113" t="n">
        <v>0</v>
      </c>
      <c r="I113" t="n">
        <v>0</v>
      </c>
      <c r="J113" t="n">
        <v>0</v>
      </c>
      <c r="K113" t="n">
        <v>0</v>
      </c>
      <c r="L113" t="n">
        <v>0</v>
      </c>
      <c r="M113" t="n">
        <v>0</v>
      </c>
      <c r="N113" t="n">
        <v>0</v>
      </c>
      <c r="O113" t="n">
        <v>0</v>
      </c>
      <c r="P113" t="n">
        <v>0</v>
      </c>
      <c r="Q113" t="n">
        <v>0</v>
      </c>
      <c r="R113" s="2" t="inlineStr"/>
    </row>
    <row r="114" ht="15" customHeight="1">
      <c r="A114" t="inlineStr">
        <is>
          <t>A 36470-2025</t>
        </is>
      </c>
      <c r="B114" s="1" t="n">
        <v>45869.47915509259</v>
      </c>
      <c r="C114" s="1" t="n">
        <v>46085</v>
      </c>
      <c r="D114" t="inlineStr">
        <is>
          <t>UPPSALA LÄN</t>
        </is>
      </c>
      <c r="E114" t="inlineStr">
        <is>
          <t>KNIVSTA</t>
        </is>
      </c>
      <c r="G114" t="n">
        <v>3.6</v>
      </c>
      <c r="H114" t="n">
        <v>0</v>
      </c>
      <c r="I114" t="n">
        <v>0</v>
      </c>
      <c r="J114" t="n">
        <v>0</v>
      </c>
      <c r="K114" t="n">
        <v>0</v>
      </c>
      <c r="L114" t="n">
        <v>0</v>
      </c>
      <c r="M114" t="n">
        <v>0</v>
      </c>
      <c r="N114" t="n">
        <v>0</v>
      </c>
      <c r="O114" t="n">
        <v>0</v>
      </c>
      <c r="P114" t="n">
        <v>0</v>
      </c>
      <c r="Q114" t="n">
        <v>0</v>
      </c>
      <c r="R114" s="2" t="inlineStr"/>
    </row>
    <row r="115" ht="15" customHeight="1">
      <c r="A115" t="inlineStr">
        <is>
          <t>A 36472-2025</t>
        </is>
      </c>
      <c r="B115" s="1" t="n">
        <v>45869.48162037037</v>
      </c>
      <c r="C115" s="1" t="n">
        <v>46085</v>
      </c>
      <c r="D115" t="inlineStr">
        <is>
          <t>UPPSALA LÄN</t>
        </is>
      </c>
      <c r="E115" t="inlineStr">
        <is>
          <t>KNIVSTA</t>
        </is>
      </c>
      <c r="G115" t="n">
        <v>1.5</v>
      </c>
      <c r="H115" t="n">
        <v>0</v>
      </c>
      <c r="I115" t="n">
        <v>0</v>
      </c>
      <c r="J115" t="n">
        <v>0</v>
      </c>
      <c r="K115" t="n">
        <v>0</v>
      </c>
      <c r="L115" t="n">
        <v>0</v>
      </c>
      <c r="M115" t="n">
        <v>0</v>
      </c>
      <c r="N115" t="n">
        <v>0</v>
      </c>
      <c r="O115" t="n">
        <v>0</v>
      </c>
      <c r="P115" t="n">
        <v>0</v>
      </c>
      <c r="Q115" t="n">
        <v>0</v>
      </c>
      <c r="R115" s="2" t="inlineStr"/>
    </row>
    <row r="116">
      <c r="A116" t="inlineStr">
        <is>
          <t>A 36473-2025</t>
        </is>
      </c>
      <c r="B116" s="1" t="n">
        <v>45869.48333333333</v>
      </c>
      <c r="C116" s="1" t="n">
        <v>46085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2026-03-04T11:13:27Z</dcterms:created>
  <dcterms:modified xmlns:dcterms="http://purl.org/dc/terms/" xmlns:xsi="http://www.w3.org/2001/XMLSchema-instance" xsi:type="dcterms:W3CDTF">2026-03-04T11:13:27Z</dcterms:modified>
</cp:coreProperties>
</file>