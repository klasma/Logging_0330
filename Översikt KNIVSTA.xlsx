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46197</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46197</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46197</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46197</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46197</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46197</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46197</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46197</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12958-2026</t>
        </is>
      </c>
      <c r="B10" s="1" t="n">
        <v>46092</v>
      </c>
      <c r="C10" s="1" t="n">
        <v>46197</v>
      </c>
      <c r="D10" t="inlineStr">
        <is>
          <t>UPPSALA LÄN</t>
        </is>
      </c>
      <c r="E10" t="inlineStr">
        <is>
          <t>KNIVSTA</t>
        </is>
      </c>
      <c r="F10" t="inlineStr">
        <is>
          <t>Holmen skog AB</t>
        </is>
      </c>
      <c r="G10" t="n">
        <v>3.8</v>
      </c>
      <c r="H10" t="n">
        <v>1</v>
      </c>
      <c r="I10" t="n">
        <v>2</v>
      </c>
      <c r="J10" t="n">
        <v>2</v>
      </c>
      <c r="K10" t="n">
        <v>0</v>
      </c>
      <c r="L10" t="n">
        <v>0</v>
      </c>
      <c r="M10" t="n">
        <v>0</v>
      </c>
      <c r="N10" t="n">
        <v>0</v>
      </c>
      <c r="O10" t="n">
        <v>2</v>
      </c>
      <c r="P10" t="n">
        <v>0</v>
      </c>
      <c r="Q10" t="n">
        <v>5</v>
      </c>
      <c r="R10" s="2" t="inlineStr">
        <is>
          <t>Tallkötticka
Ullticka
Blodticka
Vågbandad barkbock
Tjäder</t>
        </is>
      </c>
      <c r="S10">
        <f>HYPERLINK("https://klasma.github.io/Logging_0330/artfynd/A 12958-2026 artfynd.xlsx", "A 12958-2026")</f>
        <v/>
      </c>
      <c r="T10">
        <f>HYPERLINK("https://klasma.github.io/Logging_0330/kartor/A 12958-2026 karta.png", "A 12958-2026")</f>
        <v/>
      </c>
      <c r="V10">
        <f>HYPERLINK("https://klasma.github.io/Logging_0330/klagomål/A 12958-2026 FSC-klagomål.docx", "A 12958-2026")</f>
        <v/>
      </c>
      <c r="W10">
        <f>HYPERLINK("https://klasma.github.io/Logging_0330/klagomålsmail/A 12958-2026 FSC-klagomål mail.docx", "A 12958-2026")</f>
        <v/>
      </c>
      <c r="X10">
        <f>HYPERLINK("https://klasma.github.io/Logging_0330/tillsyn/A 12958-2026 tillsynsbegäran.docx", "A 12958-2026")</f>
        <v/>
      </c>
      <c r="Y10">
        <f>HYPERLINK("https://klasma.github.io/Logging_0330/tillsynsmail/A 12958-2026 tillsynsbegäran mail.docx", "A 12958-2026")</f>
        <v/>
      </c>
      <c r="Z10">
        <f>HYPERLINK("https://klasma.github.io/Logging_0330/fåglar/A 12958-2026 prioriterade fågelarter.docx", "A 12958-2026")</f>
        <v/>
      </c>
    </row>
    <row r="11" ht="15" customHeight="1">
      <c r="A11" t="inlineStr">
        <is>
          <t>A 17101-2023</t>
        </is>
      </c>
      <c r="B11" s="1" t="n">
        <v>45034</v>
      </c>
      <c r="C11" s="1" t="n">
        <v>46197</v>
      </c>
      <c r="D11" t="inlineStr">
        <is>
          <t>UPPSALA LÄN</t>
        </is>
      </c>
      <c r="E11" t="inlineStr">
        <is>
          <t>KNIVSTA</t>
        </is>
      </c>
      <c r="G11" t="n">
        <v>4.2</v>
      </c>
      <c r="H11" t="n">
        <v>3</v>
      </c>
      <c r="I11" t="n">
        <v>2</v>
      </c>
      <c r="J11" t="n">
        <v>3</v>
      </c>
      <c r="K11" t="n">
        <v>0</v>
      </c>
      <c r="L11" t="n">
        <v>0</v>
      </c>
      <c r="M11" t="n">
        <v>0</v>
      </c>
      <c r="N11" t="n">
        <v>0</v>
      </c>
      <c r="O11" t="n">
        <v>3</v>
      </c>
      <c r="P11" t="n">
        <v>0</v>
      </c>
      <c r="Q11" t="n">
        <v>5</v>
      </c>
      <c r="R11" s="2" t="inlineStr">
        <is>
          <t>Entita
Mindre hackspett
Ullticka
Grön sköldmossa
Trådticka</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9553-2025</t>
        </is>
      </c>
      <c r="B12" s="1" t="n">
        <v>45715</v>
      </c>
      <c r="C12" s="1" t="n">
        <v>46197</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46197</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46197</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13004-2026</t>
        </is>
      </c>
      <c r="B15" s="1" t="n">
        <v>46092</v>
      </c>
      <c r="C15" s="1" t="n">
        <v>46197</v>
      </c>
      <c r="D15" t="inlineStr">
        <is>
          <t>UPPSALA LÄN</t>
        </is>
      </c>
      <c r="E15" t="inlineStr">
        <is>
          <t>KNIVSTA</t>
        </is>
      </c>
      <c r="F15" t="inlineStr">
        <is>
          <t>Holmen skog AB</t>
        </is>
      </c>
      <c r="G15" t="n">
        <v>7.8</v>
      </c>
      <c r="H15" t="n">
        <v>2</v>
      </c>
      <c r="I15" t="n">
        <v>0</v>
      </c>
      <c r="J15" t="n">
        <v>0</v>
      </c>
      <c r="K15" t="n">
        <v>1</v>
      </c>
      <c r="L15" t="n">
        <v>0</v>
      </c>
      <c r="M15" t="n">
        <v>0</v>
      </c>
      <c r="N15" t="n">
        <v>0</v>
      </c>
      <c r="O15" t="n">
        <v>1</v>
      </c>
      <c r="P15" t="n">
        <v>1</v>
      </c>
      <c r="Q15" t="n">
        <v>2</v>
      </c>
      <c r="R15" s="2" t="inlineStr">
        <is>
          <t>Knärot
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61768-2025</t>
        </is>
      </c>
      <c r="B16" s="1" t="n">
        <v>46002</v>
      </c>
      <c r="C16" s="1" t="n">
        <v>46197</v>
      </c>
      <c r="D16" t="inlineStr">
        <is>
          <t>UPPSALA LÄN</t>
        </is>
      </c>
      <c r="E16" t="inlineStr">
        <is>
          <t>KNIVSTA</t>
        </is>
      </c>
      <c r="G16" t="n">
        <v>3</v>
      </c>
      <c r="H16" t="n">
        <v>0</v>
      </c>
      <c r="I16" t="n">
        <v>1</v>
      </c>
      <c r="J16" t="n">
        <v>1</v>
      </c>
      <c r="K16" t="n">
        <v>0</v>
      </c>
      <c r="L16" t="n">
        <v>0</v>
      </c>
      <c r="M16" t="n">
        <v>0</v>
      </c>
      <c r="N16" t="n">
        <v>0</v>
      </c>
      <c r="O16" t="n">
        <v>1</v>
      </c>
      <c r="P16" t="n">
        <v>0</v>
      </c>
      <c r="Q16" t="n">
        <v>2</v>
      </c>
      <c r="R16" s="2" t="inlineStr">
        <is>
          <t>Gullpudra
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18576-2026</t>
        </is>
      </c>
      <c r="B17" s="1" t="n">
        <v>46127</v>
      </c>
      <c r="C17" s="1" t="n">
        <v>46197</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3836-2026</t>
        </is>
      </c>
      <c r="B18" s="1" t="n">
        <v>46043</v>
      </c>
      <c r="C18" s="1" t="n">
        <v>46197</v>
      </c>
      <c r="D18" t="inlineStr">
        <is>
          <t>UPPSALA LÄN</t>
        </is>
      </c>
      <c r="E18" t="inlineStr">
        <is>
          <t>KNIVSTA</t>
        </is>
      </c>
      <c r="G18" t="n">
        <v>3.7</v>
      </c>
      <c r="H18" t="n">
        <v>1</v>
      </c>
      <c r="I18" t="n">
        <v>0</v>
      </c>
      <c r="J18" t="n">
        <v>0</v>
      </c>
      <c r="K18" t="n">
        <v>0</v>
      </c>
      <c r="L18" t="n">
        <v>0</v>
      </c>
      <c r="M18" t="n">
        <v>0</v>
      </c>
      <c r="N18" t="n">
        <v>0</v>
      </c>
      <c r="O18" t="n">
        <v>0</v>
      </c>
      <c r="P18" t="n">
        <v>0</v>
      </c>
      <c r="Q18" t="n">
        <v>1</v>
      </c>
      <c r="R18" s="2" t="inlineStr">
        <is>
          <t>Spillkråka</t>
        </is>
      </c>
      <c r="S18">
        <f>HYPERLINK("https://klasma.github.io/Logging_0330/artfynd/A 3836-2026 artfynd.xlsx", "A 3836-2026")</f>
        <v/>
      </c>
      <c r="T18">
        <f>HYPERLINK("https://klasma.github.io/Logging_0330/kartor/A 3836-2026 karta.png", "A 3836-2026")</f>
        <v/>
      </c>
      <c r="V18">
        <f>HYPERLINK("https://klasma.github.io/Logging_0330/klagomål/A 3836-2026 FSC-klagomål.docx", "A 3836-2026")</f>
        <v/>
      </c>
      <c r="W18">
        <f>HYPERLINK("https://klasma.github.io/Logging_0330/klagomålsmail/A 3836-2026 FSC-klagomål mail.docx", "A 3836-2026")</f>
        <v/>
      </c>
      <c r="X18">
        <f>HYPERLINK("https://klasma.github.io/Logging_0330/tillsyn/A 3836-2026 tillsynsbegäran.docx", "A 3836-2026")</f>
        <v/>
      </c>
      <c r="Y18">
        <f>HYPERLINK("https://klasma.github.io/Logging_0330/tillsynsmail/A 3836-2026 tillsynsbegäran mail.docx", "A 3836-2026")</f>
        <v/>
      </c>
      <c r="Z18">
        <f>HYPERLINK("https://klasma.github.io/Logging_0330/fåglar/A 3836-2026 prioriterade fågelarter.docx", "A 3836-2026")</f>
        <v/>
      </c>
    </row>
    <row r="19" ht="15" customHeight="1">
      <c r="A19" t="inlineStr">
        <is>
          <t>A 11405-2025</t>
        </is>
      </c>
      <c r="B19" s="1" t="n">
        <v>45726</v>
      </c>
      <c r="C19" s="1" t="n">
        <v>46197</v>
      </c>
      <c r="D19" t="inlineStr">
        <is>
          <t>UPPSALA LÄN</t>
        </is>
      </c>
      <c r="E19" t="inlineStr">
        <is>
          <t>KNIVSTA</t>
        </is>
      </c>
      <c r="G19" t="n">
        <v>1.6</v>
      </c>
      <c r="H19" t="n">
        <v>0</v>
      </c>
      <c r="I19" t="n">
        <v>0</v>
      </c>
      <c r="J19" t="n">
        <v>0</v>
      </c>
      <c r="K19" t="n">
        <v>1</v>
      </c>
      <c r="L19" t="n">
        <v>0</v>
      </c>
      <c r="M19" t="n">
        <v>0</v>
      </c>
      <c r="N19" t="n">
        <v>0</v>
      </c>
      <c r="O19" t="n">
        <v>1</v>
      </c>
      <c r="P19" t="n">
        <v>1</v>
      </c>
      <c r="Q19" t="n">
        <v>1</v>
      </c>
      <c r="R19" s="2" t="inlineStr">
        <is>
          <t>Fältgentiana</t>
        </is>
      </c>
      <c r="S19">
        <f>HYPERLINK("https://klasma.github.io/Logging_0330/artfynd/A 11405-2025 artfynd.xlsx", "A 11405-2025")</f>
        <v/>
      </c>
      <c r="T19">
        <f>HYPERLINK("https://klasma.github.io/Logging_0330/kartor/A 11405-2025 karta.png", "A 11405-2025")</f>
        <v/>
      </c>
      <c r="V19">
        <f>HYPERLINK("https://klasma.github.io/Logging_0330/klagomål/A 11405-2025 FSC-klagomål.docx", "A 11405-2025")</f>
        <v/>
      </c>
      <c r="W19">
        <f>HYPERLINK("https://klasma.github.io/Logging_0330/klagomålsmail/A 11405-2025 FSC-klagomål mail.docx", "A 11405-2025")</f>
        <v/>
      </c>
      <c r="X19">
        <f>HYPERLINK("https://klasma.github.io/Logging_0330/tillsyn/A 11405-2025 tillsynsbegäran.docx", "A 11405-2025")</f>
        <v/>
      </c>
      <c r="Y19">
        <f>HYPERLINK("https://klasma.github.io/Logging_0330/tillsynsmail/A 11405-2025 tillsynsbegäran mail.docx", "A 11405-2025")</f>
        <v/>
      </c>
    </row>
    <row r="20" ht="15" customHeight="1">
      <c r="A20" t="inlineStr">
        <is>
          <t>A 9561-2026</t>
        </is>
      </c>
      <c r="B20" s="1" t="n">
        <v>46071</v>
      </c>
      <c r="C20" s="1" t="n">
        <v>46197</v>
      </c>
      <c r="D20" t="inlineStr">
        <is>
          <t>UPPSALA LÄN</t>
        </is>
      </c>
      <c r="E20" t="inlineStr">
        <is>
          <t>KNIVSTA</t>
        </is>
      </c>
      <c r="F20" t="inlineStr">
        <is>
          <t>Övriga statliga verk och myndigheter</t>
        </is>
      </c>
      <c r="G20" t="n">
        <v>2.6</v>
      </c>
      <c r="H20" t="n">
        <v>0</v>
      </c>
      <c r="I20" t="n">
        <v>0</v>
      </c>
      <c r="J20" t="n">
        <v>1</v>
      </c>
      <c r="K20" t="n">
        <v>0</v>
      </c>
      <c r="L20" t="n">
        <v>0</v>
      </c>
      <c r="M20" t="n">
        <v>0</v>
      </c>
      <c r="N20" t="n">
        <v>0</v>
      </c>
      <c r="O20" t="n">
        <v>1</v>
      </c>
      <c r="P20" t="n">
        <v>0</v>
      </c>
      <c r="Q20" t="n">
        <v>1</v>
      </c>
      <c r="R20" s="2" t="inlineStr">
        <is>
          <t>Svartöra</t>
        </is>
      </c>
      <c r="S20">
        <f>HYPERLINK("https://klasma.github.io/Logging_0330/artfynd/A 9561-2026 artfynd.xlsx", "A 9561-2026")</f>
        <v/>
      </c>
      <c r="T20">
        <f>HYPERLINK("https://klasma.github.io/Logging_0330/kartor/A 9561-2026 karta.png", "A 9561-2026")</f>
        <v/>
      </c>
      <c r="V20">
        <f>HYPERLINK("https://klasma.github.io/Logging_0330/klagomål/A 9561-2026 FSC-klagomål.docx", "A 9561-2026")</f>
        <v/>
      </c>
      <c r="W20">
        <f>HYPERLINK("https://klasma.github.io/Logging_0330/klagomålsmail/A 9561-2026 FSC-klagomål mail.docx", "A 9561-2026")</f>
        <v/>
      </c>
      <c r="X20">
        <f>HYPERLINK("https://klasma.github.io/Logging_0330/tillsyn/A 9561-2026 tillsynsbegäran.docx", "A 9561-2026")</f>
        <v/>
      </c>
      <c r="Y20">
        <f>HYPERLINK("https://klasma.github.io/Logging_0330/tillsynsmail/A 9561-2026 tillsynsbegäran mail.docx", "A 9561-2026")</f>
        <v/>
      </c>
    </row>
    <row r="21" ht="15" customHeight="1">
      <c r="A21" t="inlineStr">
        <is>
          <t>A 12991-2026</t>
        </is>
      </c>
      <c r="B21" s="1" t="n">
        <v>46092</v>
      </c>
      <c r="C21" s="1" t="n">
        <v>46197</v>
      </c>
      <c r="D21" t="inlineStr">
        <is>
          <t>UPPSALA LÄN</t>
        </is>
      </c>
      <c r="E21" t="inlineStr">
        <is>
          <t>KNIVSTA</t>
        </is>
      </c>
      <c r="F21" t="inlineStr">
        <is>
          <t>Holmen skog AB</t>
        </is>
      </c>
      <c r="G21" t="n">
        <v>4.6</v>
      </c>
      <c r="H21" t="n">
        <v>1</v>
      </c>
      <c r="I21" t="n">
        <v>0</v>
      </c>
      <c r="J21" t="n">
        <v>0</v>
      </c>
      <c r="K21" t="n">
        <v>0</v>
      </c>
      <c r="L21" t="n">
        <v>0</v>
      </c>
      <c r="M21" t="n">
        <v>0</v>
      </c>
      <c r="N21" t="n">
        <v>0</v>
      </c>
      <c r="O21" t="n">
        <v>0</v>
      </c>
      <c r="P21" t="n">
        <v>0</v>
      </c>
      <c r="Q21" t="n">
        <v>1</v>
      </c>
      <c r="R21" s="2" t="inlineStr">
        <is>
          <t>Tjäder</t>
        </is>
      </c>
      <c r="S21">
        <f>HYPERLINK("https://klasma.github.io/Logging_0330/artfynd/A 12991-2026 artfynd.xlsx", "A 12991-2026")</f>
        <v/>
      </c>
      <c r="T21">
        <f>HYPERLINK("https://klasma.github.io/Logging_0330/kartor/A 12991-2026 karta.png", "A 12991-2026")</f>
        <v/>
      </c>
      <c r="V21">
        <f>HYPERLINK("https://klasma.github.io/Logging_0330/klagomål/A 12991-2026 FSC-klagomål.docx", "A 12991-2026")</f>
        <v/>
      </c>
      <c r="W21">
        <f>HYPERLINK("https://klasma.github.io/Logging_0330/klagomålsmail/A 12991-2026 FSC-klagomål mail.docx", "A 12991-2026")</f>
        <v/>
      </c>
      <c r="X21">
        <f>HYPERLINK("https://klasma.github.io/Logging_0330/tillsyn/A 12991-2026 tillsynsbegäran.docx", "A 12991-2026")</f>
        <v/>
      </c>
      <c r="Y21">
        <f>HYPERLINK("https://klasma.github.io/Logging_0330/tillsynsmail/A 12991-2026 tillsynsbegäran mail.docx", "A 12991-2026")</f>
        <v/>
      </c>
      <c r="Z21">
        <f>HYPERLINK("https://klasma.github.io/Logging_0330/fåglar/A 12991-2026 prioriterade fågelarter.docx", "A 12991-2026")</f>
        <v/>
      </c>
    </row>
    <row r="22" ht="15" customHeight="1">
      <c r="A22" t="inlineStr">
        <is>
          <t>A 33770-2023</t>
        </is>
      </c>
      <c r="B22" s="1" t="n">
        <v>45133</v>
      </c>
      <c r="C22" s="1" t="n">
        <v>46197</v>
      </c>
      <c r="D22" t="inlineStr">
        <is>
          <t>UPPSALA LÄN</t>
        </is>
      </c>
      <c r="E22" t="inlineStr">
        <is>
          <t>KNIVSTA</t>
        </is>
      </c>
      <c r="F22" t="inlineStr">
        <is>
          <t>Holmen skog AB</t>
        </is>
      </c>
      <c r="G22" t="n">
        <v>4</v>
      </c>
      <c r="H22" t="n">
        <v>1</v>
      </c>
      <c r="I22" t="n">
        <v>0</v>
      </c>
      <c r="J22" t="n">
        <v>0</v>
      </c>
      <c r="K22" t="n">
        <v>0</v>
      </c>
      <c r="L22" t="n">
        <v>0</v>
      </c>
      <c r="M22" t="n">
        <v>0</v>
      </c>
      <c r="N22" t="n">
        <v>0</v>
      </c>
      <c r="O22" t="n">
        <v>0</v>
      </c>
      <c r="P22" t="n">
        <v>0</v>
      </c>
      <c r="Q22" t="n">
        <v>1</v>
      </c>
      <c r="R22" s="2" t="inlineStr">
        <is>
          <t>Slaguggla</t>
        </is>
      </c>
      <c r="S22">
        <f>HYPERLINK("https://klasma.github.io/Logging_0330/artfynd/A 33770-2023 artfynd.xlsx", "A 33770-2023")</f>
        <v/>
      </c>
      <c r="T22">
        <f>HYPERLINK("https://klasma.github.io/Logging_0330/kartor/A 33770-2023 karta.png", "A 33770-2023")</f>
        <v/>
      </c>
      <c r="V22">
        <f>HYPERLINK("https://klasma.github.io/Logging_0330/klagomål/A 33770-2023 FSC-klagomål.docx", "A 33770-2023")</f>
        <v/>
      </c>
      <c r="W22">
        <f>HYPERLINK("https://klasma.github.io/Logging_0330/klagomålsmail/A 33770-2023 FSC-klagomål mail.docx", "A 33770-2023")</f>
        <v/>
      </c>
      <c r="X22">
        <f>HYPERLINK("https://klasma.github.io/Logging_0330/tillsyn/A 33770-2023 tillsynsbegäran.docx", "A 33770-2023")</f>
        <v/>
      </c>
      <c r="Y22">
        <f>HYPERLINK("https://klasma.github.io/Logging_0330/tillsynsmail/A 33770-2023 tillsynsbegäran mail.docx", "A 33770-2023")</f>
        <v/>
      </c>
      <c r="Z22">
        <f>HYPERLINK("https://klasma.github.io/Logging_0330/fåglar/A 33770-2023 prioriterade fågelarter.docx", "A 33770-2023")</f>
        <v/>
      </c>
    </row>
    <row r="23" ht="15" customHeight="1">
      <c r="A23" t="inlineStr">
        <is>
          <t>A 13002-2026</t>
        </is>
      </c>
      <c r="B23" s="1" t="n">
        <v>46092</v>
      </c>
      <c r="C23" s="1" t="n">
        <v>46197</v>
      </c>
      <c r="D23" t="inlineStr">
        <is>
          <t>UPPSALA LÄN</t>
        </is>
      </c>
      <c r="E23" t="inlineStr">
        <is>
          <t>KNIVSTA</t>
        </is>
      </c>
      <c r="F23" t="inlineStr">
        <is>
          <t>Holmen skog AB</t>
        </is>
      </c>
      <c r="G23" t="n">
        <v>0.7</v>
      </c>
      <c r="H23" t="n">
        <v>1</v>
      </c>
      <c r="I23" t="n">
        <v>0</v>
      </c>
      <c r="J23" t="n">
        <v>0</v>
      </c>
      <c r="K23" t="n">
        <v>1</v>
      </c>
      <c r="L23" t="n">
        <v>0</v>
      </c>
      <c r="M23" t="n">
        <v>0</v>
      </c>
      <c r="N23" t="n">
        <v>0</v>
      </c>
      <c r="O23" t="n">
        <v>1</v>
      </c>
      <c r="P23" t="n">
        <v>1</v>
      </c>
      <c r="Q23" t="n">
        <v>1</v>
      </c>
      <c r="R23" s="2" t="inlineStr">
        <is>
          <t>Knärot</t>
        </is>
      </c>
      <c r="S23">
        <f>HYPERLINK("https://klasma.github.io/Logging_0330/artfynd/A 13002-2026 artfynd.xlsx", "A 13002-2026")</f>
        <v/>
      </c>
      <c r="T23">
        <f>HYPERLINK("https://klasma.github.io/Logging_0330/kartor/A 13002-2026 karta.png", "A 13002-2026")</f>
        <v/>
      </c>
      <c r="U23">
        <f>HYPERLINK("https://klasma.github.io/Logging_0330/knärot/A 13002-2026 karta knärot.png", "A 13002-2026")</f>
        <v/>
      </c>
      <c r="V23">
        <f>HYPERLINK("https://klasma.github.io/Logging_0330/klagomål/A 13002-2026 FSC-klagomål.docx", "A 13002-2026")</f>
        <v/>
      </c>
      <c r="W23">
        <f>HYPERLINK("https://klasma.github.io/Logging_0330/klagomålsmail/A 13002-2026 FSC-klagomål mail.docx", "A 13002-2026")</f>
        <v/>
      </c>
      <c r="X23">
        <f>HYPERLINK("https://klasma.github.io/Logging_0330/tillsyn/A 13002-2026 tillsynsbegäran.docx", "A 13002-2026")</f>
        <v/>
      </c>
      <c r="Y23">
        <f>HYPERLINK("https://klasma.github.io/Logging_0330/tillsynsmail/A 13002-2026 tillsynsbegäran mail.docx", "A 13002-2026")</f>
        <v/>
      </c>
    </row>
    <row r="24" ht="15" customHeight="1">
      <c r="A24" t="inlineStr">
        <is>
          <t>A 13380-2026</t>
        </is>
      </c>
      <c r="B24" s="1" t="n">
        <v>46094</v>
      </c>
      <c r="C24" s="1" t="n">
        <v>46197</v>
      </c>
      <c r="D24" t="inlineStr">
        <is>
          <t>UPPSALA LÄN</t>
        </is>
      </c>
      <c r="E24" t="inlineStr">
        <is>
          <t>KNIVSTA</t>
        </is>
      </c>
      <c r="G24" t="n">
        <v>1.7</v>
      </c>
      <c r="H24" t="n">
        <v>1</v>
      </c>
      <c r="I24" t="n">
        <v>0</v>
      </c>
      <c r="J24" t="n">
        <v>0</v>
      </c>
      <c r="K24" t="n">
        <v>0</v>
      </c>
      <c r="L24" t="n">
        <v>0</v>
      </c>
      <c r="M24" t="n">
        <v>0</v>
      </c>
      <c r="N24" t="n">
        <v>0</v>
      </c>
      <c r="O24" t="n">
        <v>0</v>
      </c>
      <c r="P24" t="n">
        <v>0</v>
      </c>
      <c r="Q24" t="n">
        <v>1</v>
      </c>
      <c r="R24" s="2" t="inlineStr">
        <is>
          <t>Spillkråka</t>
        </is>
      </c>
      <c r="S24">
        <f>HYPERLINK("https://klasma.github.io/Logging_0330/artfynd/A 13380-2026 artfynd.xlsx", "A 13380-2026")</f>
        <v/>
      </c>
      <c r="T24">
        <f>HYPERLINK("https://klasma.github.io/Logging_0330/kartor/A 13380-2026 karta.png", "A 13380-2026")</f>
        <v/>
      </c>
      <c r="V24">
        <f>HYPERLINK("https://klasma.github.io/Logging_0330/klagomål/A 13380-2026 FSC-klagomål.docx", "A 13380-2026")</f>
        <v/>
      </c>
      <c r="W24">
        <f>HYPERLINK("https://klasma.github.io/Logging_0330/klagomålsmail/A 13380-2026 FSC-klagomål mail.docx", "A 13380-2026")</f>
        <v/>
      </c>
      <c r="X24">
        <f>HYPERLINK("https://klasma.github.io/Logging_0330/tillsyn/A 13380-2026 tillsynsbegäran.docx", "A 13380-2026")</f>
        <v/>
      </c>
      <c r="Y24">
        <f>HYPERLINK("https://klasma.github.io/Logging_0330/tillsynsmail/A 13380-2026 tillsynsbegäran mail.docx", "A 13380-2026")</f>
        <v/>
      </c>
      <c r="Z24">
        <f>HYPERLINK("https://klasma.github.io/Logging_0330/fåglar/A 13380-2026 prioriterade fågelarter.docx", "A 13380-2026")</f>
        <v/>
      </c>
    </row>
    <row r="25" ht="15" customHeight="1">
      <c r="A25" t="inlineStr">
        <is>
          <t>A 5402-2023</t>
        </is>
      </c>
      <c r="B25" s="1" t="n">
        <v>44959</v>
      </c>
      <c r="C25" s="1" t="n">
        <v>46197</v>
      </c>
      <c r="D25" t="inlineStr">
        <is>
          <t>UPPSALA LÄN</t>
        </is>
      </c>
      <c r="E25" t="inlineStr">
        <is>
          <t>KNIVSTA</t>
        </is>
      </c>
      <c r="G25" t="n">
        <v>4.3</v>
      </c>
      <c r="H25" t="n">
        <v>0</v>
      </c>
      <c r="I25" t="n">
        <v>0</v>
      </c>
      <c r="J25" t="n">
        <v>0</v>
      </c>
      <c r="K25" t="n">
        <v>1</v>
      </c>
      <c r="L25" t="n">
        <v>0</v>
      </c>
      <c r="M25" t="n">
        <v>0</v>
      </c>
      <c r="N25" t="n">
        <v>0</v>
      </c>
      <c r="O25" t="n">
        <v>1</v>
      </c>
      <c r="P25" t="n">
        <v>1</v>
      </c>
      <c r="Q25" t="n">
        <v>1</v>
      </c>
      <c r="R25" s="2" t="inlineStr">
        <is>
          <t>Askfingersvamp</t>
        </is>
      </c>
      <c r="S25">
        <f>HYPERLINK("https://klasma.github.io/Logging_0330/artfynd/A 5402-2023 artfynd.xlsx", "A 5402-2023")</f>
        <v/>
      </c>
      <c r="T25">
        <f>HYPERLINK("https://klasma.github.io/Logging_0330/kartor/A 5402-2023 karta.png", "A 5402-2023")</f>
        <v/>
      </c>
      <c r="V25">
        <f>HYPERLINK("https://klasma.github.io/Logging_0330/klagomål/A 5402-2023 FSC-klagomål.docx", "A 5402-2023")</f>
        <v/>
      </c>
      <c r="W25">
        <f>HYPERLINK("https://klasma.github.io/Logging_0330/klagomålsmail/A 5402-2023 FSC-klagomål mail.docx", "A 5402-2023")</f>
        <v/>
      </c>
      <c r="X25">
        <f>HYPERLINK("https://klasma.github.io/Logging_0330/tillsyn/A 5402-2023 tillsynsbegäran.docx", "A 5402-2023")</f>
        <v/>
      </c>
      <c r="Y25">
        <f>HYPERLINK("https://klasma.github.io/Logging_0330/tillsynsmail/A 5402-2023 tillsynsbegäran mail.docx", "A 5402-2023")</f>
        <v/>
      </c>
    </row>
    <row r="26" ht="15" customHeight="1">
      <c r="A26" t="inlineStr">
        <is>
          <t>A 666-2026</t>
        </is>
      </c>
      <c r="B26" s="1" t="n">
        <v>46029</v>
      </c>
      <c r="C26" s="1" t="n">
        <v>46197</v>
      </c>
      <c r="D26" t="inlineStr">
        <is>
          <t>UPPSALA LÄN</t>
        </is>
      </c>
      <c r="E26" t="inlineStr">
        <is>
          <t>KNIVSTA</t>
        </is>
      </c>
      <c r="G26" t="n">
        <v>1.8</v>
      </c>
      <c r="H26" t="n">
        <v>1</v>
      </c>
      <c r="I26" t="n">
        <v>0</v>
      </c>
      <c r="J26" t="n">
        <v>0</v>
      </c>
      <c r="K26" t="n">
        <v>0</v>
      </c>
      <c r="L26" t="n">
        <v>0</v>
      </c>
      <c r="M26" t="n">
        <v>0</v>
      </c>
      <c r="N26" t="n">
        <v>0</v>
      </c>
      <c r="O26" t="n">
        <v>0</v>
      </c>
      <c r="P26" t="n">
        <v>0</v>
      </c>
      <c r="Q26" t="n">
        <v>1</v>
      </c>
      <c r="R26" s="2" t="inlineStr">
        <is>
          <t>Havsörn</t>
        </is>
      </c>
      <c r="S26">
        <f>HYPERLINK("https://klasma.github.io/Logging_0330/artfynd/A 666-2026 artfynd.xlsx", "A 666-2026")</f>
        <v/>
      </c>
      <c r="T26">
        <f>HYPERLINK("https://klasma.github.io/Logging_0330/kartor/A 666-2026 karta.png", "A 666-2026")</f>
        <v/>
      </c>
      <c r="V26">
        <f>HYPERLINK("https://klasma.github.io/Logging_0330/klagomål/A 666-2026 FSC-klagomål.docx", "A 666-2026")</f>
        <v/>
      </c>
      <c r="W26">
        <f>HYPERLINK("https://klasma.github.io/Logging_0330/klagomålsmail/A 666-2026 FSC-klagomål mail.docx", "A 666-2026")</f>
        <v/>
      </c>
      <c r="X26">
        <f>HYPERLINK("https://klasma.github.io/Logging_0330/tillsyn/A 666-2026 tillsynsbegäran.docx", "A 666-2026")</f>
        <v/>
      </c>
      <c r="Y26">
        <f>HYPERLINK("https://klasma.github.io/Logging_0330/tillsynsmail/A 666-2026 tillsynsbegäran mail.docx", "A 666-2026")</f>
        <v/>
      </c>
      <c r="Z26">
        <f>HYPERLINK("https://klasma.github.io/Logging_0330/fåglar/A 666-2026 prioriterade fågelarter.docx", "A 666-2026")</f>
        <v/>
      </c>
    </row>
    <row r="27" ht="15" customHeight="1">
      <c r="A27" t="inlineStr">
        <is>
          <t>A 60885-2021</t>
        </is>
      </c>
      <c r="B27" s="1" t="n">
        <v>44497</v>
      </c>
      <c r="C27" s="1" t="n">
        <v>46197</v>
      </c>
      <c r="D27" t="inlineStr">
        <is>
          <t>UPPSALA LÄN</t>
        </is>
      </c>
      <c r="E27" t="inlineStr">
        <is>
          <t>KNIVSTA</t>
        </is>
      </c>
      <c r="G27" t="n">
        <v>1.5</v>
      </c>
      <c r="H27" t="n">
        <v>0</v>
      </c>
      <c r="I27" t="n">
        <v>1</v>
      </c>
      <c r="J27" t="n">
        <v>0</v>
      </c>
      <c r="K27" t="n">
        <v>0</v>
      </c>
      <c r="L27" t="n">
        <v>0</v>
      </c>
      <c r="M27" t="n">
        <v>0</v>
      </c>
      <c r="N27" t="n">
        <v>0</v>
      </c>
      <c r="O27" t="n">
        <v>0</v>
      </c>
      <c r="P27" t="n">
        <v>0</v>
      </c>
      <c r="Q27" t="n">
        <v>1</v>
      </c>
      <c r="R27" s="2" t="inlineStr">
        <is>
          <t>Sotlav</t>
        </is>
      </c>
      <c r="S27">
        <f>HYPERLINK("https://klasma.github.io/Logging_0330/artfynd/A 60885-2021 artfynd.xlsx", "A 60885-2021")</f>
        <v/>
      </c>
      <c r="T27">
        <f>HYPERLINK("https://klasma.github.io/Logging_0330/kartor/A 60885-2021 karta.png", "A 60885-2021")</f>
        <v/>
      </c>
      <c r="V27">
        <f>HYPERLINK("https://klasma.github.io/Logging_0330/klagomål/A 60885-2021 FSC-klagomål.docx", "A 60885-2021")</f>
        <v/>
      </c>
      <c r="W27">
        <f>HYPERLINK("https://klasma.github.io/Logging_0330/klagomålsmail/A 60885-2021 FSC-klagomål mail.docx", "A 60885-2021")</f>
        <v/>
      </c>
      <c r="X27">
        <f>HYPERLINK("https://klasma.github.io/Logging_0330/tillsyn/A 60885-2021 tillsynsbegäran.docx", "A 60885-2021")</f>
        <v/>
      </c>
      <c r="Y27">
        <f>HYPERLINK("https://klasma.github.io/Logging_0330/tillsynsmail/A 60885-2021 tillsynsbegäran mail.docx", "A 60885-2021")</f>
        <v/>
      </c>
    </row>
    <row r="28" ht="15" customHeight="1">
      <c r="A28" t="inlineStr">
        <is>
          <t>A 66305-2021</t>
        </is>
      </c>
      <c r="B28" s="1" t="n">
        <v>44518</v>
      </c>
      <c r="C28" s="1" t="n">
        <v>46197</v>
      </c>
      <c r="D28" t="inlineStr">
        <is>
          <t>UPPSALA LÄN</t>
        </is>
      </c>
      <c r="E28" t="inlineStr">
        <is>
          <t>KNIVSTA</t>
        </is>
      </c>
      <c r="G28" t="n">
        <v>8.300000000000001</v>
      </c>
      <c r="H28" t="n">
        <v>0</v>
      </c>
      <c r="I28" t="n">
        <v>0</v>
      </c>
      <c r="J28" t="n">
        <v>0</v>
      </c>
      <c r="K28" t="n">
        <v>1</v>
      </c>
      <c r="L28" t="n">
        <v>0</v>
      </c>
      <c r="M28" t="n">
        <v>0</v>
      </c>
      <c r="N28" t="n">
        <v>0</v>
      </c>
      <c r="O28" t="n">
        <v>1</v>
      </c>
      <c r="P28" t="n">
        <v>1</v>
      </c>
      <c r="Q28" t="n">
        <v>1</v>
      </c>
      <c r="R28" s="2" t="inlineStr">
        <is>
          <t>Silverblåvinge</t>
        </is>
      </c>
      <c r="S28">
        <f>HYPERLINK("https://klasma.github.io/Logging_0330/artfynd/A 66305-2021 artfynd.xlsx", "A 66305-2021")</f>
        <v/>
      </c>
      <c r="T28">
        <f>HYPERLINK("https://klasma.github.io/Logging_0330/kartor/A 66305-2021 karta.png", "A 66305-2021")</f>
        <v/>
      </c>
      <c r="V28">
        <f>HYPERLINK("https://klasma.github.io/Logging_0330/klagomål/A 66305-2021 FSC-klagomål.docx", "A 66305-2021")</f>
        <v/>
      </c>
      <c r="W28">
        <f>HYPERLINK("https://klasma.github.io/Logging_0330/klagomålsmail/A 66305-2021 FSC-klagomål mail.docx", "A 66305-2021")</f>
        <v/>
      </c>
      <c r="X28">
        <f>HYPERLINK("https://klasma.github.io/Logging_0330/tillsyn/A 66305-2021 tillsynsbegäran.docx", "A 66305-2021")</f>
        <v/>
      </c>
      <c r="Y28">
        <f>HYPERLINK("https://klasma.github.io/Logging_0330/tillsynsmail/A 66305-2021 tillsynsbegäran mail.docx", "A 66305-2021")</f>
        <v/>
      </c>
    </row>
    <row r="29" ht="15" customHeight="1">
      <c r="A29" t="inlineStr">
        <is>
          <t>A 2171-2024</t>
        </is>
      </c>
      <c r="B29" s="1" t="n">
        <v>45309</v>
      </c>
      <c r="C29" s="1" t="n">
        <v>46197</v>
      </c>
      <c r="D29" t="inlineStr">
        <is>
          <t>UPPSALA LÄN</t>
        </is>
      </c>
      <c r="E29" t="inlineStr">
        <is>
          <t>KNIVSTA</t>
        </is>
      </c>
      <c r="F29" t="inlineStr">
        <is>
          <t>Holmen skog AB</t>
        </is>
      </c>
      <c r="G29" t="n">
        <v>3.3</v>
      </c>
      <c r="H29" t="n">
        <v>1</v>
      </c>
      <c r="I29" t="n">
        <v>0</v>
      </c>
      <c r="J29" t="n">
        <v>0</v>
      </c>
      <c r="K29" t="n">
        <v>0</v>
      </c>
      <c r="L29" t="n">
        <v>0</v>
      </c>
      <c r="M29" t="n">
        <v>0</v>
      </c>
      <c r="N29" t="n">
        <v>0</v>
      </c>
      <c r="O29" t="n">
        <v>0</v>
      </c>
      <c r="P29" t="n">
        <v>0</v>
      </c>
      <c r="Q29" t="n">
        <v>1</v>
      </c>
      <c r="R29" s="2" t="inlineStr">
        <is>
          <t>Blåsippa</t>
        </is>
      </c>
      <c r="S29">
        <f>HYPERLINK("https://klasma.github.io/Logging_0330/artfynd/A 2171-2024 artfynd.xlsx", "A 2171-2024")</f>
        <v/>
      </c>
      <c r="T29">
        <f>HYPERLINK("https://klasma.github.io/Logging_0330/kartor/A 2171-2024 karta.png", "A 2171-2024")</f>
        <v/>
      </c>
      <c r="V29">
        <f>HYPERLINK("https://klasma.github.io/Logging_0330/klagomål/A 2171-2024 FSC-klagomål.docx", "A 2171-2024")</f>
        <v/>
      </c>
      <c r="W29">
        <f>HYPERLINK("https://klasma.github.io/Logging_0330/klagomålsmail/A 2171-2024 FSC-klagomål mail.docx", "A 2171-2024")</f>
        <v/>
      </c>
      <c r="X29">
        <f>HYPERLINK("https://klasma.github.io/Logging_0330/tillsyn/A 2171-2024 tillsynsbegäran.docx", "A 2171-2024")</f>
        <v/>
      </c>
      <c r="Y29">
        <f>HYPERLINK("https://klasma.github.io/Logging_0330/tillsynsmail/A 2171-2024 tillsynsbegäran mail.docx", "A 2171-2024")</f>
        <v/>
      </c>
    </row>
    <row r="30" ht="15" customHeight="1">
      <c r="A30" t="inlineStr">
        <is>
          <t>A 66298-2021</t>
        </is>
      </c>
      <c r="B30" s="1" t="n">
        <v>44518</v>
      </c>
      <c r="C30" s="1" t="n">
        <v>46197</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46197</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46197</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46197</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46197</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46197</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46197</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46197</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46197</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46197</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46197</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46197</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46197</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46197</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46197</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46197</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20902-2024</t>
        </is>
      </c>
      <c r="B46" s="1" t="n">
        <v>45439</v>
      </c>
      <c r="C46" s="1" t="n">
        <v>46197</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5276-2026</t>
        </is>
      </c>
      <c r="B47" s="1" t="n">
        <v>46037</v>
      </c>
      <c r="C47" s="1" t="n">
        <v>46197</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3375-2026</t>
        </is>
      </c>
      <c r="B48" s="1" t="n">
        <v>46042</v>
      </c>
      <c r="C48" s="1" t="n">
        <v>46197</v>
      </c>
      <c r="D48" t="inlineStr">
        <is>
          <t>UPPSALA LÄN</t>
        </is>
      </c>
      <c r="E48" t="inlineStr">
        <is>
          <t>KNIVSTA</t>
        </is>
      </c>
      <c r="G48" t="n">
        <v>1.9</v>
      </c>
      <c r="H48" t="n">
        <v>0</v>
      </c>
      <c r="I48" t="n">
        <v>0</v>
      </c>
      <c r="J48" t="n">
        <v>0</v>
      </c>
      <c r="K48" t="n">
        <v>0</v>
      </c>
      <c r="L48" t="n">
        <v>0</v>
      </c>
      <c r="M48" t="n">
        <v>0</v>
      </c>
      <c r="N48" t="n">
        <v>0</v>
      </c>
      <c r="O48" t="n">
        <v>0</v>
      </c>
      <c r="P48" t="n">
        <v>0</v>
      </c>
      <c r="Q48" t="n">
        <v>0</v>
      </c>
      <c r="R48" s="2" t="inlineStr"/>
    </row>
    <row r="49" ht="15" customHeight="1">
      <c r="A49" t="inlineStr">
        <is>
          <t>A 3824-2026</t>
        </is>
      </c>
      <c r="B49" s="1" t="n">
        <v>46043</v>
      </c>
      <c r="C49" s="1" t="n">
        <v>46197</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11841-2023</t>
        </is>
      </c>
      <c r="B50" s="1" t="n">
        <v>44995</v>
      </c>
      <c r="C50" s="1" t="n">
        <v>46197</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33976-2025</t>
        </is>
      </c>
      <c r="B51" s="1" t="n">
        <v>45843</v>
      </c>
      <c r="C51" s="1" t="n">
        <v>46197</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45453-2025</t>
        </is>
      </c>
      <c r="B52" s="1" t="n">
        <v>45922</v>
      </c>
      <c r="C52" s="1" t="n">
        <v>46197</v>
      </c>
      <c r="D52" t="inlineStr">
        <is>
          <t>UPPSALA LÄN</t>
        </is>
      </c>
      <c r="E52" t="inlineStr">
        <is>
          <t>KNIVSTA</t>
        </is>
      </c>
      <c r="G52" t="n">
        <v>0.9</v>
      </c>
      <c r="H52" t="n">
        <v>0</v>
      </c>
      <c r="I52" t="n">
        <v>0</v>
      </c>
      <c r="J52" t="n">
        <v>0</v>
      </c>
      <c r="K52" t="n">
        <v>0</v>
      </c>
      <c r="L52" t="n">
        <v>0</v>
      </c>
      <c r="M52" t="n">
        <v>0</v>
      </c>
      <c r="N52" t="n">
        <v>0</v>
      </c>
      <c r="O52" t="n">
        <v>0</v>
      </c>
      <c r="P52" t="n">
        <v>0</v>
      </c>
      <c r="Q52" t="n">
        <v>0</v>
      </c>
      <c r="R52" s="2" t="inlineStr"/>
    </row>
    <row r="53" ht="15" customHeight="1">
      <c r="A53" t="inlineStr">
        <is>
          <t>A 30351-2022</t>
        </is>
      </c>
      <c r="B53" s="1" t="n">
        <v>44757</v>
      </c>
      <c r="C53" s="1" t="n">
        <v>46197</v>
      </c>
      <c r="D53" t="inlineStr">
        <is>
          <t>UPPSALA LÄN</t>
        </is>
      </c>
      <c r="E53" t="inlineStr">
        <is>
          <t>KNIVSTA</t>
        </is>
      </c>
      <c r="G53" t="n">
        <v>5.7</v>
      </c>
      <c r="H53" t="n">
        <v>0</v>
      </c>
      <c r="I53" t="n">
        <v>0</v>
      </c>
      <c r="J53" t="n">
        <v>0</v>
      </c>
      <c r="K53" t="n">
        <v>0</v>
      </c>
      <c r="L53" t="n">
        <v>0</v>
      </c>
      <c r="M53" t="n">
        <v>0</v>
      </c>
      <c r="N53" t="n">
        <v>0</v>
      </c>
      <c r="O53" t="n">
        <v>0</v>
      </c>
      <c r="P53" t="n">
        <v>0</v>
      </c>
      <c r="Q53" t="n">
        <v>0</v>
      </c>
      <c r="R53" s="2" t="inlineStr"/>
    </row>
    <row r="54" ht="15" customHeight="1">
      <c r="A54" t="inlineStr">
        <is>
          <t>A 11847-2023</t>
        </is>
      </c>
      <c r="B54" s="1" t="n">
        <v>44995</v>
      </c>
      <c r="C54" s="1" t="n">
        <v>46197</v>
      </c>
      <c r="D54" t="inlineStr">
        <is>
          <t>UPPSALA LÄN</t>
        </is>
      </c>
      <c r="E54" t="inlineStr">
        <is>
          <t>KNIVSTA</t>
        </is>
      </c>
      <c r="G54" t="n">
        <v>2.1</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46197</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34864-2025</t>
        </is>
      </c>
      <c r="B56" s="1" t="n">
        <v>45849</v>
      </c>
      <c r="C56" s="1" t="n">
        <v>46197</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v>
      </c>
      <c r="C57" s="1" t="n">
        <v>46197</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31875-2022</t>
        </is>
      </c>
      <c r="B58" s="1" t="n">
        <v>44777</v>
      </c>
      <c r="C58" s="1" t="n">
        <v>46197</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47803-2025</t>
        </is>
      </c>
      <c r="B59" s="1" t="n">
        <v>45931</v>
      </c>
      <c r="C59" s="1" t="n">
        <v>46197</v>
      </c>
      <c r="D59" t="inlineStr">
        <is>
          <t>UPPSALA LÄN</t>
        </is>
      </c>
      <c r="E59" t="inlineStr">
        <is>
          <t>KNIVSTA</t>
        </is>
      </c>
      <c r="G59" t="n">
        <v>2.9</v>
      </c>
      <c r="H59" t="n">
        <v>0</v>
      </c>
      <c r="I59" t="n">
        <v>0</v>
      </c>
      <c r="J59" t="n">
        <v>0</v>
      </c>
      <c r="K59" t="n">
        <v>0</v>
      </c>
      <c r="L59" t="n">
        <v>0</v>
      </c>
      <c r="M59" t="n">
        <v>0</v>
      </c>
      <c r="N59" t="n">
        <v>0</v>
      </c>
      <c r="O59" t="n">
        <v>0</v>
      </c>
      <c r="P59" t="n">
        <v>0</v>
      </c>
      <c r="Q59" t="n">
        <v>0</v>
      </c>
      <c r="R59" s="2" t="inlineStr"/>
    </row>
    <row r="60" ht="15" customHeight="1">
      <c r="A60" t="inlineStr">
        <is>
          <t>A 36473-2025</t>
        </is>
      </c>
      <c r="B60" s="1" t="n">
        <v>45869</v>
      </c>
      <c r="C60" s="1" t="n">
        <v>46197</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46197</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5908-2026</t>
        </is>
      </c>
      <c r="B62" s="1" t="n">
        <v>46052</v>
      </c>
      <c r="C62" s="1" t="n">
        <v>46197</v>
      </c>
      <c r="D62" t="inlineStr">
        <is>
          <t>UPPSALA LÄN</t>
        </is>
      </c>
      <c r="E62" t="inlineStr">
        <is>
          <t>KNIVSTA</t>
        </is>
      </c>
      <c r="G62" t="n">
        <v>0.9</v>
      </c>
      <c r="H62" t="n">
        <v>0</v>
      </c>
      <c r="I62" t="n">
        <v>0</v>
      </c>
      <c r="J62" t="n">
        <v>0</v>
      </c>
      <c r="K62" t="n">
        <v>0</v>
      </c>
      <c r="L62" t="n">
        <v>0</v>
      </c>
      <c r="M62" t="n">
        <v>0</v>
      </c>
      <c r="N62" t="n">
        <v>0</v>
      </c>
      <c r="O62" t="n">
        <v>0</v>
      </c>
      <c r="P62" t="n">
        <v>0</v>
      </c>
      <c r="Q62" t="n">
        <v>0</v>
      </c>
      <c r="R62" s="2" t="inlineStr"/>
    </row>
    <row r="63" ht="15" customHeight="1">
      <c r="A63" t="inlineStr">
        <is>
          <t>A 5910-2026</t>
        </is>
      </c>
      <c r="B63" s="1" t="n">
        <v>46052</v>
      </c>
      <c r="C63" s="1" t="n">
        <v>46197</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23239-2023</t>
        </is>
      </c>
      <c r="B64" s="1" t="n">
        <v>45075</v>
      </c>
      <c r="C64" s="1" t="n">
        <v>46197</v>
      </c>
      <c r="D64" t="inlineStr">
        <is>
          <t>UPPSALA LÄN</t>
        </is>
      </c>
      <c r="E64" t="inlineStr">
        <is>
          <t>KNIVSTA</t>
        </is>
      </c>
      <c r="G64" t="n">
        <v>1.8</v>
      </c>
      <c r="H64" t="n">
        <v>0</v>
      </c>
      <c r="I64" t="n">
        <v>0</v>
      </c>
      <c r="J64" t="n">
        <v>0</v>
      </c>
      <c r="K64" t="n">
        <v>0</v>
      </c>
      <c r="L64" t="n">
        <v>0</v>
      </c>
      <c r="M64" t="n">
        <v>0</v>
      </c>
      <c r="N64" t="n">
        <v>0</v>
      </c>
      <c r="O64" t="n">
        <v>0</v>
      </c>
      <c r="P64" t="n">
        <v>0</v>
      </c>
      <c r="Q64" t="n">
        <v>0</v>
      </c>
      <c r="R64" s="2" t="inlineStr"/>
    </row>
    <row r="65" ht="15" customHeight="1">
      <c r="A65" t="inlineStr">
        <is>
          <t>A 9744-2026</t>
        </is>
      </c>
      <c r="B65" s="1" t="n">
        <v>46072</v>
      </c>
      <c r="C65" s="1" t="n">
        <v>46197</v>
      </c>
      <c r="D65" t="inlineStr">
        <is>
          <t>UPPSALA LÄN</t>
        </is>
      </c>
      <c r="E65" t="inlineStr">
        <is>
          <t>KNIVSTA</t>
        </is>
      </c>
      <c r="G65" t="n">
        <v>2.4</v>
      </c>
      <c r="H65" t="n">
        <v>0</v>
      </c>
      <c r="I65" t="n">
        <v>0</v>
      </c>
      <c r="J65" t="n">
        <v>0</v>
      </c>
      <c r="K65" t="n">
        <v>0</v>
      </c>
      <c r="L65" t="n">
        <v>0</v>
      </c>
      <c r="M65" t="n">
        <v>0</v>
      </c>
      <c r="N65" t="n">
        <v>0</v>
      </c>
      <c r="O65" t="n">
        <v>0</v>
      </c>
      <c r="P65" t="n">
        <v>0</v>
      </c>
      <c r="Q65" t="n">
        <v>0</v>
      </c>
      <c r="R65" s="2" t="inlineStr"/>
    </row>
    <row r="66" ht="15" customHeight="1">
      <c r="A66" t="inlineStr">
        <is>
          <t>A 12027-2026</t>
        </is>
      </c>
      <c r="B66" s="1" t="n">
        <v>46085</v>
      </c>
      <c r="C66" s="1" t="n">
        <v>46197</v>
      </c>
      <c r="D66" t="inlineStr">
        <is>
          <t>UPPSALA LÄN</t>
        </is>
      </c>
      <c r="E66" t="inlineStr">
        <is>
          <t>KNIVSTA</t>
        </is>
      </c>
      <c r="G66" t="n">
        <v>0.6</v>
      </c>
      <c r="H66" t="n">
        <v>0</v>
      </c>
      <c r="I66" t="n">
        <v>0</v>
      </c>
      <c r="J66" t="n">
        <v>0</v>
      </c>
      <c r="K66" t="n">
        <v>0</v>
      </c>
      <c r="L66" t="n">
        <v>0</v>
      </c>
      <c r="M66" t="n">
        <v>0</v>
      </c>
      <c r="N66" t="n">
        <v>0</v>
      </c>
      <c r="O66" t="n">
        <v>0</v>
      </c>
      <c r="P66" t="n">
        <v>0</v>
      </c>
      <c r="Q66" t="n">
        <v>0</v>
      </c>
      <c r="R66" s="2" t="inlineStr"/>
    </row>
    <row r="67" ht="15" customHeight="1">
      <c r="A67" t="inlineStr">
        <is>
          <t>A 66293-2021</t>
        </is>
      </c>
      <c r="B67" s="1" t="n">
        <v>44518</v>
      </c>
      <c r="C67" s="1" t="n">
        <v>46197</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60243-2025</t>
        </is>
      </c>
      <c r="B68" s="1" t="n">
        <v>45994</v>
      </c>
      <c r="C68" s="1" t="n">
        <v>46197</v>
      </c>
      <c r="D68" t="inlineStr">
        <is>
          <t>UPPSALA LÄN</t>
        </is>
      </c>
      <c r="E68" t="inlineStr">
        <is>
          <t>KNIVSTA</t>
        </is>
      </c>
      <c r="F68" t="inlineStr">
        <is>
          <t>Holmen skog AB</t>
        </is>
      </c>
      <c r="G68" t="n">
        <v>2.4</v>
      </c>
      <c r="H68" t="n">
        <v>0</v>
      </c>
      <c r="I68" t="n">
        <v>0</v>
      </c>
      <c r="J68" t="n">
        <v>0</v>
      </c>
      <c r="K68" t="n">
        <v>0</v>
      </c>
      <c r="L68" t="n">
        <v>0</v>
      </c>
      <c r="M68" t="n">
        <v>0</v>
      </c>
      <c r="N68" t="n">
        <v>0</v>
      </c>
      <c r="O68" t="n">
        <v>0</v>
      </c>
      <c r="P68" t="n">
        <v>0</v>
      </c>
      <c r="Q68" t="n">
        <v>0</v>
      </c>
      <c r="R68" s="2" t="inlineStr"/>
    </row>
    <row r="69" ht="15" customHeight="1">
      <c r="A69" t="inlineStr">
        <is>
          <t>A 12774-2026</t>
        </is>
      </c>
      <c r="B69" s="1" t="n">
        <v>46091</v>
      </c>
      <c r="C69" s="1" t="n">
        <v>46197</v>
      </c>
      <c r="D69" t="inlineStr">
        <is>
          <t>UPPSALA LÄN</t>
        </is>
      </c>
      <c r="E69" t="inlineStr">
        <is>
          <t>KNIVSTA</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13013-2026</t>
        </is>
      </c>
      <c r="B70" s="1" t="n">
        <v>46092</v>
      </c>
      <c r="C70" s="1" t="n">
        <v>46197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13011-2026</t>
        </is>
      </c>
      <c r="B71" s="1" t="n">
        <v>46092</v>
      </c>
      <c r="C71" s="1" t="n">
        <v>46197</v>
      </c>
      <c r="D71" t="inlineStr">
        <is>
          <t>UPPSALA LÄN</t>
        </is>
      </c>
      <c r="E71" t="inlineStr">
        <is>
          <t>KNIVSTA</t>
        </is>
      </c>
      <c r="F71" t="inlineStr">
        <is>
          <t>Holmen skog AB</t>
        </is>
      </c>
      <c r="G71" t="n">
        <v>1.9</v>
      </c>
      <c r="H71" t="n">
        <v>0</v>
      </c>
      <c r="I71" t="n">
        <v>0</v>
      </c>
      <c r="J71" t="n">
        <v>0</v>
      </c>
      <c r="K71" t="n">
        <v>0</v>
      </c>
      <c r="L71" t="n">
        <v>0</v>
      </c>
      <c r="M71" t="n">
        <v>0</v>
      </c>
      <c r="N71" t="n">
        <v>0</v>
      </c>
      <c r="O71" t="n">
        <v>0</v>
      </c>
      <c r="P71" t="n">
        <v>0</v>
      </c>
      <c r="Q71" t="n">
        <v>0</v>
      </c>
      <c r="R71" s="2" t="inlineStr"/>
      <c r="U71">
        <f>HYPERLINK("https://klasma.github.io/Logging_0330/knärot/A 13011-2026 karta knärot.png", "A 13011-2026")</f>
        <v/>
      </c>
      <c r="V71">
        <f>HYPERLINK("https://klasma.github.io/Logging_0330/klagomål/A 13011-2026 FSC-klagomål.docx", "A 13011-2026")</f>
        <v/>
      </c>
      <c r="W71">
        <f>HYPERLINK("https://klasma.github.io/Logging_0330/klagomålsmail/A 13011-2026 FSC-klagomål mail.docx", "A 13011-2026")</f>
        <v/>
      </c>
      <c r="X71">
        <f>HYPERLINK("https://klasma.github.io/Logging_0330/tillsyn/A 13011-2026 tillsynsbegäran.docx", "A 13011-2026")</f>
        <v/>
      </c>
      <c r="Y71">
        <f>HYPERLINK("https://klasma.github.io/Logging_0330/tillsynsmail/A 13011-2026 tillsynsbegäran mail.docx", "A 13011-2026")</f>
        <v/>
      </c>
    </row>
    <row r="72" ht="15" customHeight="1">
      <c r="A72" t="inlineStr">
        <is>
          <t>A 13016-2026</t>
        </is>
      </c>
      <c r="B72" s="1" t="n">
        <v>46092</v>
      </c>
      <c r="C72" s="1" t="n">
        <v>46197</v>
      </c>
      <c r="D72" t="inlineStr">
        <is>
          <t>UPPSALA LÄN</t>
        </is>
      </c>
      <c r="E72" t="inlineStr">
        <is>
          <t>KNIVSTA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13001-2026</t>
        </is>
      </c>
      <c r="B73" s="1" t="n">
        <v>46092</v>
      </c>
      <c r="C73" s="1" t="n">
        <v>46197</v>
      </c>
      <c r="D73" t="inlineStr">
        <is>
          <t>UPPSALA LÄN</t>
        </is>
      </c>
      <c r="E73" t="inlineStr">
        <is>
          <t>KNIVSTA</t>
        </is>
      </c>
      <c r="F73" t="inlineStr">
        <is>
          <t>Holmen skog AB</t>
        </is>
      </c>
      <c r="G73" t="n">
        <v>2.9</v>
      </c>
      <c r="H73" t="n">
        <v>0</v>
      </c>
      <c r="I73" t="n">
        <v>0</v>
      </c>
      <c r="J73" t="n">
        <v>0</v>
      </c>
      <c r="K73" t="n">
        <v>0</v>
      </c>
      <c r="L73" t="n">
        <v>0</v>
      </c>
      <c r="M73" t="n">
        <v>0</v>
      </c>
      <c r="N73" t="n">
        <v>0</v>
      </c>
      <c r="O73" t="n">
        <v>0</v>
      </c>
      <c r="P73" t="n">
        <v>0</v>
      </c>
      <c r="Q73" t="n">
        <v>0</v>
      </c>
      <c r="R73" s="2" t="inlineStr"/>
    </row>
    <row r="74" ht="15" customHeight="1">
      <c r="A74" t="inlineStr">
        <is>
          <t>A 13005-2026</t>
        </is>
      </c>
      <c r="B74" s="1" t="n">
        <v>46092</v>
      </c>
      <c r="C74" s="1" t="n">
        <v>46197</v>
      </c>
      <c r="D74" t="inlineStr">
        <is>
          <t>UPPSALA LÄN</t>
        </is>
      </c>
      <c r="E74" t="inlineStr">
        <is>
          <t>KNIVSTA</t>
        </is>
      </c>
      <c r="F74" t="inlineStr">
        <is>
          <t>Holmen skog AB</t>
        </is>
      </c>
      <c r="G74" t="n">
        <v>3</v>
      </c>
      <c r="H74" t="n">
        <v>0</v>
      </c>
      <c r="I74" t="n">
        <v>0</v>
      </c>
      <c r="J74" t="n">
        <v>0</v>
      </c>
      <c r="K74" t="n">
        <v>0</v>
      </c>
      <c r="L74" t="n">
        <v>0</v>
      </c>
      <c r="M74" t="n">
        <v>0</v>
      </c>
      <c r="N74" t="n">
        <v>0</v>
      </c>
      <c r="O74" t="n">
        <v>0</v>
      </c>
      <c r="P74" t="n">
        <v>0</v>
      </c>
      <c r="Q74" t="n">
        <v>0</v>
      </c>
      <c r="R74" s="2" t="inlineStr"/>
    </row>
    <row r="75" ht="15" customHeight="1">
      <c r="A75" t="inlineStr">
        <is>
          <t>A 662-2026</t>
        </is>
      </c>
      <c r="B75" s="1" t="n">
        <v>46029</v>
      </c>
      <c r="C75" s="1" t="n">
        <v>46197</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66284-2021</t>
        </is>
      </c>
      <c r="B76" s="1" t="n">
        <v>44518</v>
      </c>
      <c r="C76" s="1" t="n">
        <v>46197</v>
      </c>
      <c r="D76" t="inlineStr">
        <is>
          <t>UPPSALA LÄN</t>
        </is>
      </c>
      <c r="E76" t="inlineStr">
        <is>
          <t>KNIVSTA</t>
        </is>
      </c>
      <c r="G76" t="n">
        <v>6.9</v>
      </c>
      <c r="H76" t="n">
        <v>0</v>
      </c>
      <c r="I76" t="n">
        <v>0</v>
      </c>
      <c r="J76" t="n">
        <v>0</v>
      </c>
      <c r="K76" t="n">
        <v>0</v>
      </c>
      <c r="L76" t="n">
        <v>0</v>
      </c>
      <c r="M76" t="n">
        <v>0</v>
      </c>
      <c r="N76" t="n">
        <v>0</v>
      </c>
      <c r="O76" t="n">
        <v>0</v>
      </c>
      <c r="P76" t="n">
        <v>0</v>
      </c>
      <c r="Q76" t="n">
        <v>0</v>
      </c>
      <c r="R76" s="2" t="inlineStr"/>
    </row>
    <row r="77" ht="15" customHeight="1">
      <c r="A77" t="inlineStr">
        <is>
          <t>A 19676-2025</t>
        </is>
      </c>
      <c r="B77" s="1" t="n">
        <v>45770</v>
      </c>
      <c r="C77" s="1" t="n">
        <v>46197</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8343-2024</t>
        </is>
      </c>
      <c r="B78" s="1" t="n">
        <v>45352</v>
      </c>
      <c r="C78" s="1" t="n">
        <v>46197</v>
      </c>
      <c r="D78" t="inlineStr">
        <is>
          <t>UPPSALA LÄN</t>
        </is>
      </c>
      <c r="E78" t="inlineStr">
        <is>
          <t>KNIVSTA</t>
        </is>
      </c>
      <c r="F78" t="inlineStr">
        <is>
          <t>Holmen skog AB</t>
        </is>
      </c>
      <c r="G78" t="n">
        <v>1.4</v>
      </c>
      <c r="H78" t="n">
        <v>0</v>
      </c>
      <c r="I78" t="n">
        <v>0</v>
      </c>
      <c r="J78" t="n">
        <v>0</v>
      </c>
      <c r="K78" t="n">
        <v>0</v>
      </c>
      <c r="L78" t="n">
        <v>0</v>
      </c>
      <c r="M78" t="n">
        <v>0</v>
      </c>
      <c r="N78" t="n">
        <v>0</v>
      </c>
      <c r="O78" t="n">
        <v>0</v>
      </c>
      <c r="P78" t="n">
        <v>0</v>
      </c>
      <c r="Q78" t="n">
        <v>0</v>
      </c>
      <c r="R78" s="2" t="inlineStr"/>
    </row>
    <row r="79" ht="15" customHeight="1">
      <c r="A79" t="inlineStr">
        <is>
          <t>A 30627-2023</t>
        </is>
      </c>
      <c r="B79" s="1" t="n">
        <v>45112</v>
      </c>
      <c r="C79" s="1" t="n">
        <v>46197</v>
      </c>
      <c r="D79" t="inlineStr">
        <is>
          <t>UPPSALA LÄN</t>
        </is>
      </c>
      <c r="E79" t="inlineStr">
        <is>
          <t>KNIVSTA</t>
        </is>
      </c>
      <c r="F79" t="inlineStr">
        <is>
          <t>Holmen skog AB</t>
        </is>
      </c>
      <c r="G79" t="n">
        <v>1.6</v>
      </c>
      <c r="H79" t="n">
        <v>0</v>
      </c>
      <c r="I79" t="n">
        <v>0</v>
      </c>
      <c r="J79" t="n">
        <v>0</v>
      </c>
      <c r="K79" t="n">
        <v>0</v>
      </c>
      <c r="L79" t="n">
        <v>0</v>
      </c>
      <c r="M79" t="n">
        <v>0</v>
      </c>
      <c r="N79" t="n">
        <v>0</v>
      </c>
      <c r="O79" t="n">
        <v>0</v>
      </c>
      <c r="P79" t="n">
        <v>0</v>
      </c>
      <c r="Q79" t="n">
        <v>0</v>
      </c>
      <c r="R79" s="2" t="inlineStr"/>
    </row>
    <row r="80" ht="15" customHeight="1">
      <c r="A80" t="inlineStr">
        <is>
          <t>A 1629-2024</t>
        </is>
      </c>
      <c r="B80" s="1" t="n">
        <v>45306</v>
      </c>
      <c r="C80" s="1" t="n">
        <v>46197</v>
      </c>
      <c r="D80" t="inlineStr">
        <is>
          <t>UPPSALA LÄN</t>
        </is>
      </c>
      <c r="E80" t="inlineStr">
        <is>
          <t>KNIVSTA</t>
        </is>
      </c>
      <c r="F80" t="inlineStr">
        <is>
          <t>Holmen skog AB</t>
        </is>
      </c>
      <c r="G80" t="n">
        <v>3.6</v>
      </c>
      <c r="H80" t="n">
        <v>0</v>
      </c>
      <c r="I80" t="n">
        <v>0</v>
      </c>
      <c r="J80" t="n">
        <v>0</v>
      </c>
      <c r="K80" t="n">
        <v>0</v>
      </c>
      <c r="L80" t="n">
        <v>0</v>
      </c>
      <c r="M80" t="n">
        <v>0</v>
      </c>
      <c r="N80" t="n">
        <v>0</v>
      </c>
      <c r="O80" t="n">
        <v>0</v>
      </c>
      <c r="P80" t="n">
        <v>0</v>
      </c>
      <c r="Q80" t="n">
        <v>0</v>
      </c>
      <c r="R80" s="2" t="inlineStr"/>
    </row>
    <row r="81" ht="15" customHeight="1">
      <c r="A81" t="inlineStr">
        <is>
          <t>A 23969-2026</t>
        </is>
      </c>
      <c r="B81" s="1" t="n">
        <v>46167</v>
      </c>
      <c r="C81" s="1" t="n">
        <v>46197</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19774-2026</t>
        </is>
      </c>
      <c r="B82" s="1" t="n">
        <v>46135</v>
      </c>
      <c r="C82" s="1" t="n">
        <v>46197</v>
      </c>
      <c r="D82" t="inlineStr">
        <is>
          <t>UPPSALA LÄN</t>
        </is>
      </c>
      <c r="E82" t="inlineStr">
        <is>
          <t>KNIVSTA</t>
        </is>
      </c>
      <c r="G82" t="n">
        <v>4.2</v>
      </c>
      <c r="H82" t="n">
        <v>0</v>
      </c>
      <c r="I82" t="n">
        <v>0</v>
      </c>
      <c r="J82" t="n">
        <v>0</v>
      </c>
      <c r="K82" t="n">
        <v>0</v>
      </c>
      <c r="L82" t="n">
        <v>0</v>
      </c>
      <c r="M82" t="n">
        <v>0</v>
      </c>
      <c r="N82" t="n">
        <v>0</v>
      </c>
      <c r="O82" t="n">
        <v>0</v>
      </c>
      <c r="P82" t="n">
        <v>0</v>
      </c>
      <c r="Q82" t="n">
        <v>0</v>
      </c>
      <c r="R82" s="2" t="inlineStr"/>
    </row>
    <row r="83" ht="15" customHeight="1">
      <c r="A83" t="inlineStr">
        <is>
          <t>A 45525-2023</t>
        </is>
      </c>
      <c r="B83" s="1" t="n">
        <v>45194</v>
      </c>
      <c r="C83" s="1" t="n">
        <v>46197</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16773-2022</t>
        </is>
      </c>
      <c r="B84" s="1" t="n">
        <v>44673</v>
      </c>
      <c r="C84" s="1" t="n">
        <v>46197</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30764-2023</t>
        </is>
      </c>
      <c r="B85" s="1" t="n">
        <v>45112</v>
      </c>
      <c r="C85" s="1" t="n">
        <v>46197</v>
      </c>
      <c r="D85" t="inlineStr">
        <is>
          <t>UPPSALA LÄN</t>
        </is>
      </c>
      <c r="E85" t="inlineStr">
        <is>
          <t>KNIVSTA</t>
        </is>
      </c>
      <c r="F85" t="inlineStr">
        <is>
          <t>Holmen skog AB</t>
        </is>
      </c>
      <c r="G85" t="n">
        <v>0.9</v>
      </c>
      <c r="H85" t="n">
        <v>0</v>
      </c>
      <c r="I85" t="n">
        <v>0</v>
      </c>
      <c r="J85" t="n">
        <v>0</v>
      </c>
      <c r="K85" t="n">
        <v>0</v>
      </c>
      <c r="L85" t="n">
        <v>0</v>
      </c>
      <c r="M85" t="n">
        <v>0</v>
      </c>
      <c r="N85" t="n">
        <v>0</v>
      </c>
      <c r="O85" t="n">
        <v>0</v>
      </c>
      <c r="P85" t="n">
        <v>0</v>
      </c>
      <c r="Q85" t="n">
        <v>0</v>
      </c>
      <c r="R85" s="2" t="inlineStr"/>
    </row>
    <row r="86" ht="15" customHeight="1">
      <c r="A86" t="inlineStr">
        <is>
          <t>A 52666-2025</t>
        </is>
      </c>
      <c r="B86" s="1" t="n">
        <v>45955</v>
      </c>
      <c r="C86" s="1" t="n">
        <v>46197</v>
      </c>
      <c r="D86" t="inlineStr">
        <is>
          <t>UPPSALA LÄN</t>
        </is>
      </c>
      <c r="E86" t="inlineStr">
        <is>
          <t>KNIVSTA</t>
        </is>
      </c>
      <c r="G86" t="n">
        <v>2.1</v>
      </c>
      <c r="H86" t="n">
        <v>0</v>
      </c>
      <c r="I86" t="n">
        <v>0</v>
      </c>
      <c r="J86" t="n">
        <v>0</v>
      </c>
      <c r="K86" t="n">
        <v>0</v>
      </c>
      <c r="L86" t="n">
        <v>0</v>
      </c>
      <c r="M86" t="n">
        <v>0</v>
      </c>
      <c r="N86" t="n">
        <v>0</v>
      </c>
      <c r="O86" t="n">
        <v>0</v>
      </c>
      <c r="P86" t="n">
        <v>0</v>
      </c>
      <c r="Q86" t="n">
        <v>0</v>
      </c>
      <c r="R86" s="2" t="inlineStr"/>
    </row>
    <row r="87" ht="15" customHeight="1">
      <c r="A87" t="inlineStr">
        <is>
          <t>A 51849-2023</t>
        </is>
      </c>
      <c r="B87" s="1" t="n">
        <v>45223</v>
      </c>
      <c r="C87" s="1" t="n">
        <v>46197</v>
      </c>
      <c r="D87" t="inlineStr">
        <is>
          <t>UPPSALA LÄN</t>
        </is>
      </c>
      <c r="E87" t="inlineStr">
        <is>
          <t>KNIVSTA</t>
        </is>
      </c>
      <c r="G87" t="n">
        <v>16.3</v>
      </c>
      <c r="H87" t="n">
        <v>0</v>
      </c>
      <c r="I87" t="n">
        <v>0</v>
      </c>
      <c r="J87" t="n">
        <v>0</v>
      </c>
      <c r="K87" t="n">
        <v>0</v>
      </c>
      <c r="L87" t="n">
        <v>0</v>
      </c>
      <c r="M87" t="n">
        <v>0</v>
      </c>
      <c r="N87" t="n">
        <v>0</v>
      </c>
      <c r="O87" t="n">
        <v>0</v>
      </c>
      <c r="P87" t="n">
        <v>0</v>
      </c>
      <c r="Q87" t="n">
        <v>0</v>
      </c>
      <c r="R87" s="2" t="inlineStr"/>
    </row>
    <row r="88" ht="15" customHeight="1">
      <c r="A88" t="inlineStr">
        <is>
          <t>A 60018-2024</t>
        </is>
      </c>
      <c r="B88" s="1" t="n">
        <v>45642</v>
      </c>
      <c r="C88" s="1" t="n">
        <v>46197</v>
      </c>
      <c r="D88" t="inlineStr">
        <is>
          <t>UPPSALA LÄN</t>
        </is>
      </c>
      <c r="E88" t="inlineStr">
        <is>
          <t>KNIVSTA</t>
        </is>
      </c>
      <c r="G88" t="n">
        <v>4.1</v>
      </c>
      <c r="H88" t="n">
        <v>0</v>
      </c>
      <c r="I88" t="n">
        <v>0</v>
      </c>
      <c r="J88" t="n">
        <v>0</v>
      </c>
      <c r="K88" t="n">
        <v>0</v>
      </c>
      <c r="L88" t="n">
        <v>0</v>
      </c>
      <c r="M88" t="n">
        <v>0</v>
      </c>
      <c r="N88" t="n">
        <v>0</v>
      </c>
      <c r="O88" t="n">
        <v>0</v>
      </c>
      <c r="P88" t="n">
        <v>0</v>
      </c>
      <c r="Q88" t="n">
        <v>0</v>
      </c>
      <c r="R88" s="2" t="inlineStr"/>
    </row>
    <row r="89" ht="15" customHeight="1">
      <c r="A89" t="inlineStr">
        <is>
          <t>A 33974-2025</t>
        </is>
      </c>
      <c r="B89" s="1" t="n">
        <v>45843</v>
      </c>
      <c r="C89" s="1" t="n">
        <v>46197</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17333-2024</t>
        </is>
      </c>
      <c r="B90" s="1" t="n">
        <v>45414</v>
      </c>
      <c r="C90" s="1" t="n">
        <v>46197</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1791-2024</t>
        </is>
      </c>
      <c r="B91" s="1" t="n">
        <v>45307</v>
      </c>
      <c r="C91" s="1" t="n">
        <v>46197</v>
      </c>
      <c r="D91" t="inlineStr">
        <is>
          <t>UPPSALA LÄN</t>
        </is>
      </c>
      <c r="E91" t="inlineStr">
        <is>
          <t>KNIVSTA</t>
        </is>
      </c>
      <c r="G91" t="n">
        <v>1.4</v>
      </c>
      <c r="H91" t="n">
        <v>0</v>
      </c>
      <c r="I91" t="n">
        <v>0</v>
      </c>
      <c r="J91" t="n">
        <v>0</v>
      </c>
      <c r="K91" t="n">
        <v>0</v>
      </c>
      <c r="L91" t="n">
        <v>0</v>
      </c>
      <c r="M91" t="n">
        <v>0</v>
      </c>
      <c r="N91" t="n">
        <v>0</v>
      </c>
      <c r="O91" t="n">
        <v>0</v>
      </c>
      <c r="P91" t="n">
        <v>0</v>
      </c>
      <c r="Q91" t="n">
        <v>0</v>
      </c>
      <c r="R91" s="2" t="inlineStr"/>
    </row>
    <row r="92" ht="15" customHeight="1">
      <c r="A92" t="inlineStr">
        <is>
          <t>A 20528-2026</t>
        </is>
      </c>
      <c r="B92" s="1" t="n">
        <v>46140</v>
      </c>
      <c r="C92" s="1" t="n">
        <v>46197</v>
      </c>
      <c r="D92" t="inlineStr">
        <is>
          <t>UPPSALA LÄN</t>
        </is>
      </c>
      <c r="E92" t="inlineStr">
        <is>
          <t>KNIVSTA</t>
        </is>
      </c>
      <c r="G92" t="n">
        <v>5.7</v>
      </c>
      <c r="H92" t="n">
        <v>0</v>
      </c>
      <c r="I92" t="n">
        <v>0</v>
      </c>
      <c r="J92" t="n">
        <v>0</v>
      </c>
      <c r="K92" t="n">
        <v>0</v>
      </c>
      <c r="L92" t="n">
        <v>0</v>
      </c>
      <c r="M92" t="n">
        <v>0</v>
      </c>
      <c r="N92" t="n">
        <v>0</v>
      </c>
      <c r="O92" t="n">
        <v>0</v>
      </c>
      <c r="P92" t="n">
        <v>0</v>
      </c>
      <c r="Q92" t="n">
        <v>0</v>
      </c>
      <c r="R92" s="2" t="inlineStr"/>
    </row>
    <row r="93" ht="15" customHeight="1">
      <c r="A93" t="inlineStr">
        <is>
          <t>A 19777-2026</t>
        </is>
      </c>
      <c r="B93" s="1" t="n">
        <v>46135</v>
      </c>
      <c r="C93" s="1" t="n">
        <v>46197</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2628-2025</t>
        </is>
      </c>
      <c r="B94" s="1" t="n">
        <v>45675</v>
      </c>
      <c r="C94" s="1" t="n">
        <v>46197</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11452-2023</t>
        </is>
      </c>
      <c r="B95" s="1" t="n">
        <v>44993</v>
      </c>
      <c r="C95" s="1" t="n">
        <v>46197</v>
      </c>
      <c r="D95" t="inlineStr">
        <is>
          <t>UPPSALA LÄN</t>
        </is>
      </c>
      <c r="E95" t="inlineStr">
        <is>
          <t>KNIVSTA</t>
        </is>
      </c>
      <c r="G95" t="n">
        <v>2.5</v>
      </c>
      <c r="H95" t="n">
        <v>0</v>
      </c>
      <c r="I95" t="n">
        <v>0</v>
      </c>
      <c r="J95" t="n">
        <v>0</v>
      </c>
      <c r="K95" t="n">
        <v>0</v>
      </c>
      <c r="L95" t="n">
        <v>0</v>
      </c>
      <c r="M95" t="n">
        <v>0</v>
      </c>
      <c r="N95" t="n">
        <v>0</v>
      </c>
      <c r="O95" t="n">
        <v>0</v>
      </c>
      <c r="P95" t="n">
        <v>0</v>
      </c>
      <c r="Q95" t="n">
        <v>0</v>
      </c>
      <c r="R95" s="2" t="inlineStr"/>
    </row>
    <row r="96" ht="15" customHeight="1">
      <c r="A96" t="inlineStr">
        <is>
          <t>A 43908-2023</t>
        </is>
      </c>
      <c r="B96" s="1" t="n">
        <v>45187</v>
      </c>
      <c r="C96" s="1" t="n">
        <v>46197</v>
      </c>
      <c r="D96" t="inlineStr">
        <is>
          <t>UPPSALA LÄN</t>
        </is>
      </c>
      <c r="E96" t="inlineStr">
        <is>
          <t>KNIVSTA</t>
        </is>
      </c>
      <c r="F96" t="inlineStr">
        <is>
          <t>Kyrkan</t>
        </is>
      </c>
      <c r="G96" t="n">
        <v>1.7</v>
      </c>
      <c r="H96" t="n">
        <v>0</v>
      </c>
      <c r="I96" t="n">
        <v>0</v>
      </c>
      <c r="J96" t="n">
        <v>0</v>
      </c>
      <c r="K96" t="n">
        <v>0</v>
      </c>
      <c r="L96" t="n">
        <v>0</v>
      </c>
      <c r="M96" t="n">
        <v>0</v>
      </c>
      <c r="N96" t="n">
        <v>0</v>
      </c>
      <c r="O96" t="n">
        <v>0</v>
      </c>
      <c r="P96" t="n">
        <v>0</v>
      </c>
      <c r="Q96" t="n">
        <v>0</v>
      </c>
      <c r="R96" s="2" t="inlineStr"/>
    </row>
    <row r="97" ht="15" customHeight="1">
      <c r="A97" t="inlineStr">
        <is>
          <t>A 34078-2022</t>
        </is>
      </c>
      <c r="B97" s="1" t="n">
        <v>44791</v>
      </c>
      <c r="C97" s="1" t="n">
        <v>46197</v>
      </c>
      <c r="D97" t="inlineStr">
        <is>
          <t>UPPSALA LÄN</t>
        </is>
      </c>
      <c r="E97" t="inlineStr">
        <is>
          <t>KNIVSTA</t>
        </is>
      </c>
      <c r="F97" t="inlineStr">
        <is>
          <t>Övriga statliga verk och myndigheter</t>
        </is>
      </c>
      <c r="G97" t="n">
        <v>1.8</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46197</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2629-2025</t>
        </is>
      </c>
      <c r="B99" s="1" t="n">
        <v>45675</v>
      </c>
      <c r="C99" s="1" t="n">
        <v>46197</v>
      </c>
      <c r="D99" t="inlineStr">
        <is>
          <t>UPPSALA LÄN</t>
        </is>
      </c>
      <c r="E99" t="inlineStr">
        <is>
          <t>KNIVSTA</t>
        </is>
      </c>
      <c r="G99" t="n">
        <v>1.1</v>
      </c>
      <c r="H99" t="n">
        <v>0</v>
      </c>
      <c r="I99" t="n">
        <v>0</v>
      </c>
      <c r="J99" t="n">
        <v>0</v>
      </c>
      <c r="K99" t="n">
        <v>0</v>
      </c>
      <c r="L99" t="n">
        <v>0</v>
      </c>
      <c r="M99" t="n">
        <v>0</v>
      </c>
      <c r="N99" t="n">
        <v>0</v>
      </c>
      <c r="O99" t="n">
        <v>0</v>
      </c>
      <c r="P99" t="n">
        <v>0</v>
      </c>
      <c r="Q99" t="n">
        <v>0</v>
      </c>
      <c r="R99" s="2" t="inlineStr"/>
    </row>
    <row r="100" ht="15" customHeight="1">
      <c r="A100" t="inlineStr">
        <is>
          <t>A 5320-2023</t>
        </is>
      </c>
      <c r="B100" s="1" t="n">
        <v>44959</v>
      </c>
      <c r="C100" s="1" t="n">
        <v>46197</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ht="15" customHeight="1">
      <c r="A101" t="inlineStr">
        <is>
          <t>A 45916-2022</t>
        </is>
      </c>
      <c r="B101" s="1" t="n">
        <v>44846</v>
      </c>
      <c r="C101" s="1" t="n">
        <v>46197</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17091-2023</t>
        </is>
      </c>
      <c r="B102" s="1" t="n">
        <v>45034</v>
      </c>
      <c r="C102" s="1" t="n">
        <v>46197</v>
      </c>
      <c r="D102" t="inlineStr">
        <is>
          <t>UPPSALA LÄN</t>
        </is>
      </c>
      <c r="E102" t="inlineStr">
        <is>
          <t>KNIVSTA</t>
        </is>
      </c>
      <c r="G102" t="n">
        <v>0.8</v>
      </c>
      <c r="H102" t="n">
        <v>0</v>
      </c>
      <c r="I102" t="n">
        <v>0</v>
      </c>
      <c r="J102" t="n">
        <v>0</v>
      </c>
      <c r="K102" t="n">
        <v>0</v>
      </c>
      <c r="L102" t="n">
        <v>0</v>
      </c>
      <c r="M102" t="n">
        <v>0</v>
      </c>
      <c r="N102" t="n">
        <v>0</v>
      </c>
      <c r="O102" t="n">
        <v>0</v>
      </c>
      <c r="P102" t="n">
        <v>0</v>
      </c>
      <c r="Q102" t="n">
        <v>0</v>
      </c>
      <c r="R102" s="2" t="inlineStr"/>
    </row>
    <row r="103">
      <c r="A103" t="inlineStr">
        <is>
          <t>A 794-2024</t>
        </is>
      </c>
      <c r="B103" s="1" t="n">
        <v>45300</v>
      </c>
      <c r="C103" s="1" t="n">
        <v>46197</v>
      </c>
      <c r="D103" t="inlineStr">
        <is>
          <t>UPPSALA LÄN</t>
        </is>
      </c>
      <c r="E103" t="inlineStr">
        <is>
          <t>KNIVSTA</t>
        </is>
      </c>
      <c r="G103" t="n">
        <v>1.6</v>
      </c>
      <c r="H103" t="n">
        <v>0</v>
      </c>
      <c r="I103" t="n">
        <v>0</v>
      </c>
      <c r="J103" t="n">
        <v>0</v>
      </c>
      <c r="K103" t="n">
        <v>0</v>
      </c>
      <c r="L103" t="n">
        <v>0</v>
      </c>
      <c r="M103" t="n">
        <v>0</v>
      </c>
      <c r="N103" t="n">
        <v>0</v>
      </c>
      <c r="O103" t="n">
        <v>0</v>
      </c>
      <c r="P103" t="n">
        <v>0</v>
      </c>
      <c r="Q103" t="n">
        <v>0</v>
      </c>
      <c r="R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2026-06-24T00:45:21Z</dcterms:created>
  <dcterms:modified xmlns:dcterms="http://purl.org/dc/terms/" xmlns:xsi="http://www.w3.org/2001/XMLSchema-instance" xsi:type="dcterms:W3CDTF">2026-06-24T00:45:21Z</dcterms:modified>
</cp:coreProperties>
</file>