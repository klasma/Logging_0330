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45914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45914</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45914</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45914</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45914</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45914</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45914</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21831-2024</t>
        </is>
      </c>
      <c r="B9" s="1" t="n">
        <v>45442</v>
      </c>
      <c r="C9" s="1" t="n">
        <v>45914</v>
      </c>
      <c r="D9" t="inlineStr">
        <is>
          <t>UPPSALA LÄN</t>
        </is>
      </c>
      <c r="E9" t="inlineStr">
        <is>
          <t>KNIVSTA</t>
        </is>
      </c>
      <c r="G9" t="n">
        <v>4.5</v>
      </c>
      <c r="H9" t="n">
        <v>1</v>
      </c>
      <c r="I9" t="n">
        <v>0</v>
      </c>
      <c r="J9" t="n">
        <v>0</v>
      </c>
      <c r="K9" t="n">
        <v>0</v>
      </c>
      <c r="L9" t="n">
        <v>0</v>
      </c>
      <c r="M9" t="n">
        <v>0</v>
      </c>
      <c r="N9" t="n">
        <v>0</v>
      </c>
      <c r="O9" t="n">
        <v>0</v>
      </c>
      <c r="P9" t="n">
        <v>0</v>
      </c>
      <c r="Q9" t="n">
        <v>1</v>
      </c>
      <c r="R9" s="2" t="inlineStr">
        <is>
          <t>Blåsippa</t>
        </is>
      </c>
      <c r="S9">
        <f>HYPERLINK("https://klasma.github.io/Logging_0330/artfynd/A 21831-2024 artfynd.xlsx", "A 21831-2024")</f>
        <v/>
      </c>
      <c r="T9">
        <f>HYPERLINK("https://klasma.github.io/Logging_0330/kartor/A 21831-2024 karta.png", "A 21831-2024")</f>
        <v/>
      </c>
      <c r="V9">
        <f>HYPERLINK("https://klasma.github.io/Logging_0330/klagomål/A 21831-2024 FSC-klagomål.docx", "A 21831-2024")</f>
        <v/>
      </c>
      <c r="W9">
        <f>HYPERLINK("https://klasma.github.io/Logging_0330/klagomålsmail/A 21831-2024 FSC-klagomål mail.docx", "A 21831-2024")</f>
        <v/>
      </c>
      <c r="X9">
        <f>HYPERLINK("https://klasma.github.io/Logging_0330/tillsyn/A 21831-2024 tillsynsbegäran.docx", "A 21831-2024")</f>
        <v/>
      </c>
      <c r="Y9">
        <f>HYPERLINK("https://klasma.github.io/Logging_0330/tillsynsmail/A 21831-2024 tillsynsbegäran mail.docx", "A 21831-2024")</f>
        <v/>
      </c>
    </row>
    <row r="10" ht="15" customHeight="1">
      <c r="A10" t="inlineStr">
        <is>
          <t>A 9553-2025</t>
        </is>
      </c>
      <c r="B10" s="1" t="n">
        <v>45715</v>
      </c>
      <c r="C10" s="1" t="n">
        <v>45914</v>
      </c>
      <c r="D10" t="inlineStr">
        <is>
          <t>UPPSALA LÄN</t>
        </is>
      </c>
      <c r="E10" t="inlineStr">
        <is>
          <t>KNIVSTA</t>
        </is>
      </c>
      <c r="G10" t="n">
        <v>3.5</v>
      </c>
      <c r="H10" t="n">
        <v>1</v>
      </c>
      <c r="I10" t="n">
        <v>0</v>
      </c>
      <c r="J10" t="n">
        <v>0</v>
      </c>
      <c r="K10" t="n">
        <v>0</v>
      </c>
      <c r="L10" t="n">
        <v>0</v>
      </c>
      <c r="M10" t="n">
        <v>0</v>
      </c>
      <c r="N10" t="n">
        <v>0</v>
      </c>
      <c r="O10" t="n">
        <v>0</v>
      </c>
      <c r="P10" t="n">
        <v>0</v>
      </c>
      <c r="Q10" t="n">
        <v>1</v>
      </c>
      <c r="R10" s="2" t="inlineStr">
        <is>
          <t>Nattviol</t>
        </is>
      </c>
      <c r="S10">
        <f>HYPERLINK("https://klasma.github.io/Logging_0330/artfynd/A 9553-2025 artfynd.xlsx", "A 9553-2025")</f>
        <v/>
      </c>
      <c r="T10">
        <f>HYPERLINK("https://klasma.github.io/Logging_0330/kartor/A 9553-2025 karta.png", "A 9553-2025")</f>
        <v/>
      </c>
      <c r="V10">
        <f>HYPERLINK("https://klasma.github.io/Logging_0330/klagomål/A 9553-2025 FSC-klagomål.docx", "A 9553-2025")</f>
        <v/>
      </c>
      <c r="W10">
        <f>HYPERLINK("https://klasma.github.io/Logging_0330/klagomålsmail/A 9553-2025 FSC-klagomål mail.docx", "A 9553-2025")</f>
        <v/>
      </c>
      <c r="X10">
        <f>HYPERLINK("https://klasma.github.io/Logging_0330/tillsyn/A 9553-2025 tillsynsbegäran.docx", "A 9553-2025")</f>
        <v/>
      </c>
      <c r="Y10">
        <f>HYPERLINK("https://klasma.github.io/Logging_0330/tillsynsmail/A 9553-2025 tillsynsbegäran mail.docx", "A 9553-2025")</f>
        <v/>
      </c>
    </row>
    <row r="11" ht="15" customHeight="1">
      <c r="A11" t="inlineStr">
        <is>
          <t>A 16407-2025</t>
        </is>
      </c>
      <c r="B11" s="1" t="n">
        <v>45751.45120370371</v>
      </c>
      <c r="C11" s="1" t="n">
        <v>45914</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11405-2025</t>
        </is>
      </c>
      <c r="B12" s="1" t="n">
        <v>45726</v>
      </c>
      <c r="C12" s="1" t="n">
        <v>45914</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33770-2023</t>
        </is>
      </c>
      <c r="B13" s="1" t="n">
        <v>45133</v>
      </c>
      <c r="C13" s="1" t="n">
        <v>45914</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16973-2021</t>
        </is>
      </c>
      <c r="B14" s="1" t="n">
        <v>44295</v>
      </c>
      <c r="C14" s="1" t="n">
        <v>45914</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9725-2021</t>
        </is>
      </c>
      <c r="B15" s="1" t="n">
        <v>44252</v>
      </c>
      <c r="C15" s="1" t="n">
        <v>45914</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45914</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45914</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20827-2021</t>
        </is>
      </c>
      <c r="B18" s="1" t="n">
        <v>44318</v>
      </c>
      <c r="C18" s="1" t="n">
        <v>45914</v>
      </c>
      <c r="D18" t="inlineStr">
        <is>
          <t>UPPSALA LÄN</t>
        </is>
      </c>
      <c r="E18" t="inlineStr">
        <is>
          <t>KNIVSTA</t>
        </is>
      </c>
      <c r="G18" t="n">
        <v>3</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45914</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45914</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45914</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45914</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45914</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45914</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45914</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45914</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45914</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45914</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45914</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45914</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45914</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45914</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45914</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62441-2021</t>
        </is>
      </c>
      <c r="B34" s="1" t="n">
        <v>44503</v>
      </c>
      <c r="C34" s="1" t="n">
        <v>45914</v>
      </c>
      <c r="D34" t="inlineStr">
        <is>
          <t>UPPSALA LÄN</t>
        </is>
      </c>
      <c r="E34" t="inlineStr">
        <is>
          <t>KNIVSTA</t>
        </is>
      </c>
      <c r="G34" t="n">
        <v>1.9</v>
      </c>
      <c r="H34" t="n">
        <v>0</v>
      </c>
      <c r="I34" t="n">
        <v>0</v>
      </c>
      <c r="J34" t="n">
        <v>0</v>
      </c>
      <c r="K34" t="n">
        <v>0</v>
      </c>
      <c r="L34" t="n">
        <v>0</v>
      </c>
      <c r="M34" t="n">
        <v>0</v>
      </c>
      <c r="N34" t="n">
        <v>0</v>
      </c>
      <c r="O34" t="n">
        <v>0</v>
      </c>
      <c r="P34" t="n">
        <v>0</v>
      </c>
      <c r="Q34" t="n">
        <v>0</v>
      </c>
      <c r="R34" s="2" t="inlineStr"/>
    </row>
    <row r="35" ht="15" customHeight="1">
      <c r="A35" t="inlineStr">
        <is>
          <t>A 72966-2021</t>
        </is>
      </c>
      <c r="B35" s="1" t="n">
        <v>44548.57709490741</v>
      </c>
      <c r="C35" s="1" t="n">
        <v>45914</v>
      </c>
      <c r="D35" t="inlineStr">
        <is>
          <t>UPPSALA LÄN</t>
        </is>
      </c>
      <c r="E35" t="inlineStr">
        <is>
          <t>KNIVSTA</t>
        </is>
      </c>
      <c r="G35" t="n">
        <v>2</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45914</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72967-2021</t>
        </is>
      </c>
      <c r="B37" s="1" t="n">
        <v>44548.58148148148</v>
      </c>
      <c r="C37" s="1" t="n">
        <v>45914</v>
      </c>
      <c r="D37" t="inlineStr">
        <is>
          <t>UPPSALA LÄN</t>
        </is>
      </c>
      <c r="E37" t="inlineStr">
        <is>
          <t>KNIVSTA</t>
        </is>
      </c>
      <c r="G37" t="n">
        <v>1.1</v>
      </c>
      <c r="H37" t="n">
        <v>0</v>
      </c>
      <c r="I37" t="n">
        <v>0</v>
      </c>
      <c r="J37" t="n">
        <v>0</v>
      </c>
      <c r="K37" t="n">
        <v>0</v>
      </c>
      <c r="L37" t="n">
        <v>0</v>
      </c>
      <c r="M37" t="n">
        <v>0</v>
      </c>
      <c r="N37" t="n">
        <v>0</v>
      </c>
      <c r="O37" t="n">
        <v>0</v>
      </c>
      <c r="P37" t="n">
        <v>0</v>
      </c>
      <c r="Q37" t="n">
        <v>0</v>
      </c>
      <c r="R37" s="2" t="inlineStr"/>
    </row>
    <row r="38" ht="15" customHeight="1">
      <c r="A38" t="inlineStr">
        <is>
          <t>A 32975-2021</t>
        </is>
      </c>
      <c r="B38" s="1" t="n">
        <v>44376</v>
      </c>
      <c r="C38" s="1" t="n">
        <v>45914</v>
      </c>
      <c r="D38" t="inlineStr">
        <is>
          <t>UPPSALA LÄN</t>
        </is>
      </c>
      <c r="E38" t="inlineStr">
        <is>
          <t>KNIVSTA</t>
        </is>
      </c>
      <c r="G38" t="n">
        <v>6.1</v>
      </c>
      <c r="H38" t="n">
        <v>0</v>
      </c>
      <c r="I38" t="n">
        <v>0</v>
      </c>
      <c r="J38" t="n">
        <v>0</v>
      </c>
      <c r="K38" t="n">
        <v>0</v>
      </c>
      <c r="L38" t="n">
        <v>0</v>
      </c>
      <c r="M38" t="n">
        <v>0</v>
      </c>
      <c r="N38" t="n">
        <v>0</v>
      </c>
      <c r="O38" t="n">
        <v>0</v>
      </c>
      <c r="P38" t="n">
        <v>0</v>
      </c>
      <c r="Q38" t="n">
        <v>0</v>
      </c>
      <c r="R38" s="2" t="inlineStr"/>
    </row>
    <row r="39" ht="15" customHeight="1">
      <c r="A39" t="inlineStr">
        <is>
          <t>A 13697-2024</t>
        </is>
      </c>
      <c r="B39" s="1" t="n">
        <v>45390</v>
      </c>
      <c r="C39" s="1" t="n">
        <v>45914</v>
      </c>
      <c r="D39" t="inlineStr">
        <is>
          <t>UPPSALA LÄN</t>
        </is>
      </c>
      <c r="E39" t="inlineStr">
        <is>
          <t>KNIVSTA</t>
        </is>
      </c>
      <c r="F39" t="inlineStr">
        <is>
          <t>Holmen skog AB</t>
        </is>
      </c>
      <c r="G39" t="n">
        <v>1.3</v>
      </c>
      <c r="H39" t="n">
        <v>0</v>
      </c>
      <c r="I39" t="n">
        <v>0</v>
      </c>
      <c r="J39" t="n">
        <v>0</v>
      </c>
      <c r="K39" t="n">
        <v>0</v>
      </c>
      <c r="L39" t="n">
        <v>0</v>
      </c>
      <c r="M39" t="n">
        <v>0</v>
      </c>
      <c r="N39" t="n">
        <v>0</v>
      </c>
      <c r="O39" t="n">
        <v>0</v>
      </c>
      <c r="P39" t="n">
        <v>0</v>
      </c>
      <c r="Q39" t="n">
        <v>0</v>
      </c>
      <c r="R39" s="2" t="inlineStr"/>
    </row>
    <row r="40" ht="15" customHeight="1">
      <c r="A40" t="inlineStr">
        <is>
          <t>A 66284-2021</t>
        </is>
      </c>
      <c r="B40" s="1" t="n">
        <v>44518</v>
      </c>
      <c r="C40" s="1" t="n">
        <v>45914</v>
      </c>
      <c r="D40" t="inlineStr">
        <is>
          <t>UPPSALA LÄN</t>
        </is>
      </c>
      <c r="E40" t="inlineStr">
        <is>
          <t>KNIVSTA</t>
        </is>
      </c>
      <c r="G40" t="n">
        <v>6.9</v>
      </c>
      <c r="H40" t="n">
        <v>0</v>
      </c>
      <c r="I40" t="n">
        <v>0</v>
      </c>
      <c r="J40" t="n">
        <v>0</v>
      </c>
      <c r="K40" t="n">
        <v>0</v>
      </c>
      <c r="L40" t="n">
        <v>0</v>
      </c>
      <c r="M40" t="n">
        <v>0</v>
      </c>
      <c r="N40" t="n">
        <v>0</v>
      </c>
      <c r="O40" t="n">
        <v>0</v>
      </c>
      <c r="P40" t="n">
        <v>0</v>
      </c>
      <c r="Q40" t="n">
        <v>0</v>
      </c>
      <c r="R40" s="2" t="inlineStr"/>
    </row>
    <row r="41" ht="15" customHeight="1">
      <c r="A41" t="inlineStr">
        <is>
          <t>A 19676-2025</t>
        </is>
      </c>
      <c r="B41" s="1" t="n">
        <v>45770</v>
      </c>
      <c r="C41" s="1" t="n">
        <v>45914</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8343-2024</t>
        </is>
      </c>
      <c r="B42" s="1" t="n">
        <v>45352</v>
      </c>
      <c r="C42" s="1" t="n">
        <v>45914</v>
      </c>
      <c r="D42" t="inlineStr">
        <is>
          <t>UPPSALA LÄN</t>
        </is>
      </c>
      <c r="E42" t="inlineStr">
        <is>
          <t>KNIVSTA</t>
        </is>
      </c>
      <c r="F42" t="inlineStr">
        <is>
          <t>Holmen skog AB</t>
        </is>
      </c>
      <c r="G42" t="n">
        <v>1.4</v>
      </c>
      <c r="H42" t="n">
        <v>0</v>
      </c>
      <c r="I42" t="n">
        <v>0</v>
      </c>
      <c r="J42" t="n">
        <v>0</v>
      </c>
      <c r="K42" t="n">
        <v>0</v>
      </c>
      <c r="L42" t="n">
        <v>0</v>
      </c>
      <c r="M42" t="n">
        <v>0</v>
      </c>
      <c r="N42" t="n">
        <v>0</v>
      </c>
      <c r="O42" t="n">
        <v>0</v>
      </c>
      <c r="P42" t="n">
        <v>0</v>
      </c>
      <c r="Q42" t="n">
        <v>0</v>
      </c>
      <c r="R42" s="2" t="inlineStr"/>
    </row>
    <row r="43" ht="15" customHeight="1">
      <c r="A43" t="inlineStr">
        <is>
          <t>A 2171-2024</t>
        </is>
      </c>
      <c r="B43" s="1" t="n">
        <v>45309</v>
      </c>
      <c r="C43" s="1" t="n">
        <v>45914</v>
      </c>
      <c r="D43" t="inlineStr">
        <is>
          <t>UPPSALA LÄN</t>
        </is>
      </c>
      <c r="E43" t="inlineStr">
        <is>
          <t>KNIVSTA</t>
        </is>
      </c>
      <c r="F43" t="inlineStr">
        <is>
          <t>Holmen skog AB</t>
        </is>
      </c>
      <c r="G43" t="n">
        <v>3.3</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45914</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30627-2023</t>
        </is>
      </c>
      <c r="B45" s="1" t="n">
        <v>45112</v>
      </c>
      <c r="C45" s="1" t="n">
        <v>45914</v>
      </c>
      <c r="D45" t="inlineStr">
        <is>
          <t>UPPSALA LÄN</t>
        </is>
      </c>
      <c r="E45" t="inlineStr">
        <is>
          <t>KNIVSTA</t>
        </is>
      </c>
      <c r="F45" t="inlineStr">
        <is>
          <t>Holmen skog AB</t>
        </is>
      </c>
      <c r="G45" t="n">
        <v>1.6</v>
      </c>
      <c r="H45" t="n">
        <v>0</v>
      </c>
      <c r="I45" t="n">
        <v>0</v>
      </c>
      <c r="J45" t="n">
        <v>0</v>
      </c>
      <c r="K45" t="n">
        <v>0</v>
      </c>
      <c r="L45" t="n">
        <v>0</v>
      </c>
      <c r="M45" t="n">
        <v>0</v>
      </c>
      <c r="N45" t="n">
        <v>0</v>
      </c>
      <c r="O45" t="n">
        <v>0</v>
      </c>
      <c r="P45" t="n">
        <v>0</v>
      </c>
      <c r="Q45" t="n">
        <v>0</v>
      </c>
      <c r="R45" s="2" t="inlineStr"/>
    </row>
    <row r="46" ht="15" customHeight="1">
      <c r="A46" t="inlineStr">
        <is>
          <t>A 794-2024</t>
        </is>
      </c>
      <c r="B46" s="1" t="n">
        <v>45300.58149305556</v>
      </c>
      <c r="C46" s="1" t="n">
        <v>45914</v>
      </c>
      <c r="D46" t="inlineStr">
        <is>
          <t>UPPSALA LÄN</t>
        </is>
      </c>
      <c r="E46" t="inlineStr">
        <is>
          <t>KNIVSTA</t>
        </is>
      </c>
      <c r="G46" t="n">
        <v>1.6</v>
      </c>
      <c r="H46" t="n">
        <v>0</v>
      </c>
      <c r="I46" t="n">
        <v>0</v>
      </c>
      <c r="J46" t="n">
        <v>0</v>
      </c>
      <c r="K46" t="n">
        <v>0</v>
      </c>
      <c r="L46" t="n">
        <v>0</v>
      </c>
      <c r="M46" t="n">
        <v>0</v>
      </c>
      <c r="N46" t="n">
        <v>0</v>
      </c>
      <c r="O46" t="n">
        <v>0</v>
      </c>
      <c r="P46" t="n">
        <v>0</v>
      </c>
      <c r="Q46" t="n">
        <v>0</v>
      </c>
      <c r="R46" s="2" t="inlineStr"/>
    </row>
    <row r="47" ht="15" customHeight="1">
      <c r="A47" t="inlineStr">
        <is>
          <t>A 1629-2024</t>
        </is>
      </c>
      <c r="B47" s="1" t="n">
        <v>45306</v>
      </c>
      <c r="C47" s="1" t="n">
        <v>45914</v>
      </c>
      <c r="D47" t="inlineStr">
        <is>
          <t>UPPSALA LÄN</t>
        </is>
      </c>
      <c r="E47" t="inlineStr">
        <is>
          <t>KNIVSTA</t>
        </is>
      </c>
      <c r="F47" t="inlineStr">
        <is>
          <t>Holmen skog AB</t>
        </is>
      </c>
      <c r="G47" t="n">
        <v>3.6</v>
      </c>
      <c r="H47" t="n">
        <v>0</v>
      </c>
      <c r="I47" t="n">
        <v>0</v>
      </c>
      <c r="J47" t="n">
        <v>0</v>
      </c>
      <c r="K47" t="n">
        <v>0</v>
      </c>
      <c r="L47" t="n">
        <v>0</v>
      </c>
      <c r="M47" t="n">
        <v>0</v>
      </c>
      <c r="N47" t="n">
        <v>0</v>
      </c>
      <c r="O47" t="n">
        <v>0</v>
      </c>
      <c r="P47" t="n">
        <v>0</v>
      </c>
      <c r="Q47" t="n">
        <v>0</v>
      </c>
      <c r="R47" s="2" t="inlineStr"/>
    </row>
    <row r="48" ht="15" customHeight="1">
      <c r="A48" t="inlineStr">
        <is>
          <t>A 60885-2021</t>
        </is>
      </c>
      <c r="B48" s="1" t="n">
        <v>44497</v>
      </c>
      <c r="C48" s="1" t="n">
        <v>45914</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3191-2024</t>
        </is>
      </c>
      <c r="B49" s="1" t="n">
        <v>45316.67186342592</v>
      </c>
      <c r="C49" s="1" t="n">
        <v>45914</v>
      </c>
      <c r="D49" t="inlineStr">
        <is>
          <t>UPPSALA LÄN</t>
        </is>
      </c>
      <c r="E49" t="inlineStr">
        <is>
          <t>KNIVSTA</t>
        </is>
      </c>
      <c r="G49" t="n">
        <v>0.6</v>
      </c>
      <c r="H49" t="n">
        <v>0</v>
      </c>
      <c r="I49" t="n">
        <v>0</v>
      </c>
      <c r="J49" t="n">
        <v>0</v>
      </c>
      <c r="K49" t="n">
        <v>0</v>
      </c>
      <c r="L49" t="n">
        <v>0</v>
      </c>
      <c r="M49" t="n">
        <v>0</v>
      </c>
      <c r="N49" t="n">
        <v>0</v>
      </c>
      <c r="O49" t="n">
        <v>0</v>
      </c>
      <c r="P49" t="n">
        <v>0</v>
      </c>
      <c r="Q49" t="n">
        <v>0</v>
      </c>
      <c r="R49" s="2" t="inlineStr"/>
    </row>
    <row r="50" ht="15" customHeight="1">
      <c r="A50" t="inlineStr">
        <is>
          <t>A 20902-2024</t>
        </is>
      </c>
      <c r="B50" s="1" t="n">
        <v>45439.48104166667</v>
      </c>
      <c r="C50" s="1" t="n">
        <v>45914</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45525-2023</t>
        </is>
      </c>
      <c r="B51" s="1" t="n">
        <v>45194</v>
      </c>
      <c r="C51" s="1" t="n">
        <v>45914</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26226-2025</t>
        </is>
      </c>
      <c r="B52" s="1" t="n">
        <v>45805.55829861111</v>
      </c>
      <c r="C52" s="1" t="n">
        <v>45914</v>
      </c>
      <c r="D52" t="inlineStr">
        <is>
          <t>UPPSALA LÄN</t>
        </is>
      </c>
      <c r="E52" t="inlineStr">
        <is>
          <t>KNIVSTA</t>
        </is>
      </c>
      <c r="G52" t="n">
        <v>9.1</v>
      </c>
      <c r="H52" t="n">
        <v>0</v>
      </c>
      <c r="I52" t="n">
        <v>0</v>
      </c>
      <c r="J52" t="n">
        <v>0</v>
      </c>
      <c r="K52" t="n">
        <v>0</v>
      </c>
      <c r="L52" t="n">
        <v>0</v>
      </c>
      <c r="M52" t="n">
        <v>0</v>
      </c>
      <c r="N52" t="n">
        <v>0</v>
      </c>
      <c r="O52" t="n">
        <v>0</v>
      </c>
      <c r="P52" t="n">
        <v>0</v>
      </c>
      <c r="Q52" t="n">
        <v>0</v>
      </c>
      <c r="R52" s="2" t="inlineStr"/>
    </row>
    <row r="53" ht="15" customHeight="1">
      <c r="A53" t="inlineStr">
        <is>
          <t>A 16773-2022</t>
        </is>
      </c>
      <c r="B53" s="1" t="n">
        <v>44673</v>
      </c>
      <c r="C53" s="1" t="n">
        <v>45914</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14267-2025</t>
        </is>
      </c>
      <c r="B54" s="1" t="n">
        <v>45740.63686342593</v>
      </c>
      <c r="C54" s="1" t="n">
        <v>45914</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30764-2023</t>
        </is>
      </c>
      <c r="B55" s="1" t="n">
        <v>45112</v>
      </c>
      <c r="C55" s="1" t="n">
        <v>45914</v>
      </c>
      <c r="D55" t="inlineStr">
        <is>
          <t>UPPSALA LÄN</t>
        </is>
      </c>
      <c r="E55" t="inlineStr">
        <is>
          <t>KNIVSTA</t>
        </is>
      </c>
      <c r="F55" t="inlineStr">
        <is>
          <t>Holmen skog AB</t>
        </is>
      </c>
      <c r="G55" t="n">
        <v>0.9</v>
      </c>
      <c r="H55" t="n">
        <v>0</v>
      </c>
      <c r="I55" t="n">
        <v>0</v>
      </c>
      <c r="J55" t="n">
        <v>0</v>
      </c>
      <c r="K55" t="n">
        <v>0</v>
      </c>
      <c r="L55" t="n">
        <v>0</v>
      </c>
      <c r="M55" t="n">
        <v>0</v>
      </c>
      <c r="N55" t="n">
        <v>0</v>
      </c>
      <c r="O55" t="n">
        <v>0</v>
      </c>
      <c r="P55" t="n">
        <v>0</v>
      </c>
      <c r="Q55" t="n">
        <v>0</v>
      </c>
      <c r="R55" s="2" t="inlineStr"/>
    </row>
    <row r="56" ht="15" customHeight="1">
      <c r="A56" t="inlineStr">
        <is>
          <t>A 51849-2023</t>
        </is>
      </c>
      <c r="B56" s="1" t="n">
        <v>45223.34391203704</v>
      </c>
      <c r="C56" s="1" t="n">
        <v>45914</v>
      </c>
      <c r="D56" t="inlineStr">
        <is>
          <t>UPPSALA LÄN</t>
        </is>
      </c>
      <c r="E56" t="inlineStr">
        <is>
          <t>KNIVSTA</t>
        </is>
      </c>
      <c r="G56" t="n">
        <v>16.3</v>
      </c>
      <c r="H56" t="n">
        <v>0</v>
      </c>
      <c r="I56" t="n">
        <v>0</v>
      </c>
      <c r="J56" t="n">
        <v>0</v>
      </c>
      <c r="K56" t="n">
        <v>0</v>
      </c>
      <c r="L56" t="n">
        <v>0</v>
      </c>
      <c r="M56" t="n">
        <v>0</v>
      </c>
      <c r="N56" t="n">
        <v>0</v>
      </c>
      <c r="O56" t="n">
        <v>0</v>
      </c>
      <c r="P56" t="n">
        <v>0</v>
      </c>
      <c r="Q56" t="n">
        <v>0</v>
      </c>
      <c r="R56" s="2" t="inlineStr"/>
    </row>
    <row r="57" ht="15" customHeight="1">
      <c r="A57" t="inlineStr">
        <is>
          <t>A 60018-2024</t>
        </is>
      </c>
      <c r="B57" s="1" t="n">
        <v>45642</v>
      </c>
      <c r="C57" s="1" t="n">
        <v>45914</v>
      </c>
      <c r="D57" t="inlineStr">
        <is>
          <t>UPPSALA LÄN</t>
        </is>
      </c>
      <c r="E57" t="inlineStr">
        <is>
          <t>KNIVSTA</t>
        </is>
      </c>
      <c r="G57" t="n">
        <v>4.1</v>
      </c>
      <c r="H57" t="n">
        <v>0</v>
      </c>
      <c r="I57" t="n">
        <v>0</v>
      </c>
      <c r="J57" t="n">
        <v>0</v>
      </c>
      <c r="K57" t="n">
        <v>0</v>
      </c>
      <c r="L57" t="n">
        <v>0</v>
      </c>
      <c r="M57" t="n">
        <v>0</v>
      </c>
      <c r="N57" t="n">
        <v>0</v>
      </c>
      <c r="O57" t="n">
        <v>0</v>
      </c>
      <c r="P57" t="n">
        <v>0</v>
      </c>
      <c r="Q57" t="n">
        <v>0</v>
      </c>
      <c r="R57" s="2" t="inlineStr"/>
    </row>
    <row r="58" ht="15" customHeight="1">
      <c r="A58" t="inlineStr">
        <is>
          <t>A 28189-2025</t>
        </is>
      </c>
      <c r="B58" s="1" t="n">
        <v>45818.41357638889</v>
      </c>
      <c r="C58" s="1" t="n">
        <v>45914</v>
      </c>
      <c r="D58" t="inlineStr">
        <is>
          <t>UPPSALA LÄN</t>
        </is>
      </c>
      <c r="E58" t="inlineStr">
        <is>
          <t>KNIVSTA</t>
        </is>
      </c>
      <c r="G58" t="n">
        <v>7.6</v>
      </c>
      <c r="H58" t="n">
        <v>0</v>
      </c>
      <c r="I58" t="n">
        <v>0</v>
      </c>
      <c r="J58" t="n">
        <v>0</v>
      </c>
      <c r="K58" t="n">
        <v>0</v>
      </c>
      <c r="L58" t="n">
        <v>0</v>
      </c>
      <c r="M58" t="n">
        <v>0</v>
      </c>
      <c r="N58" t="n">
        <v>0</v>
      </c>
      <c r="O58" t="n">
        <v>0</v>
      </c>
      <c r="P58" t="n">
        <v>0</v>
      </c>
      <c r="Q58" t="n">
        <v>0</v>
      </c>
      <c r="R58" s="2" t="inlineStr"/>
    </row>
    <row r="59" ht="15" customHeight="1">
      <c r="A59" t="inlineStr">
        <is>
          <t>A 11841-2023</t>
        </is>
      </c>
      <c r="B59" s="1" t="n">
        <v>44995.3221412037</v>
      </c>
      <c r="C59" s="1" t="n">
        <v>45914</v>
      </c>
      <c r="D59" t="inlineStr">
        <is>
          <t>UPPSALA LÄN</t>
        </is>
      </c>
      <c r="E59" t="inlineStr">
        <is>
          <t>KNIVSTA</t>
        </is>
      </c>
      <c r="G59" t="n">
        <v>3.9</v>
      </c>
      <c r="H59" t="n">
        <v>0</v>
      </c>
      <c r="I59" t="n">
        <v>0</v>
      </c>
      <c r="J59" t="n">
        <v>0</v>
      </c>
      <c r="K59" t="n">
        <v>0</v>
      </c>
      <c r="L59" t="n">
        <v>0</v>
      </c>
      <c r="M59" t="n">
        <v>0</v>
      </c>
      <c r="N59" t="n">
        <v>0</v>
      </c>
      <c r="O59" t="n">
        <v>0</v>
      </c>
      <c r="P59" t="n">
        <v>0</v>
      </c>
      <c r="Q59" t="n">
        <v>0</v>
      </c>
      <c r="R59" s="2" t="inlineStr"/>
    </row>
    <row r="60" ht="15" customHeight="1">
      <c r="A60" t="inlineStr">
        <is>
          <t>A 17333-2024</t>
        </is>
      </c>
      <c r="B60" s="1" t="n">
        <v>45414.5625462963</v>
      </c>
      <c r="C60" s="1" t="n">
        <v>45914</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1791-2024</t>
        </is>
      </c>
      <c r="B61" s="1" t="n">
        <v>45307.574375</v>
      </c>
      <c r="C61" s="1" t="n">
        <v>45914</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30351-2022</t>
        </is>
      </c>
      <c r="B62" s="1" t="n">
        <v>44757</v>
      </c>
      <c r="C62" s="1" t="n">
        <v>45914</v>
      </c>
      <c r="D62" t="inlineStr">
        <is>
          <t>UPPSALA LÄN</t>
        </is>
      </c>
      <c r="E62" t="inlineStr">
        <is>
          <t>KNIVSTA</t>
        </is>
      </c>
      <c r="G62" t="n">
        <v>5.7</v>
      </c>
      <c r="H62" t="n">
        <v>0</v>
      </c>
      <c r="I62" t="n">
        <v>0</v>
      </c>
      <c r="J62" t="n">
        <v>0</v>
      </c>
      <c r="K62" t="n">
        <v>0</v>
      </c>
      <c r="L62" t="n">
        <v>0</v>
      </c>
      <c r="M62" t="n">
        <v>0</v>
      </c>
      <c r="N62" t="n">
        <v>0</v>
      </c>
      <c r="O62" t="n">
        <v>0</v>
      </c>
      <c r="P62" t="n">
        <v>0</v>
      </c>
      <c r="Q62" t="n">
        <v>0</v>
      </c>
      <c r="R62" s="2" t="inlineStr"/>
    </row>
    <row r="63" ht="15" customHeight="1">
      <c r="A63" t="inlineStr">
        <is>
          <t>A 11847-2023</t>
        </is>
      </c>
      <c r="B63" s="1" t="n">
        <v>44995.33957175926</v>
      </c>
      <c r="C63" s="1" t="n">
        <v>45914</v>
      </c>
      <c r="D63" t="inlineStr">
        <is>
          <t>UPPSALA LÄN</t>
        </is>
      </c>
      <c r="E63" t="inlineStr">
        <is>
          <t>KNIVSTA</t>
        </is>
      </c>
      <c r="G63" t="n">
        <v>2.1</v>
      </c>
      <c r="H63" t="n">
        <v>0</v>
      </c>
      <c r="I63" t="n">
        <v>0</v>
      </c>
      <c r="J63" t="n">
        <v>0</v>
      </c>
      <c r="K63" t="n">
        <v>0</v>
      </c>
      <c r="L63" t="n">
        <v>0</v>
      </c>
      <c r="M63" t="n">
        <v>0</v>
      </c>
      <c r="N63" t="n">
        <v>0</v>
      </c>
      <c r="O63" t="n">
        <v>0</v>
      </c>
      <c r="P63" t="n">
        <v>0</v>
      </c>
      <c r="Q63" t="n">
        <v>0</v>
      </c>
      <c r="R63" s="2" t="inlineStr"/>
    </row>
    <row r="64" ht="15" customHeight="1">
      <c r="A64" t="inlineStr">
        <is>
          <t>A 11450-2023</t>
        </is>
      </c>
      <c r="B64" s="1" t="n">
        <v>44993</v>
      </c>
      <c r="C64" s="1" t="n">
        <v>45914</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31875-2022</t>
        </is>
      </c>
      <c r="B65" s="1" t="n">
        <v>44777</v>
      </c>
      <c r="C65" s="1" t="n">
        <v>45914</v>
      </c>
      <c r="D65" t="inlineStr">
        <is>
          <t>UPPSALA LÄN</t>
        </is>
      </c>
      <c r="E65" t="inlineStr">
        <is>
          <t>KNIVSTA</t>
        </is>
      </c>
      <c r="G65" t="n">
        <v>0.7</v>
      </c>
      <c r="H65" t="n">
        <v>0</v>
      </c>
      <c r="I65" t="n">
        <v>0</v>
      </c>
      <c r="J65" t="n">
        <v>0</v>
      </c>
      <c r="K65" t="n">
        <v>0</v>
      </c>
      <c r="L65" t="n">
        <v>0</v>
      </c>
      <c r="M65" t="n">
        <v>0</v>
      </c>
      <c r="N65" t="n">
        <v>0</v>
      </c>
      <c r="O65" t="n">
        <v>0</v>
      </c>
      <c r="P65" t="n">
        <v>0</v>
      </c>
      <c r="Q65" t="n">
        <v>0</v>
      </c>
      <c r="R65" s="2" t="inlineStr"/>
    </row>
    <row r="66" ht="15" customHeight="1">
      <c r="A66" t="inlineStr">
        <is>
          <t>A 23239-2023</t>
        </is>
      </c>
      <c r="B66" s="1" t="n">
        <v>45075</v>
      </c>
      <c r="C66" s="1" t="n">
        <v>45914</v>
      </c>
      <c r="D66" t="inlineStr">
        <is>
          <t>UPPSALA LÄN</t>
        </is>
      </c>
      <c r="E66" t="inlineStr">
        <is>
          <t>KNIVSTA</t>
        </is>
      </c>
      <c r="G66" t="n">
        <v>1.8</v>
      </c>
      <c r="H66" t="n">
        <v>0</v>
      </c>
      <c r="I66" t="n">
        <v>0</v>
      </c>
      <c r="J66" t="n">
        <v>0</v>
      </c>
      <c r="K66" t="n">
        <v>0</v>
      </c>
      <c r="L66" t="n">
        <v>0</v>
      </c>
      <c r="M66" t="n">
        <v>0</v>
      </c>
      <c r="N66" t="n">
        <v>0</v>
      </c>
      <c r="O66" t="n">
        <v>0</v>
      </c>
      <c r="P66" t="n">
        <v>0</v>
      </c>
      <c r="Q66" t="n">
        <v>0</v>
      </c>
      <c r="R66" s="2" t="inlineStr"/>
    </row>
    <row r="67" ht="15" customHeight="1">
      <c r="A67" t="inlineStr">
        <is>
          <t>A 66305-2021</t>
        </is>
      </c>
      <c r="B67" s="1" t="n">
        <v>44518</v>
      </c>
      <c r="C67" s="1" t="n">
        <v>45914</v>
      </c>
      <c r="D67" t="inlineStr">
        <is>
          <t>UPPSALA LÄN</t>
        </is>
      </c>
      <c r="E67" t="inlineStr">
        <is>
          <t>KNIVSTA</t>
        </is>
      </c>
      <c r="G67" t="n">
        <v>8.300000000000001</v>
      </c>
      <c r="H67" t="n">
        <v>0</v>
      </c>
      <c r="I67" t="n">
        <v>0</v>
      </c>
      <c r="J67" t="n">
        <v>0</v>
      </c>
      <c r="K67" t="n">
        <v>0</v>
      </c>
      <c r="L67" t="n">
        <v>0</v>
      </c>
      <c r="M67" t="n">
        <v>0</v>
      </c>
      <c r="N67" t="n">
        <v>0</v>
      </c>
      <c r="O67" t="n">
        <v>0</v>
      </c>
      <c r="P67" t="n">
        <v>0</v>
      </c>
      <c r="Q67" t="n">
        <v>0</v>
      </c>
      <c r="R67" s="2" t="inlineStr"/>
    </row>
    <row r="68" ht="15" customHeight="1">
      <c r="A68" t="inlineStr">
        <is>
          <t>A 2628-2025</t>
        </is>
      </c>
      <c r="B68" s="1" t="n">
        <v>45675.68435185185</v>
      </c>
      <c r="C68" s="1" t="n">
        <v>45914</v>
      </c>
      <c r="D68" t="inlineStr">
        <is>
          <t>UPPSALA LÄN</t>
        </is>
      </c>
      <c r="E68" t="inlineStr">
        <is>
          <t>KNIVSTA</t>
        </is>
      </c>
      <c r="G68" t="n">
        <v>2.9</v>
      </c>
      <c r="H68" t="n">
        <v>0</v>
      </c>
      <c r="I68" t="n">
        <v>0</v>
      </c>
      <c r="J68" t="n">
        <v>0</v>
      </c>
      <c r="K68" t="n">
        <v>0</v>
      </c>
      <c r="L68" t="n">
        <v>0</v>
      </c>
      <c r="M68" t="n">
        <v>0</v>
      </c>
      <c r="N68" t="n">
        <v>0</v>
      </c>
      <c r="O68" t="n">
        <v>0</v>
      </c>
      <c r="P68" t="n">
        <v>0</v>
      </c>
      <c r="Q68" t="n">
        <v>0</v>
      </c>
      <c r="R68" s="2" t="inlineStr"/>
    </row>
    <row r="69" ht="15" customHeight="1">
      <c r="A69" t="inlineStr">
        <is>
          <t>A 66293-2021</t>
        </is>
      </c>
      <c r="B69" s="1" t="n">
        <v>44518</v>
      </c>
      <c r="C69" s="1" t="n">
        <v>45914</v>
      </c>
      <c r="D69" t="inlineStr">
        <is>
          <t>UPPSALA LÄN</t>
        </is>
      </c>
      <c r="E69" t="inlineStr">
        <is>
          <t>KNIVSTA</t>
        </is>
      </c>
      <c r="G69" t="n">
        <v>2.6</v>
      </c>
      <c r="H69" t="n">
        <v>0</v>
      </c>
      <c r="I69" t="n">
        <v>0</v>
      </c>
      <c r="J69" t="n">
        <v>0</v>
      </c>
      <c r="K69" t="n">
        <v>0</v>
      </c>
      <c r="L69" t="n">
        <v>0</v>
      </c>
      <c r="M69" t="n">
        <v>0</v>
      </c>
      <c r="N69" t="n">
        <v>0</v>
      </c>
      <c r="O69" t="n">
        <v>0</v>
      </c>
      <c r="P69" t="n">
        <v>0</v>
      </c>
      <c r="Q69" t="n">
        <v>0</v>
      </c>
      <c r="R69" s="2" t="inlineStr"/>
    </row>
    <row r="70" ht="15" customHeight="1">
      <c r="A70" t="inlineStr">
        <is>
          <t>A 33975-2025</t>
        </is>
      </c>
      <c r="B70" s="1" t="n">
        <v>45843.30805555556</v>
      </c>
      <c r="C70" s="1" t="n">
        <v>45914</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33974-2025</t>
        </is>
      </c>
      <c r="B71" s="1" t="n">
        <v>45843.305625</v>
      </c>
      <c r="C71" s="1" t="n">
        <v>45914</v>
      </c>
      <c r="D71" t="inlineStr">
        <is>
          <t>UPPSALA LÄN</t>
        </is>
      </c>
      <c r="E71" t="inlineStr">
        <is>
          <t>KNIVSTA</t>
        </is>
      </c>
      <c r="G71" t="n">
        <v>2.6</v>
      </c>
      <c r="H71" t="n">
        <v>0</v>
      </c>
      <c r="I71" t="n">
        <v>0</v>
      </c>
      <c r="J71" t="n">
        <v>0</v>
      </c>
      <c r="K71" t="n">
        <v>0</v>
      </c>
      <c r="L71" t="n">
        <v>0</v>
      </c>
      <c r="M71" t="n">
        <v>0</v>
      </c>
      <c r="N71" t="n">
        <v>0</v>
      </c>
      <c r="O71" t="n">
        <v>0</v>
      </c>
      <c r="P71" t="n">
        <v>0</v>
      </c>
      <c r="Q71" t="n">
        <v>0</v>
      </c>
      <c r="R71" s="2" t="inlineStr"/>
    </row>
    <row r="72" ht="15" customHeight="1">
      <c r="A72" t="inlineStr">
        <is>
          <t>A 33976-2025</t>
        </is>
      </c>
      <c r="B72" s="1" t="n">
        <v>45843</v>
      </c>
      <c r="C72" s="1" t="n">
        <v>45914</v>
      </c>
      <c r="D72" t="inlineStr">
        <is>
          <t>UPPSALA LÄN</t>
        </is>
      </c>
      <c r="E72" t="inlineStr">
        <is>
          <t>KNIVSTA</t>
        </is>
      </c>
      <c r="G72" t="n">
        <v>6.1</v>
      </c>
      <c r="H72" t="n">
        <v>0</v>
      </c>
      <c r="I72" t="n">
        <v>0</v>
      </c>
      <c r="J72" t="n">
        <v>0</v>
      </c>
      <c r="K72" t="n">
        <v>0</v>
      </c>
      <c r="L72" t="n">
        <v>0</v>
      </c>
      <c r="M72" t="n">
        <v>0</v>
      </c>
      <c r="N72" t="n">
        <v>0</v>
      </c>
      <c r="O72" t="n">
        <v>0</v>
      </c>
      <c r="P72" t="n">
        <v>0</v>
      </c>
      <c r="Q72" t="n">
        <v>0</v>
      </c>
      <c r="R72" s="2" t="inlineStr"/>
    </row>
    <row r="73" ht="15" customHeight="1">
      <c r="A73" t="inlineStr">
        <is>
          <t>A 11452-2023</t>
        </is>
      </c>
      <c r="B73" s="1" t="n">
        <v>44993</v>
      </c>
      <c r="C73" s="1" t="n">
        <v>45914</v>
      </c>
      <c r="D73" t="inlineStr">
        <is>
          <t>UPPSALA LÄN</t>
        </is>
      </c>
      <c r="E73" t="inlineStr">
        <is>
          <t>KNIVSTA</t>
        </is>
      </c>
      <c r="G73" t="n">
        <v>2.5</v>
      </c>
      <c r="H73" t="n">
        <v>0</v>
      </c>
      <c r="I73" t="n">
        <v>0</v>
      </c>
      <c r="J73" t="n">
        <v>0</v>
      </c>
      <c r="K73" t="n">
        <v>0</v>
      </c>
      <c r="L73" t="n">
        <v>0</v>
      </c>
      <c r="M73" t="n">
        <v>0</v>
      </c>
      <c r="N73" t="n">
        <v>0</v>
      </c>
      <c r="O73" t="n">
        <v>0</v>
      </c>
      <c r="P73" t="n">
        <v>0</v>
      </c>
      <c r="Q73" t="n">
        <v>0</v>
      </c>
      <c r="R73" s="2" t="inlineStr"/>
    </row>
    <row r="74" ht="15" customHeight="1">
      <c r="A74" t="inlineStr">
        <is>
          <t>A 68257-2020</t>
        </is>
      </c>
      <c r="B74" s="1" t="n">
        <v>44182</v>
      </c>
      <c r="C74" s="1" t="n">
        <v>45914</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43908-2023</t>
        </is>
      </c>
      <c r="B75" s="1" t="n">
        <v>45187</v>
      </c>
      <c r="C75" s="1" t="n">
        <v>45914</v>
      </c>
      <c r="D75" t="inlineStr">
        <is>
          <t>UPPSALA LÄN</t>
        </is>
      </c>
      <c r="E75" t="inlineStr">
        <is>
          <t>KNIVSTA</t>
        </is>
      </c>
      <c r="F75" t="inlineStr">
        <is>
          <t>Kyrkan</t>
        </is>
      </c>
      <c r="G75" t="n">
        <v>1.7</v>
      </c>
      <c r="H75" t="n">
        <v>0</v>
      </c>
      <c r="I75" t="n">
        <v>0</v>
      </c>
      <c r="J75" t="n">
        <v>0</v>
      </c>
      <c r="K75" t="n">
        <v>0</v>
      </c>
      <c r="L75" t="n">
        <v>0</v>
      </c>
      <c r="M75" t="n">
        <v>0</v>
      </c>
      <c r="N75" t="n">
        <v>0</v>
      </c>
      <c r="O75" t="n">
        <v>0</v>
      </c>
      <c r="P75" t="n">
        <v>0</v>
      </c>
      <c r="Q75" t="n">
        <v>0</v>
      </c>
      <c r="R75" s="2" t="inlineStr"/>
    </row>
    <row r="76" ht="15" customHeight="1">
      <c r="A76" t="inlineStr">
        <is>
          <t>A 5402-2023</t>
        </is>
      </c>
      <c r="B76" s="1" t="n">
        <v>44959</v>
      </c>
      <c r="C76" s="1" t="n">
        <v>45914</v>
      </c>
      <c r="D76" t="inlineStr">
        <is>
          <t>UPPSALA LÄN</t>
        </is>
      </c>
      <c r="E76" t="inlineStr">
        <is>
          <t>KNIVSTA</t>
        </is>
      </c>
      <c r="G76" t="n">
        <v>4.3</v>
      </c>
      <c r="H76" t="n">
        <v>0</v>
      </c>
      <c r="I76" t="n">
        <v>0</v>
      </c>
      <c r="J76" t="n">
        <v>0</v>
      </c>
      <c r="K76" t="n">
        <v>0</v>
      </c>
      <c r="L76" t="n">
        <v>0</v>
      </c>
      <c r="M76" t="n">
        <v>0</v>
      </c>
      <c r="N76" t="n">
        <v>0</v>
      </c>
      <c r="O76" t="n">
        <v>0</v>
      </c>
      <c r="P76" t="n">
        <v>0</v>
      </c>
      <c r="Q76" t="n">
        <v>0</v>
      </c>
      <c r="R76" s="2" t="inlineStr"/>
    </row>
    <row r="77" ht="15" customHeight="1">
      <c r="A77" t="inlineStr">
        <is>
          <t>A 34859-2025</t>
        </is>
      </c>
      <c r="B77" s="1" t="n">
        <v>45849.43511574074</v>
      </c>
      <c r="C77" s="1" t="n">
        <v>45914</v>
      </c>
      <c r="D77" t="inlineStr">
        <is>
          <t>UPPSALA LÄN</t>
        </is>
      </c>
      <c r="E77" t="inlineStr">
        <is>
          <t>KNIVSTA</t>
        </is>
      </c>
      <c r="F77" t="inlineStr">
        <is>
          <t>Holmen skog AB</t>
        </is>
      </c>
      <c r="G77" t="n">
        <v>6.1</v>
      </c>
      <c r="H77" t="n">
        <v>0</v>
      </c>
      <c r="I77" t="n">
        <v>0</v>
      </c>
      <c r="J77" t="n">
        <v>0</v>
      </c>
      <c r="K77" t="n">
        <v>0</v>
      </c>
      <c r="L77" t="n">
        <v>0</v>
      </c>
      <c r="M77" t="n">
        <v>0</v>
      </c>
      <c r="N77" t="n">
        <v>0</v>
      </c>
      <c r="O77" t="n">
        <v>0</v>
      </c>
      <c r="P77" t="n">
        <v>0</v>
      </c>
      <c r="Q77" t="n">
        <v>0</v>
      </c>
      <c r="R77" s="2" t="inlineStr"/>
    </row>
    <row r="78" ht="15" customHeight="1">
      <c r="A78" t="inlineStr">
        <is>
          <t>A 34864-2025</t>
        </is>
      </c>
      <c r="B78" s="1" t="n">
        <v>45849.44028935185</v>
      </c>
      <c r="C78" s="1" t="n">
        <v>45914</v>
      </c>
      <c r="D78" t="inlineStr">
        <is>
          <t>UPPSALA LÄN</t>
        </is>
      </c>
      <c r="E78" t="inlineStr">
        <is>
          <t>KNIVSTA</t>
        </is>
      </c>
      <c r="F78" t="inlineStr">
        <is>
          <t>Holmen skog AB</t>
        </is>
      </c>
      <c r="G78" t="n">
        <v>1.3</v>
      </c>
      <c r="H78" t="n">
        <v>0</v>
      </c>
      <c r="I78" t="n">
        <v>0</v>
      </c>
      <c r="J78" t="n">
        <v>0</v>
      </c>
      <c r="K78" t="n">
        <v>0</v>
      </c>
      <c r="L78" t="n">
        <v>0</v>
      </c>
      <c r="M78" t="n">
        <v>0</v>
      </c>
      <c r="N78" t="n">
        <v>0</v>
      </c>
      <c r="O78" t="n">
        <v>0</v>
      </c>
      <c r="P78" t="n">
        <v>0</v>
      </c>
      <c r="Q78" t="n">
        <v>0</v>
      </c>
      <c r="R78" s="2" t="inlineStr"/>
    </row>
    <row r="79" ht="15" customHeight="1">
      <c r="A79" t="inlineStr">
        <is>
          <t>A 35318-2025</t>
        </is>
      </c>
      <c r="B79" s="1" t="n">
        <v>45854.47917824074</v>
      </c>
      <c r="C79" s="1" t="n">
        <v>45914</v>
      </c>
      <c r="D79" t="inlineStr">
        <is>
          <t>UPPSALA LÄN</t>
        </is>
      </c>
      <c r="E79" t="inlineStr">
        <is>
          <t>KNIVSTA</t>
        </is>
      </c>
      <c r="F79" t="inlineStr">
        <is>
          <t>Holmen skog AB</t>
        </is>
      </c>
      <c r="G79" t="n">
        <v>2.2</v>
      </c>
      <c r="H79" t="n">
        <v>0</v>
      </c>
      <c r="I79" t="n">
        <v>0</v>
      </c>
      <c r="J79" t="n">
        <v>0</v>
      </c>
      <c r="K79" t="n">
        <v>0</v>
      </c>
      <c r="L79" t="n">
        <v>0</v>
      </c>
      <c r="M79" t="n">
        <v>0</v>
      </c>
      <c r="N79" t="n">
        <v>0</v>
      </c>
      <c r="O79" t="n">
        <v>0</v>
      </c>
      <c r="P79" t="n">
        <v>0</v>
      </c>
      <c r="Q79" t="n">
        <v>0</v>
      </c>
      <c r="R79" s="2" t="inlineStr"/>
    </row>
    <row r="80" ht="15" customHeight="1">
      <c r="A80" t="inlineStr">
        <is>
          <t>A 34078-2022</t>
        </is>
      </c>
      <c r="B80" s="1" t="n">
        <v>44791</v>
      </c>
      <c r="C80" s="1" t="n">
        <v>45914</v>
      </c>
      <c r="D80" t="inlineStr">
        <is>
          <t>UPPSALA LÄN</t>
        </is>
      </c>
      <c r="E80" t="inlineStr">
        <is>
          <t>KNIVSTA</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36470-2025</t>
        </is>
      </c>
      <c r="B81" s="1" t="n">
        <v>45869.47915509259</v>
      </c>
      <c r="C81" s="1" t="n">
        <v>45914</v>
      </c>
      <c r="D81" t="inlineStr">
        <is>
          <t>UPPSALA LÄN</t>
        </is>
      </c>
      <c r="E81" t="inlineStr">
        <is>
          <t>KNIVSTA</t>
        </is>
      </c>
      <c r="G81" t="n">
        <v>3.6</v>
      </c>
      <c r="H81" t="n">
        <v>0</v>
      </c>
      <c r="I81" t="n">
        <v>0</v>
      </c>
      <c r="J81" t="n">
        <v>0</v>
      </c>
      <c r="K81" t="n">
        <v>0</v>
      </c>
      <c r="L81" t="n">
        <v>0</v>
      </c>
      <c r="M81" t="n">
        <v>0</v>
      </c>
      <c r="N81" t="n">
        <v>0</v>
      </c>
      <c r="O81" t="n">
        <v>0</v>
      </c>
      <c r="P81" t="n">
        <v>0</v>
      </c>
      <c r="Q81" t="n">
        <v>0</v>
      </c>
      <c r="R81" s="2" t="inlineStr"/>
    </row>
    <row r="82" ht="15" customHeight="1">
      <c r="A82" t="inlineStr">
        <is>
          <t>A 26182-2022</t>
        </is>
      </c>
      <c r="B82" s="1" t="n">
        <v>44735</v>
      </c>
      <c r="C82" s="1" t="n">
        <v>45914</v>
      </c>
      <c r="D82" t="inlineStr">
        <is>
          <t>UPPSALA LÄN</t>
        </is>
      </c>
      <c r="E82" t="inlineStr">
        <is>
          <t>KNIVSTA</t>
        </is>
      </c>
      <c r="G82" t="n">
        <v>3.8</v>
      </c>
      <c r="H82" t="n">
        <v>0</v>
      </c>
      <c r="I82" t="n">
        <v>0</v>
      </c>
      <c r="J82" t="n">
        <v>0</v>
      </c>
      <c r="K82" t="n">
        <v>0</v>
      </c>
      <c r="L82" t="n">
        <v>0</v>
      </c>
      <c r="M82" t="n">
        <v>0</v>
      </c>
      <c r="N82" t="n">
        <v>0</v>
      </c>
      <c r="O82" t="n">
        <v>0</v>
      </c>
      <c r="P82" t="n">
        <v>0</v>
      </c>
      <c r="Q82" t="n">
        <v>0</v>
      </c>
      <c r="R82" s="2" t="inlineStr"/>
    </row>
    <row r="83" ht="15" customHeight="1">
      <c r="A83" t="inlineStr">
        <is>
          <t>A 20505-2021</t>
        </is>
      </c>
      <c r="B83" s="1" t="n">
        <v>44313</v>
      </c>
      <c r="C83" s="1" t="n">
        <v>45914</v>
      </c>
      <c r="D83" t="inlineStr">
        <is>
          <t>UPPSALA LÄN</t>
        </is>
      </c>
      <c r="E83" t="inlineStr">
        <is>
          <t>KNIVSTA</t>
        </is>
      </c>
      <c r="G83" t="n">
        <v>2.9</v>
      </c>
      <c r="H83" t="n">
        <v>0</v>
      </c>
      <c r="I83" t="n">
        <v>0</v>
      </c>
      <c r="J83" t="n">
        <v>0</v>
      </c>
      <c r="K83" t="n">
        <v>0</v>
      </c>
      <c r="L83" t="n">
        <v>0</v>
      </c>
      <c r="M83" t="n">
        <v>0</v>
      </c>
      <c r="N83" t="n">
        <v>0</v>
      </c>
      <c r="O83" t="n">
        <v>0</v>
      </c>
      <c r="P83" t="n">
        <v>0</v>
      </c>
      <c r="Q83" t="n">
        <v>0</v>
      </c>
      <c r="R83" s="2" t="inlineStr"/>
    </row>
    <row r="84" ht="15" customHeight="1">
      <c r="A84" t="inlineStr">
        <is>
          <t>A 36472-2025</t>
        </is>
      </c>
      <c r="B84" s="1" t="n">
        <v>45869.48162037037</v>
      </c>
      <c r="C84" s="1" t="n">
        <v>45914</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36473-2025</t>
        </is>
      </c>
      <c r="B85" s="1" t="n">
        <v>45869.48333333333</v>
      </c>
      <c r="C85" s="1" t="n">
        <v>45914</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2629-2025</t>
        </is>
      </c>
      <c r="B86" s="1" t="n">
        <v>45675.6953587963</v>
      </c>
      <c r="C86" s="1" t="n">
        <v>45914</v>
      </c>
      <c r="D86" t="inlineStr">
        <is>
          <t>UPPSALA LÄN</t>
        </is>
      </c>
      <c r="E86" t="inlineStr">
        <is>
          <t>KNIVSTA</t>
        </is>
      </c>
      <c r="G86" t="n">
        <v>1.1</v>
      </c>
      <c r="H86" t="n">
        <v>0</v>
      </c>
      <c r="I86" t="n">
        <v>0</v>
      </c>
      <c r="J86" t="n">
        <v>0</v>
      </c>
      <c r="K86" t="n">
        <v>0</v>
      </c>
      <c r="L86" t="n">
        <v>0</v>
      </c>
      <c r="M86" t="n">
        <v>0</v>
      </c>
      <c r="N86" t="n">
        <v>0</v>
      </c>
      <c r="O86" t="n">
        <v>0</v>
      </c>
      <c r="P86" t="n">
        <v>0</v>
      </c>
      <c r="Q86" t="n">
        <v>0</v>
      </c>
      <c r="R86" s="2" t="inlineStr"/>
    </row>
    <row r="87" ht="15" customHeight="1">
      <c r="A87" t="inlineStr">
        <is>
          <t>A 5320-2023</t>
        </is>
      </c>
      <c r="B87" s="1" t="n">
        <v>44959</v>
      </c>
      <c r="C87" s="1" t="n">
        <v>45914</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5455-2025</t>
        </is>
      </c>
      <c r="B88" s="1" t="n">
        <v>45693</v>
      </c>
      <c r="C88" s="1" t="n">
        <v>45914</v>
      </c>
      <c r="D88" t="inlineStr">
        <is>
          <t>UPPSALA LÄN</t>
        </is>
      </c>
      <c r="E88" t="inlineStr">
        <is>
          <t>KNIVSTA</t>
        </is>
      </c>
      <c r="G88" t="n">
        <v>17.1</v>
      </c>
      <c r="H88" t="n">
        <v>0</v>
      </c>
      <c r="I88" t="n">
        <v>0</v>
      </c>
      <c r="J88" t="n">
        <v>0</v>
      </c>
      <c r="K88" t="n">
        <v>0</v>
      </c>
      <c r="L88" t="n">
        <v>0</v>
      </c>
      <c r="M88" t="n">
        <v>0</v>
      </c>
      <c r="N88" t="n">
        <v>0</v>
      </c>
      <c r="O88" t="n">
        <v>0</v>
      </c>
      <c r="P88" t="n">
        <v>0</v>
      </c>
      <c r="Q88" t="n">
        <v>0</v>
      </c>
      <c r="R88" s="2" t="inlineStr"/>
    </row>
    <row r="89" ht="15" customHeight="1">
      <c r="A89" t="inlineStr">
        <is>
          <t>A 45916-2022</t>
        </is>
      </c>
      <c r="B89" s="1" t="n">
        <v>44846</v>
      </c>
      <c r="C89" s="1" t="n">
        <v>45914</v>
      </c>
      <c r="D89" t="inlineStr">
        <is>
          <t>UPPSALA LÄN</t>
        </is>
      </c>
      <c r="E89" t="inlineStr">
        <is>
          <t>KNIVSTA</t>
        </is>
      </c>
      <c r="G89" t="n">
        <v>3.8</v>
      </c>
      <c r="H89" t="n">
        <v>0</v>
      </c>
      <c r="I89" t="n">
        <v>0</v>
      </c>
      <c r="J89" t="n">
        <v>0</v>
      </c>
      <c r="K89" t="n">
        <v>0</v>
      </c>
      <c r="L89" t="n">
        <v>0</v>
      </c>
      <c r="M89" t="n">
        <v>0</v>
      </c>
      <c r="N89" t="n">
        <v>0</v>
      </c>
      <c r="O89" t="n">
        <v>0</v>
      </c>
      <c r="P89" t="n">
        <v>0</v>
      </c>
      <c r="Q89" t="n">
        <v>0</v>
      </c>
      <c r="R89" s="2" t="inlineStr"/>
    </row>
    <row r="90" ht="15" customHeight="1">
      <c r="A90" t="inlineStr">
        <is>
          <t>A 16396-2025</t>
        </is>
      </c>
      <c r="B90" s="1" t="n">
        <v>45751.44219907407</v>
      </c>
      <c r="C90" s="1" t="n">
        <v>45914</v>
      </c>
      <c r="D90" t="inlineStr">
        <is>
          <t>UPPSALA LÄN</t>
        </is>
      </c>
      <c r="E90" t="inlineStr">
        <is>
          <t>KNIVSTA</t>
        </is>
      </c>
      <c r="G90" t="n">
        <v>5.1</v>
      </c>
      <c r="H90" t="n">
        <v>0</v>
      </c>
      <c r="I90" t="n">
        <v>0</v>
      </c>
      <c r="J90" t="n">
        <v>0</v>
      </c>
      <c r="K90" t="n">
        <v>0</v>
      </c>
      <c r="L90" t="n">
        <v>0</v>
      </c>
      <c r="M90" t="n">
        <v>0</v>
      </c>
      <c r="N90" t="n">
        <v>0</v>
      </c>
      <c r="O90" t="n">
        <v>0</v>
      </c>
      <c r="P90" t="n">
        <v>0</v>
      </c>
      <c r="Q90" t="n">
        <v>0</v>
      </c>
      <c r="R90" s="2" t="inlineStr"/>
    </row>
    <row r="91" ht="15" customHeight="1">
      <c r="A91" t="inlineStr">
        <is>
          <t>A 17091-2023</t>
        </is>
      </c>
      <c r="B91" s="1" t="n">
        <v>45034.53554398148</v>
      </c>
      <c r="C91" s="1" t="n">
        <v>45914</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c r="A92" t="inlineStr">
        <is>
          <t>A 13040-2025</t>
        </is>
      </c>
      <c r="B92" s="1" t="n">
        <v>45734.58258101852</v>
      </c>
      <c r="C92" s="1" t="n">
        <v>45914</v>
      </c>
      <c r="D92" t="inlineStr">
        <is>
          <t>UPPSALA LÄN</t>
        </is>
      </c>
      <c r="E92" t="inlineStr">
        <is>
          <t>KNIVSTA</t>
        </is>
      </c>
      <c r="F92" t="inlineStr">
        <is>
          <t>Allmännings- och besparingsskogar</t>
        </is>
      </c>
      <c r="G92" t="n">
        <v>1.6</v>
      </c>
      <c r="H92" t="n">
        <v>0</v>
      </c>
      <c r="I92" t="n">
        <v>0</v>
      </c>
      <c r="J92" t="n">
        <v>0</v>
      </c>
      <c r="K92" t="n">
        <v>0</v>
      </c>
      <c r="L92" t="n">
        <v>0</v>
      </c>
      <c r="M92" t="n">
        <v>0</v>
      </c>
      <c r="N92" t="n">
        <v>0</v>
      </c>
      <c r="O92" t="n">
        <v>0</v>
      </c>
      <c r="P92" t="n">
        <v>0</v>
      </c>
      <c r="Q92" t="n">
        <v>0</v>
      </c>
      <c r="R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2025-09-14T13:28:23Z</dcterms:created>
  <dcterms:modified xmlns:dcterms="http://purl.org/dc/terms/" xmlns:xsi="http://www.w3.org/2001/XMLSchema-instance" xsi:type="dcterms:W3CDTF">2025-09-14T13:28:24Z</dcterms:modified>
</cp:coreProperties>
</file>