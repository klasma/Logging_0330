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46257</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46257</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46257</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46257</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46257</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46257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46257</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46257</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46257</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46257</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46257</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11405-2025</t>
        </is>
      </c>
      <c r="B26" t="inlineStr">
        <is>
          <t>avverkningsanmälan</t>
        </is>
      </c>
      <c r="C26" t="inlineStr">
        <is>
          <t>Föryngringsavverkning</t>
        </is>
      </c>
      <c r="D26" s="1" t="n">
        <v>45726</v>
      </c>
      <c r="E26" s="1" t="n">
        <v>46257</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13002-2026</t>
        </is>
      </c>
      <c r="B27" t="inlineStr">
        <is>
          <t>avverkningsanmälan</t>
        </is>
      </c>
      <c r="C27" t="inlineStr">
        <is>
          <t>Föryngringsavverkning</t>
        </is>
      </c>
      <c r="D27" s="1" t="n">
        <v>46092</v>
      </c>
      <c r="E27" s="1" t="n">
        <v>46257</v>
      </c>
      <c r="F27" t="inlineStr">
        <is>
          <t>UPPSALA LÄN</t>
        </is>
      </c>
      <c r="G27" t="inlineStr">
        <is>
          <t>KNIVSTA</t>
        </is>
      </c>
      <c r="H27" t="inlineStr">
        <is>
          <t>Holmen skog AB</t>
        </is>
      </c>
      <c r="I27" t="n">
        <v>0.7</v>
      </c>
      <c r="J27" t="n">
        <v>1</v>
      </c>
      <c r="K27" t="n">
        <v>0</v>
      </c>
      <c r="L27" t="n">
        <v>0</v>
      </c>
      <c r="M27" t="n">
        <v>1</v>
      </c>
      <c r="N27" t="n">
        <v>0</v>
      </c>
      <c r="O27" t="n">
        <v>0</v>
      </c>
      <c r="P27" t="n">
        <v>0</v>
      </c>
      <c r="Q27" t="n">
        <v>1</v>
      </c>
      <c r="R27" t="n">
        <v>1</v>
      </c>
      <c r="S27" t="n">
        <v>1</v>
      </c>
      <c r="T27" t="n">
        <v>1</v>
      </c>
      <c r="U27" t="n">
        <v>1</v>
      </c>
      <c r="V27" s="2" t="inlineStr">
        <is>
          <t>Knärot</t>
        </is>
      </c>
      <c r="W27">
        <f>HYPERLINK("https://klasma.github.io/Logging_0330/artfynd/A 13002-2026 artfynd.xlsx", "A 13002-2026")</f>
        <v/>
      </c>
      <c r="X27">
        <f>HYPERLINK("https://klasma.github.io/Logging_0330/kartor/A 13002-2026 karta.png", "A 13002-2026")</f>
        <v/>
      </c>
      <c r="Y27">
        <f>HYPERLINK("https://klasma.github.io/Logging_0330/kartor_geotiff/A 13002-2026 georefererad karta.tif", "A 13002-2026")</f>
        <v/>
      </c>
      <c r="Z27">
        <f>HYPERLINK("https://klasma.github.io/Logging_0330/knärot/A 13002-2026 karta knärot.png", "A 13002-2026")</f>
        <v/>
      </c>
      <c r="AA27">
        <f>HYPERLINK("https://klasma.github.io/Logging_0330/klagomål/A 13002-2026 FSC-klagomål.docx", "A 13002-2026")</f>
        <v/>
      </c>
      <c r="AB27">
        <f>HYPERLINK("https://klasma.github.io/Logging_0330/klagomålsmail/A 13002-2026 FSC-klagomål mail.docx", "A 13002-2026")</f>
        <v/>
      </c>
      <c r="AC27">
        <f>HYPERLINK("https://klasma.github.io/Logging_0330/tillsyn/A 13002-2026 tillsynsbegäran.docx", "A 13002-2026")</f>
        <v/>
      </c>
      <c r="AD27">
        <f>HYPERLINK("https://klasma.github.io/Logging_0330/tillsynsmail/A 13002-2026 tillsynsbegäran mail.docx", "A 13002-2026")</f>
        <v/>
      </c>
    </row>
    <row r="28" ht="15" customHeight="1">
      <c r="A28" t="inlineStr">
        <is>
          <t>A 12991-2026</t>
        </is>
      </c>
      <c r="B28" t="inlineStr">
        <is>
          <t>avverkningsanmälan</t>
        </is>
      </c>
      <c r="C28" t="inlineStr">
        <is>
          <t>Föryngringsavverkning</t>
        </is>
      </c>
      <c r="D28" s="1" t="n">
        <v>46092</v>
      </c>
      <c r="E28" s="1" t="n">
        <v>46257</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13380-2026</t>
        </is>
      </c>
      <c r="B29" t="inlineStr">
        <is>
          <t>avverkningsanmälan</t>
        </is>
      </c>
      <c r="C29" t="inlineStr">
        <is>
          <t>Föryngringsavverkning</t>
        </is>
      </c>
      <c r="D29" s="1" t="n">
        <v>46094</v>
      </c>
      <c r="E29" s="1" t="n">
        <v>46257</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46257</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46257</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46257</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46257</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46257</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46257</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46257</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46257</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20902-2024</t>
        </is>
      </c>
      <c r="B44" t="inlineStr">
        <is>
          <t>avverkningsanmälan</t>
        </is>
      </c>
      <c r="C44" t="inlineStr">
        <is>
          <t>Föryngringsavverkning</t>
        </is>
      </c>
      <c r="D44" s="1" t="n">
        <v>45439</v>
      </c>
      <c r="E44" s="1" t="n">
        <v>46257</v>
      </c>
      <c r="F44" t="inlineStr">
        <is>
          <t>UPPSALA LÄN</t>
        </is>
      </c>
      <c r="G44" t="inlineStr">
        <is>
          <t>KNIVSTA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46257</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46257</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46257</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46257</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23239-2023</t>
        </is>
      </c>
      <c r="B49" t="inlineStr">
        <is>
          <t>avverkningsanmälan</t>
        </is>
      </c>
      <c r="C49" t="inlineStr">
        <is>
          <t>Föryngringsavverkning</t>
        </is>
      </c>
      <c r="D49" s="1" t="n">
        <v>45075</v>
      </c>
      <c r="E49" s="1" t="n">
        <v>46257</v>
      </c>
      <c r="F49" t="inlineStr">
        <is>
          <t>UPPSALA LÄN</t>
        </is>
      </c>
      <c r="G49" t="inlineStr">
        <is>
          <t>KNIVSTA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46257</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46257</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46257</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26182-2022</t>
        </is>
      </c>
      <c r="B53" t="inlineStr">
        <is>
          <t>avverkningsanmälan</t>
        </is>
      </c>
      <c r="C53" t="inlineStr">
        <is>
          <t>Föryngringsavverkning</t>
        </is>
      </c>
      <c r="D53" s="1" t="n">
        <v>44735</v>
      </c>
      <c r="E53" s="1" t="n">
        <v>46257</v>
      </c>
      <c r="F53" t="inlineStr">
        <is>
          <t>UPPSALA LÄN</t>
        </is>
      </c>
      <c r="G53" t="inlineStr">
        <is>
          <t>KNIVSTA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2628-2025</t>
        </is>
      </c>
      <c r="B54" t="inlineStr">
        <is>
          <t>avverkningsanmälan</t>
        </is>
      </c>
      <c r="C54" t="inlineStr">
        <is>
          <t>Föryngringsavverkning</t>
        </is>
      </c>
      <c r="D54" s="1" t="n">
        <v>45675</v>
      </c>
      <c r="E54" s="1" t="n">
        <v>46257</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46257</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46257</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46257</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11841-2023</t>
        </is>
      </c>
      <c r="B58" t="inlineStr">
        <is>
          <t>avverkningsanmälan</t>
        </is>
      </c>
      <c r="C58" t="inlineStr">
        <is>
          <t>Föryngringsavverkning</t>
        </is>
      </c>
      <c r="D58" s="1" t="n">
        <v>44995</v>
      </c>
      <c r="E58" s="1" t="n">
        <v>46257</v>
      </c>
      <c r="F58" t="inlineStr">
        <is>
          <t>UPPSALA LÄN</t>
        </is>
      </c>
      <c r="G58" t="inlineStr">
        <is>
          <t>KNIVSTA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11847-2023</t>
        </is>
      </c>
      <c r="B59" t="inlineStr">
        <is>
          <t>avverkningsanmälan</t>
        </is>
      </c>
      <c r="C59" t="inlineStr">
        <is>
          <t>Föryngringsavverkning</t>
        </is>
      </c>
      <c r="D59" s="1" t="n">
        <v>44995</v>
      </c>
      <c r="E59" s="1" t="n">
        <v>46257</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11450-2023</t>
        </is>
      </c>
      <c r="B60" t="inlineStr">
        <is>
          <t>avverkningsanmälan</t>
        </is>
      </c>
      <c r="C60" t="inlineStr">
        <is>
          <t>Föryngringsavverkning</t>
        </is>
      </c>
      <c r="D60" s="1" t="n">
        <v>44993</v>
      </c>
      <c r="E60" s="1" t="n">
        <v>46257</v>
      </c>
      <c r="F60" t="inlineStr">
        <is>
          <t>UPPSALA LÄN</t>
        </is>
      </c>
      <c r="G60" t="inlineStr">
        <is>
          <t>KNIVSTA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45525-2023</t>
        </is>
      </c>
      <c r="B61" t="inlineStr">
        <is>
          <t>avverkningsanmälan</t>
        </is>
      </c>
      <c r="C61" t="inlineStr">
        <is>
          <t>Avverkning för annat ändamål</t>
        </is>
      </c>
      <c r="D61" s="1" t="n">
        <v>45194</v>
      </c>
      <c r="E61" s="1" t="n">
        <v>46257</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34864-2025</t>
        </is>
      </c>
      <c r="B62" t="inlineStr">
        <is>
          <t>avverkningsanmälan</t>
        </is>
      </c>
      <c r="C62" t="inlineStr">
        <is>
          <t>Föryngringsavverkning</t>
        </is>
      </c>
      <c r="D62" s="1" t="n">
        <v>45849</v>
      </c>
      <c r="E62" s="1" t="n">
        <v>46257</v>
      </c>
      <c r="F62" t="inlineStr">
        <is>
          <t>UPPSALA LÄN</t>
        </is>
      </c>
      <c r="G62" t="inlineStr">
        <is>
          <t>KNIVSTA</t>
        </is>
      </c>
      <c r="H62" t="inlineStr">
        <is>
          <t>Holmen skog AB</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16773-2022</t>
        </is>
      </c>
      <c r="B63" t="inlineStr">
        <is>
          <t>avverkningsanmälan</t>
        </is>
      </c>
      <c r="C63" t="inlineStr">
        <is>
          <t>Avverkning för annat ändamål</t>
        </is>
      </c>
      <c r="D63" s="1" t="n">
        <v>44673</v>
      </c>
      <c r="E63" s="1" t="n">
        <v>46257</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35318-2025</t>
        </is>
      </c>
      <c r="B64" t="inlineStr">
        <is>
          <t>avverkningsanmälan</t>
        </is>
      </c>
      <c r="C64" t="inlineStr">
        <is>
          <t>Föryngringsavverkning</t>
        </is>
      </c>
      <c r="D64" s="1" t="n">
        <v>45854</v>
      </c>
      <c r="E64" s="1" t="n">
        <v>46257</v>
      </c>
      <c r="F64" t="inlineStr">
        <is>
          <t>UPPSALA LÄN</t>
        </is>
      </c>
      <c r="G64" t="inlineStr">
        <is>
          <t>KNIVSTA</t>
        </is>
      </c>
      <c r="H64" t="inlineStr">
        <is>
          <t>Holmen skog AB</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60243-2025</t>
        </is>
      </c>
      <c r="B65" t="inlineStr">
        <is>
          <t>avverkningsanmälan</t>
        </is>
      </c>
      <c r="C65" t="inlineStr">
        <is>
          <t>Föryngringsavverkning</t>
        </is>
      </c>
      <c r="D65" s="1" t="n">
        <v>45994</v>
      </c>
      <c r="E65" s="1" t="n">
        <v>46257</v>
      </c>
      <c r="F65" t="inlineStr">
        <is>
          <t>UPPSALA LÄN</t>
        </is>
      </c>
      <c r="G65" t="inlineStr">
        <is>
          <t>KNIVSTA</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60018-2024</t>
        </is>
      </c>
      <c r="B66" t="inlineStr">
        <is>
          <t>avverkningsanmälan</t>
        </is>
      </c>
      <c r="C66" t="inlineStr">
        <is>
          <t>Föryngringsavverkning</t>
        </is>
      </c>
      <c r="D66" s="1" t="n">
        <v>45642</v>
      </c>
      <c r="E66" s="1" t="n">
        <v>46257</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30351-2022</t>
        </is>
      </c>
      <c r="B67" t="inlineStr">
        <is>
          <t>avverkningsanmälan</t>
        </is>
      </c>
      <c r="C67" t="inlineStr">
        <is>
          <t>Föryngringsavverkning</t>
        </is>
      </c>
      <c r="D67" s="1" t="n">
        <v>44757</v>
      </c>
      <c r="E67" s="1" t="n">
        <v>46257</v>
      </c>
      <c r="F67" t="inlineStr">
        <is>
          <t>UPPSALA LÄN</t>
        </is>
      </c>
      <c r="G67" t="inlineStr">
        <is>
          <t>KNIVSTA</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46257</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36473-2025</t>
        </is>
      </c>
      <c r="B69" t="inlineStr">
        <is>
          <t>avverkningsanmälan</t>
        </is>
      </c>
      <c r="C69" t="inlineStr">
        <is>
          <t>Föryngringsavverkning</t>
        </is>
      </c>
      <c r="D69" s="1" t="n">
        <v>45869</v>
      </c>
      <c r="E69" s="1" t="n">
        <v>46257</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46257</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662-2026</t>
        </is>
      </c>
      <c r="B71" t="inlineStr">
        <is>
          <t>avverkningsanmälan</t>
        </is>
      </c>
      <c r="C71" t="inlineStr">
        <is>
          <t>Föryngringsavverkning</t>
        </is>
      </c>
      <c r="D71" s="1" t="n">
        <v>46029</v>
      </c>
      <c r="E71" s="1" t="n">
        <v>46257</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1791-2024</t>
        </is>
      </c>
      <c r="B72" t="inlineStr">
        <is>
          <t>avverkningsanmälan</t>
        </is>
      </c>
      <c r="C72" t="inlineStr">
        <is>
          <t>Föryngringsavverkning</t>
        </is>
      </c>
      <c r="D72" s="1" t="n">
        <v>45307</v>
      </c>
      <c r="E72" s="1" t="n">
        <v>46257</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46257</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3824-2026</t>
        </is>
      </c>
      <c r="B74" t="inlineStr">
        <is>
          <t>avverkningsanmälan</t>
        </is>
      </c>
      <c r="C74" t="inlineStr">
        <is>
          <t>Föryngringsavverkning</t>
        </is>
      </c>
      <c r="D74" s="1" t="n">
        <v>46043</v>
      </c>
      <c r="E74" s="1" t="n">
        <v>46257</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46257</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45916-2022</t>
        </is>
      </c>
      <c r="B76" t="inlineStr">
        <is>
          <t>avverkningsanmälan</t>
        </is>
      </c>
      <c r="C76" t="inlineStr">
        <is>
          <t>Föryngringsavverkning</t>
        </is>
      </c>
      <c r="D76" s="1" t="n">
        <v>44846</v>
      </c>
      <c r="E76" s="1" t="n">
        <v>46257</v>
      </c>
      <c r="F76" t="inlineStr">
        <is>
          <t>UPPSALA LÄN</t>
        </is>
      </c>
      <c r="G76" t="inlineStr">
        <is>
          <t>KNIVSTA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23969-2026</t>
        </is>
      </c>
      <c r="B77" t="inlineStr">
        <is>
          <t>avverkningsanmälan</t>
        </is>
      </c>
      <c r="C77" t="inlineStr">
        <is>
          <t>Föryngringsavverkning</t>
        </is>
      </c>
      <c r="D77" s="1" t="n">
        <v>46167</v>
      </c>
      <c r="E77" s="1" t="n">
        <v>46257</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46257</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46257</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46257</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5320-2023</t>
        </is>
      </c>
      <c r="B81" t="inlineStr">
        <is>
          <t>avverkningsanmälan</t>
        </is>
      </c>
      <c r="C81" t="inlineStr">
        <is>
          <t>Föryngringsavverkning</t>
        </is>
      </c>
      <c r="D81" s="1" t="n">
        <v>44959</v>
      </c>
      <c r="E81" s="1" t="n">
        <v>46257</v>
      </c>
      <c r="F81" t="inlineStr">
        <is>
          <t>UPPSALA LÄN</t>
        </is>
      </c>
      <c r="G81" t="inlineStr">
        <is>
          <t>KNIVSTA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46257</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11452-2023</t>
        </is>
      </c>
      <c r="B83" t="inlineStr">
        <is>
          <t>avverkningsanmälan</t>
        </is>
      </c>
      <c r="C83" t="inlineStr">
        <is>
          <t>Föryngringsavverkning</t>
        </is>
      </c>
      <c r="D83" s="1" t="n">
        <v>44993</v>
      </c>
      <c r="E83" s="1" t="n">
        <v>46257</v>
      </c>
      <c r="F83" t="inlineStr">
        <is>
          <t>UPPSALA LÄN</t>
        </is>
      </c>
      <c r="G83" t="inlineStr">
        <is>
          <t>KNIVSTA</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30627-2023</t>
        </is>
      </c>
      <c r="B84" t="inlineStr">
        <is>
          <t>avverkningsanmälan</t>
        </is>
      </c>
      <c r="C84" t="inlineStr">
        <is>
          <t>Föryngringsavverkning</t>
        </is>
      </c>
      <c r="D84" s="1" t="n">
        <v>45112</v>
      </c>
      <c r="E84" s="1" t="n">
        <v>46257</v>
      </c>
      <c r="F84" t="inlineStr">
        <is>
          <t>UPPSALA LÄN</t>
        </is>
      </c>
      <c r="G84" t="inlineStr">
        <is>
          <t>KNIVSTA</t>
        </is>
      </c>
      <c r="H84" t="inlineStr">
        <is>
          <t>Holmen skog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46257</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46257</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46257</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46257</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46257</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46257</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46257</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28668-2026</t>
        </is>
      </c>
      <c r="B92" t="inlineStr">
        <is>
          <t>avverkningsanmälan</t>
        </is>
      </c>
      <c r="C92" t="inlineStr">
        <is>
          <t>Avverkning för annat ändamål</t>
        </is>
      </c>
      <c r="D92" s="1" t="n">
        <v>46193</v>
      </c>
      <c r="E92" s="1" t="n">
        <v>46257</v>
      </c>
      <c r="F92" t="inlineStr">
        <is>
          <t>UPPSALA LÄN</t>
        </is>
      </c>
      <c r="G92" t="inlineStr">
        <is>
          <t>KNIVSTA</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46257</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8343-2024</t>
        </is>
      </c>
      <c r="B94" t="inlineStr">
        <is>
          <t>avverkningsanmälan</t>
        </is>
      </c>
      <c r="C94" t="inlineStr">
        <is>
          <t>Föryngringsavverkning</t>
        </is>
      </c>
      <c r="D94" s="1" t="n">
        <v>45352</v>
      </c>
      <c r="E94" s="1" t="n">
        <v>46257</v>
      </c>
      <c r="F94" t="inlineStr">
        <is>
          <t>UPPSALA LÄN</t>
        </is>
      </c>
      <c r="G94" t="inlineStr">
        <is>
          <t>KNIVSTA</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46257</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19676-2025</t>
        </is>
      </c>
      <c r="B96" t="inlineStr">
        <is>
          <t>avverkningsanmälan</t>
        </is>
      </c>
      <c r="C96" t="inlineStr">
        <is>
          <t>Föryngringsavverkning</t>
        </is>
      </c>
      <c r="D96" s="1" t="n">
        <v>45770</v>
      </c>
      <c r="E96" s="1" t="n">
        <v>46257</v>
      </c>
      <c r="F96" t="inlineStr">
        <is>
          <t>UPPSALA LÄN</t>
        </is>
      </c>
      <c r="G96" t="inlineStr">
        <is>
          <t>KNIVSTA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52666-2025</t>
        </is>
      </c>
      <c r="B97" t="inlineStr">
        <is>
          <t>avverkningsanmälan</t>
        </is>
      </c>
      <c r="C97" t="inlineStr">
        <is>
          <t>Föryngringsavverkning</t>
        </is>
      </c>
      <c r="D97" s="1" t="n">
        <v>45955</v>
      </c>
      <c r="E97" s="1" t="n">
        <v>46257</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34604-2026</t>
        </is>
      </c>
      <c r="B98" t="inlineStr">
        <is>
          <t>avverkningsanmälan</t>
        </is>
      </c>
      <c r="C98" t="inlineStr">
        <is>
          <t>Föryngringsavverkning</t>
        </is>
      </c>
      <c r="D98" s="1" t="n">
        <v>46255</v>
      </c>
      <c r="E98" s="1" t="n">
        <v>46257</v>
      </c>
      <c r="F98" t="inlineStr">
        <is>
          <t>UPPSALA LÄN</t>
        </is>
      </c>
      <c r="G98" t="inlineStr">
        <is>
          <t>KNIVSTA</t>
        </is>
      </c>
      <c r="H98" t="inlineStr">
        <is>
          <t>Holmen skog AB</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33974-2025</t>
        </is>
      </c>
      <c r="B99" t="inlineStr">
        <is>
          <t>avverkningsanmälan</t>
        </is>
      </c>
      <c r="C99" t="inlineStr">
        <is>
          <t>Föryngringsavverkning</t>
        </is>
      </c>
      <c r="D99" s="1" t="n">
        <v>45843</v>
      </c>
      <c r="E99" s="1" t="n">
        <v>46257</v>
      </c>
      <c r="F99" t="inlineStr">
        <is>
          <t>UPPSALA LÄN</t>
        </is>
      </c>
      <c r="G99" t="inlineStr">
        <is>
          <t>KNIVSTA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20528-2026</t>
        </is>
      </c>
      <c r="B100" t="inlineStr">
        <is>
          <t>avverkningsanmälan</t>
        </is>
      </c>
      <c r="C100" t="inlineStr">
        <is>
          <t>Föryngringsavverkning</t>
        </is>
      </c>
      <c r="D100" s="1" t="n">
        <v>46140</v>
      </c>
      <c r="E100" s="1" t="n">
        <v>46257</v>
      </c>
      <c r="F100" t="inlineStr">
        <is>
          <t>UPPSALA LÄN</t>
        </is>
      </c>
      <c r="G100" t="inlineStr">
        <is>
          <t>KNIVSTA</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46257</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19777-2026</t>
        </is>
      </c>
      <c r="B102" t="inlineStr">
        <is>
          <t>avverkningsanmälan</t>
        </is>
      </c>
      <c r="C102" t="inlineStr">
        <is>
          <t>Föryngringsavverkning</t>
        </is>
      </c>
      <c r="D102" s="1" t="n">
        <v>46135</v>
      </c>
      <c r="E102" s="1" t="n">
        <v>46257</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46257</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46257</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46257</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46257</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2026-08-23T01:48:12Z</dcterms:created>
  <dcterms:modified xmlns:dcterms="http://purl.org/dc/terms/" xmlns:xsi="http://www.w3.org/2001/XMLSchema-instance" xsi:type="dcterms:W3CDTF">2026-08-23T01:48:12Z</dcterms:modified>
</cp:coreProperties>
</file>