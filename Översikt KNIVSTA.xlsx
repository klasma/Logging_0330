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46111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46111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46111</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46111</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46111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46111</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46111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46111</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46111</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61768-2025</t>
        </is>
      </c>
      <c r="B11" s="1" t="n">
        <v>46002.63940972222</v>
      </c>
      <c r="C11" s="1" t="n">
        <v>46111</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9561-2026</t>
        </is>
      </c>
      <c r="B12" s="1" t="n">
        <v>46071.64916666667</v>
      </c>
      <c r="C12" s="1" t="n">
        <v>46111</v>
      </c>
      <c r="D12" t="inlineStr">
        <is>
          <t>UPPSALA LÄN</t>
        </is>
      </c>
      <c r="E12" t="inlineStr">
        <is>
          <t>KNIVSTA</t>
        </is>
      </c>
      <c r="F12" t="inlineStr">
        <is>
          <t>Övriga statliga verk och myndigheter</t>
        </is>
      </c>
      <c r="G12" t="n">
        <v>2.6</v>
      </c>
      <c r="H12" t="n">
        <v>0</v>
      </c>
      <c r="I12" t="n">
        <v>0</v>
      </c>
      <c r="J12" t="n">
        <v>1</v>
      </c>
      <c r="K12" t="n">
        <v>0</v>
      </c>
      <c r="L12" t="n">
        <v>0</v>
      </c>
      <c r="M12" t="n">
        <v>0</v>
      </c>
      <c r="N12" t="n">
        <v>0</v>
      </c>
      <c r="O12" t="n">
        <v>1</v>
      </c>
      <c r="P12" t="n">
        <v>0</v>
      </c>
      <c r="Q12" t="n">
        <v>1</v>
      </c>
      <c r="R12" s="2" t="inlineStr">
        <is>
          <t>Svartöra</t>
        </is>
      </c>
      <c r="S12">
        <f>HYPERLINK("https://klasma.github.io/Logging_0330/artfynd/A 9561-2026 artfynd.xlsx", "A 9561-2026")</f>
        <v/>
      </c>
      <c r="T12">
        <f>HYPERLINK("https://klasma.github.io/Logging_0330/kartor/A 9561-2026 karta.png", "A 9561-2026")</f>
        <v/>
      </c>
      <c r="V12">
        <f>HYPERLINK("https://klasma.github.io/Logging_0330/klagomål/A 9561-2026 FSC-klagomål.docx", "A 9561-2026")</f>
        <v/>
      </c>
      <c r="W12">
        <f>HYPERLINK("https://klasma.github.io/Logging_0330/klagomålsmail/A 9561-2026 FSC-klagomål mail.docx", "A 9561-2026")</f>
        <v/>
      </c>
      <c r="X12">
        <f>HYPERLINK("https://klasma.github.io/Logging_0330/tillsyn/A 9561-2026 tillsynsbegäran.docx", "A 9561-2026")</f>
        <v/>
      </c>
      <c r="Y12">
        <f>HYPERLINK("https://klasma.github.io/Logging_0330/tillsynsmail/A 9561-2026 tillsynsbegäran mail.docx", "A 9561-2026")</f>
        <v/>
      </c>
    </row>
    <row r="13" ht="15" customHeight="1">
      <c r="A13" t="inlineStr">
        <is>
          <t>A 53813-2025</t>
        </is>
      </c>
      <c r="B13" s="1" t="n">
        <v>45960</v>
      </c>
      <c r="C13" s="1" t="n">
        <v>46111</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11405-2025</t>
        </is>
      </c>
      <c r="B14" s="1" t="n">
        <v>45726</v>
      </c>
      <c r="C14" s="1" t="n">
        <v>46111</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13002-2026</t>
        </is>
      </c>
      <c r="B15" s="1" t="n">
        <v>46092.68854166667</v>
      </c>
      <c r="C15" s="1" t="n">
        <v>46111</v>
      </c>
      <c r="D15" t="inlineStr">
        <is>
          <t>UPPSALA LÄN</t>
        </is>
      </c>
      <c r="E15" t="inlineStr">
        <is>
          <t>KNIVSTA</t>
        </is>
      </c>
      <c r="F15" t="inlineStr">
        <is>
          <t>Holmen skog AB</t>
        </is>
      </c>
      <c r="G15" t="n">
        <v>0.7</v>
      </c>
      <c r="H15" t="n">
        <v>1</v>
      </c>
      <c r="I15" t="n">
        <v>0</v>
      </c>
      <c r="J15" t="n">
        <v>0</v>
      </c>
      <c r="K15" t="n">
        <v>1</v>
      </c>
      <c r="L15" t="n">
        <v>0</v>
      </c>
      <c r="M15" t="n">
        <v>0</v>
      </c>
      <c r="N15" t="n">
        <v>0</v>
      </c>
      <c r="O15" t="n">
        <v>1</v>
      </c>
      <c r="P15" t="n">
        <v>1</v>
      </c>
      <c r="Q15" t="n">
        <v>1</v>
      </c>
      <c r="R15" s="2" t="inlineStr">
        <is>
          <t>Knärot</t>
        </is>
      </c>
      <c r="S15">
        <f>HYPERLINK("https://klasma.github.io/Logging_0330/artfynd/A 13002-2026 artfynd.xlsx", "A 13002-2026")</f>
        <v/>
      </c>
      <c r="T15">
        <f>HYPERLINK("https://klasma.github.io/Logging_0330/kartor/A 13002-2026 karta.png", "A 13002-2026")</f>
        <v/>
      </c>
      <c r="U15">
        <f>HYPERLINK("https://klasma.github.io/Logging_0330/knärot/A 13002-2026 karta knärot.png", "A 13002-2026")</f>
        <v/>
      </c>
      <c r="V15">
        <f>HYPERLINK("https://klasma.github.io/Logging_0330/klagomål/A 13002-2026 FSC-klagomål.docx", "A 13002-2026")</f>
        <v/>
      </c>
      <c r="W15">
        <f>HYPERLINK("https://klasma.github.io/Logging_0330/klagomålsmail/A 13002-2026 FSC-klagomål mail.docx", "A 13002-2026")</f>
        <v/>
      </c>
      <c r="X15">
        <f>HYPERLINK("https://klasma.github.io/Logging_0330/tillsyn/A 13002-2026 tillsynsbegäran.docx", "A 13002-2026")</f>
        <v/>
      </c>
      <c r="Y15">
        <f>HYPERLINK("https://klasma.github.io/Logging_0330/tillsynsmail/A 13002-2026 tillsynsbegäran mail.docx", "A 13002-2026")</f>
        <v/>
      </c>
    </row>
    <row r="16" ht="15" customHeight="1">
      <c r="A16" t="inlineStr">
        <is>
          <t>A 13004-2026</t>
        </is>
      </c>
      <c r="B16" s="1" t="n">
        <v>46092.68935185186</v>
      </c>
      <c r="C16" s="1" t="n">
        <v>46111</v>
      </c>
      <c r="D16" t="inlineStr">
        <is>
          <t>UPPSALA LÄN</t>
        </is>
      </c>
      <c r="E16" t="inlineStr">
        <is>
          <t>KNIVSTA</t>
        </is>
      </c>
      <c r="F16" t="inlineStr">
        <is>
          <t>Holmen skog AB</t>
        </is>
      </c>
      <c r="G16" t="n">
        <v>7.8</v>
      </c>
      <c r="H16" t="n">
        <v>1</v>
      </c>
      <c r="I16" t="n">
        <v>0</v>
      </c>
      <c r="J16" t="n">
        <v>1</v>
      </c>
      <c r="K16" t="n">
        <v>0</v>
      </c>
      <c r="L16" t="n">
        <v>0</v>
      </c>
      <c r="M16" t="n">
        <v>0</v>
      </c>
      <c r="N16" t="n">
        <v>0</v>
      </c>
      <c r="O16" t="n">
        <v>1</v>
      </c>
      <c r="P16" t="n">
        <v>0</v>
      </c>
      <c r="Q16" t="n">
        <v>1</v>
      </c>
      <c r="R16" s="2" t="inlineStr">
        <is>
          <t>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13380-2026</t>
        </is>
      </c>
      <c r="B17" s="1" t="n">
        <v>46094.42555555556</v>
      </c>
      <c r="C17" s="1" t="n">
        <v>46111</v>
      </c>
      <c r="D17" t="inlineStr">
        <is>
          <t>UPPSALA LÄN</t>
        </is>
      </c>
      <c r="E17" t="inlineStr">
        <is>
          <t>KNIVSTA</t>
        </is>
      </c>
      <c r="G17" t="n">
        <v>1.7</v>
      </c>
      <c r="H17" t="n">
        <v>1</v>
      </c>
      <c r="I17" t="n">
        <v>0</v>
      </c>
      <c r="J17" t="n">
        <v>1</v>
      </c>
      <c r="K17" t="n">
        <v>0</v>
      </c>
      <c r="L17" t="n">
        <v>0</v>
      </c>
      <c r="M17" t="n">
        <v>0</v>
      </c>
      <c r="N17" t="n">
        <v>0</v>
      </c>
      <c r="O17" t="n">
        <v>1</v>
      </c>
      <c r="P17" t="n">
        <v>0</v>
      </c>
      <c r="Q17" t="n">
        <v>1</v>
      </c>
      <c r="R17" s="2" t="inlineStr">
        <is>
          <t>Spillkråka</t>
        </is>
      </c>
      <c r="S17">
        <f>HYPERLINK("https://klasma.github.io/Logging_0330/artfynd/A 13380-2026 artfynd.xlsx", "A 13380-2026")</f>
        <v/>
      </c>
      <c r="T17">
        <f>HYPERLINK("https://klasma.github.io/Logging_0330/kartor/A 13380-2026 karta.png", "A 13380-2026")</f>
        <v/>
      </c>
      <c r="V17">
        <f>HYPERLINK("https://klasma.github.io/Logging_0330/klagomål/A 13380-2026 FSC-klagomål.docx", "A 13380-2026")</f>
        <v/>
      </c>
      <c r="W17">
        <f>HYPERLINK("https://klasma.github.io/Logging_0330/klagomålsmail/A 13380-2026 FSC-klagomål mail.docx", "A 13380-2026")</f>
        <v/>
      </c>
      <c r="X17">
        <f>HYPERLINK("https://klasma.github.io/Logging_0330/tillsyn/A 13380-2026 tillsynsbegäran.docx", "A 13380-2026")</f>
        <v/>
      </c>
      <c r="Y17">
        <f>HYPERLINK("https://klasma.github.io/Logging_0330/tillsynsmail/A 13380-2026 tillsynsbegäran mail.docx", "A 13380-2026")</f>
        <v/>
      </c>
      <c r="Z17">
        <f>HYPERLINK("https://klasma.github.io/Logging_0330/fåglar/A 13380-2026 prioriterade fågelarter.docx", "A 13380-2026")</f>
        <v/>
      </c>
    </row>
    <row r="18" ht="15" customHeight="1">
      <c r="A18" t="inlineStr">
        <is>
          <t>A 33770-2023</t>
        </is>
      </c>
      <c r="B18" s="1" t="n">
        <v>45133</v>
      </c>
      <c r="C18" s="1" t="n">
        <v>46111</v>
      </c>
      <c r="D18" t="inlineStr">
        <is>
          <t>UPPSALA LÄN</t>
        </is>
      </c>
      <c r="E18" t="inlineStr">
        <is>
          <t>KNIVSTA</t>
        </is>
      </c>
      <c r="F18" t="inlineStr">
        <is>
          <t>Holmen skog AB</t>
        </is>
      </c>
      <c r="G18" t="n">
        <v>4</v>
      </c>
      <c r="H18" t="n">
        <v>1</v>
      </c>
      <c r="I18" t="n">
        <v>0</v>
      </c>
      <c r="J18" t="n">
        <v>1</v>
      </c>
      <c r="K18" t="n">
        <v>0</v>
      </c>
      <c r="L18" t="n">
        <v>0</v>
      </c>
      <c r="M18" t="n">
        <v>0</v>
      </c>
      <c r="N18" t="n">
        <v>0</v>
      </c>
      <c r="O18" t="n">
        <v>1</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21831-2024</t>
        </is>
      </c>
      <c r="B19" s="1" t="n">
        <v>45442</v>
      </c>
      <c r="C19" s="1" t="n">
        <v>46111</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9553-2025</t>
        </is>
      </c>
      <c r="B20" s="1" t="n">
        <v>45715</v>
      </c>
      <c r="C20" s="1" t="n">
        <v>46111</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16407-2025</t>
        </is>
      </c>
      <c r="B21" s="1" t="n">
        <v>45751.45120370371</v>
      </c>
      <c r="C21" s="1" t="n">
        <v>46111</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16973-2021</t>
        </is>
      </c>
      <c r="B22" s="1" t="n">
        <v>44295</v>
      </c>
      <c r="C22" s="1" t="n">
        <v>46111</v>
      </c>
      <c r="D22" t="inlineStr">
        <is>
          <t>UPPSALA LÄN</t>
        </is>
      </c>
      <c r="E22" t="inlineStr">
        <is>
          <t>KNIVSTA</t>
        </is>
      </c>
      <c r="G22" t="n">
        <v>5.5</v>
      </c>
      <c r="H22" t="n">
        <v>0</v>
      </c>
      <c r="I22" t="n">
        <v>0</v>
      </c>
      <c r="J22" t="n">
        <v>1</v>
      </c>
      <c r="K22" t="n">
        <v>0</v>
      </c>
      <c r="L22" t="n">
        <v>0</v>
      </c>
      <c r="M22" t="n">
        <v>0</v>
      </c>
      <c r="N22" t="n">
        <v>0</v>
      </c>
      <c r="O22" t="n">
        <v>1</v>
      </c>
      <c r="P22" t="n">
        <v>0</v>
      </c>
      <c r="Q22" t="n">
        <v>1</v>
      </c>
      <c r="R22" s="2" t="inlineStr">
        <is>
          <t>Backklöver</t>
        </is>
      </c>
      <c r="S22">
        <f>HYPERLINK("https://klasma.github.io/Logging_0330/artfynd/A 16973-2021 artfynd.xlsx", "A 16973-2021")</f>
        <v/>
      </c>
      <c r="T22">
        <f>HYPERLINK("https://klasma.github.io/Logging_0330/kartor/A 16973-2021 karta.png", "A 16973-2021")</f>
        <v/>
      </c>
      <c r="V22">
        <f>HYPERLINK("https://klasma.github.io/Logging_0330/klagomål/A 16973-2021 FSC-klagomål.docx", "A 16973-2021")</f>
        <v/>
      </c>
      <c r="W22">
        <f>HYPERLINK("https://klasma.github.io/Logging_0330/klagomålsmail/A 16973-2021 FSC-klagomål mail.docx", "A 16973-2021")</f>
        <v/>
      </c>
      <c r="X22">
        <f>HYPERLINK("https://klasma.github.io/Logging_0330/tillsyn/A 16973-2021 tillsynsbegäran.docx", "A 16973-2021")</f>
        <v/>
      </c>
      <c r="Y22">
        <f>HYPERLINK("https://klasma.github.io/Logging_0330/tillsynsmail/A 16973-2021 tillsynsbegäran mail.docx", "A 16973-2021")</f>
        <v/>
      </c>
    </row>
    <row r="23" ht="15" customHeight="1">
      <c r="A23" t="inlineStr">
        <is>
          <t>A 5455-2025</t>
        </is>
      </c>
      <c r="B23" s="1" t="n">
        <v>45693</v>
      </c>
      <c r="C23" s="1" t="n">
        <v>46111</v>
      </c>
      <c r="D23" t="inlineStr">
        <is>
          <t>UPPSALA LÄN</t>
        </is>
      </c>
      <c r="E23" t="inlineStr">
        <is>
          <t>KNIVSTA</t>
        </is>
      </c>
      <c r="G23" t="n">
        <v>17.1</v>
      </c>
      <c r="H23" t="n">
        <v>0</v>
      </c>
      <c r="I23" t="n">
        <v>1</v>
      </c>
      <c r="J23" t="n">
        <v>0</v>
      </c>
      <c r="K23" t="n">
        <v>0</v>
      </c>
      <c r="L23" t="n">
        <v>0</v>
      </c>
      <c r="M23" t="n">
        <v>0</v>
      </c>
      <c r="N23" t="n">
        <v>0</v>
      </c>
      <c r="O23" t="n">
        <v>0</v>
      </c>
      <c r="P23" t="n">
        <v>0</v>
      </c>
      <c r="Q23" t="n">
        <v>1</v>
      </c>
      <c r="R23" s="2" t="inlineStr">
        <is>
          <t>Vedticka</t>
        </is>
      </c>
      <c r="S23">
        <f>HYPERLINK("https://klasma.github.io/Logging_0330/artfynd/A 5455-2025 artfynd.xlsx", "A 5455-2025")</f>
        <v/>
      </c>
      <c r="T23">
        <f>HYPERLINK("https://klasma.github.io/Logging_0330/kartor/A 5455-2025 karta.png", "A 5455-2025")</f>
        <v/>
      </c>
      <c r="V23">
        <f>HYPERLINK("https://klasma.github.io/Logging_0330/klagomål/A 5455-2025 FSC-klagomål.docx", "A 5455-2025")</f>
        <v/>
      </c>
      <c r="W23">
        <f>HYPERLINK("https://klasma.github.io/Logging_0330/klagomålsmail/A 5455-2025 FSC-klagomål mail.docx", "A 5455-2025")</f>
        <v/>
      </c>
      <c r="X23">
        <f>HYPERLINK("https://klasma.github.io/Logging_0330/tillsyn/A 5455-2025 tillsynsbegäran.docx", "A 5455-2025")</f>
        <v/>
      </c>
      <c r="Y23">
        <f>HYPERLINK("https://klasma.github.io/Logging_0330/tillsynsmail/A 5455-2025 tillsynsbegäran mail.docx", "A 5455-2025")</f>
        <v/>
      </c>
    </row>
    <row r="24" ht="15" customHeight="1">
      <c r="A24" t="inlineStr">
        <is>
          <t>A 19796-2021</t>
        </is>
      </c>
      <c r="B24" s="1" t="n">
        <v>44313</v>
      </c>
      <c r="C24" s="1" t="n">
        <v>46111</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46111</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46111</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46111</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46111</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46111</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46111</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46111</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46111</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46111</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46111</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46111</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46111</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46111</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46111</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46111</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46111</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46111</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46111</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46111</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46111</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46111</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57631-2025</t>
        </is>
      </c>
      <c r="B46" s="1" t="n">
        <v>45981.34748842593</v>
      </c>
      <c r="C46" s="1" t="n">
        <v>46111</v>
      </c>
      <c r="D46" t="inlineStr">
        <is>
          <t>UPPSALA LÄN</t>
        </is>
      </c>
      <c r="E46" t="inlineStr">
        <is>
          <t>KNIVSTA</t>
        </is>
      </c>
      <c r="G46" t="n">
        <v>3.4</v>
      </c>
      <c r="H46" t="n">
        <v>0</v>
      </c>
      <c r="I46" t="n">
        <v>0</v>
      </c>
      <c r="J46" t="n">
        <v>0</v>
      </c>
      <c r="K46" t="n">
        <v>0</v>
      </c>
      <c r="L46" t="n">
        <v>0</v>
      </c>
      <c r="M46" t="n">
        <v>0</v>
      </c>
      <c r="N46" t="n">
        <v>0</v>
      </c>
      <c r="O46" t="n">
        <v>0</v>
      </c>
      <c r="P46" t="n">
        <v>0</v>
      </c>
      <c r="Q46" t="n">
        <v>0</v>
      </c>
      <c r="R46" s="2" t="inlineStr"/>
    </row>
    <row r="47" ht="15" customHeight="1">
      <c r="A47" t="inlineStr">
        <is>
          <t>A 53812-2025</t>
        </is>
      </c>
      <c r="B47" s="1" t="n">
        <v>45960</v>
      </c>
      <c r="C47" s="1" t="n">
        <v>46111</v>
      </c>
      <c r="D47" t="inlineStr">
        <is>
          <t>UPPSALA LÄN</t>
        </is>
      </c>
      <c r="E47" t="inlineStr">
        <is>
          <t>KNIVSTA</t>
        </is>
      </c>
      <c r="G47" t="n">
        <v>5.8</v>
      </c>
      <c r="H47" t="n">
        <v>0</v>
      </c>
      <c r="I47" t="n">
        <v>0</v>
      </c>
      <c r="J47" t="n">
        <v>0</v>
      </c>
      <c r="K47" t="n">
        <v>0</v>
      </c>
      <c r="L47" t="n">
        <v>0</v>
      </c>
      <c r="M47" t="n">
        <v>0</v>
      </c>
      <c r="N47" t="n">
        <v>0</v>
      </c>
      <c r="O47" t="n">
        <v>0</v>
      </c>
      <c r="P47" t="n">
        <v>0</v>
      </c>
      <c r="Q47" t="n">
        <v>0</v>
      </c>
      <c r="R47" s="2" t="inlineStr"/>
    </row>
    <row r="48" ht="15" customHeight="1">
      <c r="A48" t="inlineStr">
        <is>
          <t>A 60243-2025</t>
        </is>
      </c>
      <c r="B48" s="1" t="n">
        <v>45994.58650462963</v>
      </c>
      <c r="C48" s="1" t="n">
        <v>46111</v>
      </c>
      <c r="D48" t="inlineStr">
        <is>
          <t>UPPSALA LÄN</t>
        </is>
      </c>
      <c r="E48" t="inlineStr">
        <is>
          <t>KNIVSTA</t>
        </is>
      </c>
      <c r="F48" t="inlineStr">
        <is>
          <t>Holmen skog AB</t>
        </is>
      </c>
      <c r="G48" t="n">
        <v>2.4</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46111</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26226-2025</t>
        </is>
      </c>
      <c r="B50" s="1" t="n">
        <v>45805.55829861111</v>
      </c>
      <c r="C50" s="1" t="n">
        <v>46111</v>
      </c>
      <c r="D50" t="inlineStr">
        <is>
          <t>UPPSALA LÄN</t>
        </is>
      </c>
      <c r="E50" t="inlineStr">
        <is>
          <t>KNIVSTA</t>
        </is>
      </c>
      <c r="G50" t="n">
        <v>9.1</v>
      </c>
      <c r="H50" t="n">
        <v>0</v>
      </c>
      <c r="I50" t="n">
        <v>0</v>
      </c>
      <c r="J50" t="n">
        <v>0</v>
      </c>
      <c r="K50" t="n">
        <v>0</v>
      </c>
      <c r="L50" t="n">
        <v>0</v>
      </c>
      <c r="M50" t="n">
        <v>0</v>
      </c>
      <c r="N50" t="n">
        <v>0</v>
      </c>
      <c r="O50" t="n">
        <v>0</v>
      </c>
      <c r="P50" t="n">
        <v>0</v>
      </c>
      <c r="Q50" t="n">
        <v>0</v>
      </c>
      <c r="R50" s="2" t="inlineStr"/>
    </row>
    <row r="51" ht="15" customHeight="1">
      <c r="A51" t="inlineStr">
        <is>
          <t>A 14267-2025</t>
        </is>
      </c>
      <c r="B51" s="1" t="n">
        <v>45740.63686342593</v>
      </c>
      <c r="C51" s="1" t="n">
        <v>46111</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5402-2023</t>
        </is>
      </c>
      <c r="B52" s="1" t="n">
        <v>44959</v>
      </c>
      <c r="C52" s="1" t="n">
        <v>46111</v>
      </c>
      <c r="D52" t="inlineStr">
        <is>
          <t>UPPSALA LÄN</t>
        </is>
      </c>
      <c r="E52" t="inlineStr">
        <is>
          <t>KNIVSTA</t>
        </is>
      </c>
      <c r="G52" t="n">
        <v>4.3</v>
      </c>
      <c r="H52" t="n">
        <v>0</v>
      </c>
      <c r="I52" t="n">
        <v>0</v>
      </c>
      <c r="J52" t="n">
        <v>0</v>
      </c>
      <c r="K52" t="n">
        <v>0</v>
      </c>
      <c r="L52" t="n">
        <v>0</v>
      </c>
      <c r="M52" t="n">
        <v>0</v>
      </c>
      <c r="N52" t="n">
        <v>0</v>
      </c>
      <c r="O52" t="n">
        <v>0</v>
      </c>
      <c r="P52" t="n">
        <v>0</v>
      </c>
      <c r="Q52" t="n">
        <v>0</v>
      </c>
      <c r="R52" s="2" t="inlineStr"/>
    </row>
    <row r="53" ht="15" customHeight="1">
      <c r="A53" t="inlineStr">
        <is>
          <t>A 44869-2025</t>
        </is>
      </c>
      <c r="B53" s="1" t="n">
        <v>45918.46758101852</v>
      </c>
      <c r="C53" s="1" t="n">
        <v>46111</v>
      </c>
      <c r="D53" t="inlineStr">
        <is>
          <t>UPPSALA LÄN</t>
        </is>
      </c>
      <c r="E53" t="inlineStr">
        <is>
          <t>KNIVSTA</t>
        </is>
      </c>
      <c r="G53" t="n">
        <v>17.1</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46111</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11841-2023</t>
        </is>
      </c>
      <c r="B55" s="1" t="n">
        <v>44995.3221412037</v>
      </c>
      <c r="C55" s="1" t="n">
        <v>46111</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13040-2025</t>
        </is>
      </c>
      <c r="B56" s="1" t="n">
        <v>45734</v>
      </c>
      <c r="C56" s="1" t="n">
        <v>46111</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662-2026</t>
        </is>
      </c>
      <c r="B57" s="1" t="n">
        <v>46029.58549768518</v>
      </c>
      <c r="C57" s="1" t="n">
        <v>46111</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30351-2022</t>
        </is>
      </c>
      <c r="B58" s="1" t="n">
        <v>44757</v>
      </c>
      <c r="C58" s="1" t="n">
        <v>46111</v>
      </c>
      <c r="D58" t="inlineStr">
        <is>
          <t>UPPSALA LÄN</t>
        </is>
      </c>
      <c r="E58" t="inlineStr">
        <is>
          <t>KNIVSTA</t>
        </is>
      </c>
      <c r="G58" t="n">
        <v>5.7</v>
      </c>
      <c r="H58" t="n">
        <v>0</v>
      </c>
      <c r="I58" t="n">
        <v>0</v>
      </c>
      <c r="J58" t="n">
        <v>0</v>
      </c>
      <c r="K58" t="n">
        <v>0</v>
      </c>
      <c r="L58" t="n">
        <v>0</v>
      </c>
      <c r="M58" t="n">
        <v>0</v>
      </c>
      <c r="N58" t="n">
        <v>0</v>
      </c>
      <c r="O58" t="n">
        <v>0</v>
      </c>
      <c r="P58" t="n">
        <v>0</v>
      </c>
      <c r="Q58" t="n">
        <v>0</v>
      </c>
      <c r="R58" s="2" t="inlineStr"/>
    </row>
    <row r="59" ht="15" customHeight="1">
      <c r="A59" t="inlineStr">
        <is>
          <t>A 11847-2023</t>
        </is>
      </c>
      <c r="B59" s="1" t="n">
        <v>44995.33957175926</v>
      </c>
      <c r="C59" s="1" t="n">
        <v>46111</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9744-2026</t>
        </is>
      </c>
      <c r="B60" s="1" t="n">
        <v>46072.51857638889</v>
      </c>
      <c r="C60" s="1" t="n">
        <v>46111</v>
      </c>
      <c r="D60" t="inlineStr">
        <is>
          <t>UPPSALA LÄN</t>
        </is>
      </c>
      <c r="E60" t="inlineStr">
        <is>
          <t>KNIVSTA</t>
        </is>
      </c>
      <c r="G60" t="n">
        <v>2.4</v>
      </c>
      <c r="H60" t="n">
        <v>0</v>
      </c>
      <c r="I60" t="n">
        <v>0</v>
      </c>
      <c r="J60" t="n">
        <v>0</v>
      </c>
      <c r="K60" t="n">
        <v>0</v>
      </c>
      <c r="L60" t="n">
        <v>0</v>
      </c>
      <c r="M60" t="n">
        <v>0</v>
      </c>
      <c r="N60" t="n">
        <v>0</v>
      </c>
      <c r="O60" t="n">
        <v>0</v>
      </c>
      <c r="P60" t="n">
        <v>0</v>
      </c>
      <c r="Q60" t="n">
        <v>0</v>
      </c>
      <c r="R60" s="2" t="inlineStr"/>
    </row>
    <row r="61" ht="15" customHeight="1">
      <c r="A61" t="inlineStr">
        <is>
          <t>A 666-2026</t>
        </is>
      </c>
      <c r="B61" s="1" t="n">
        <v>46029.58832175926</v>
      </c>
      <c r="C61" s="1" t="n">
        <v>46111</v>
      </c>
      <c r="D61" t="inlineStr">
        <is>
          <t>UPPSALA LÄN</t>
        </is>
      </c>
      <c r="E61" t="inlineStr">
        <is>
          <t>KNIVSTA</t>
        </is>
      </c>
      <c r="G61" t="n">
        <v>1.8</v>
      </c>
      <c r="H61" t="n">
        <v>0</v>
      </c>
      <c r="I61" t="n">
        <v>0</v>
      </c>
      <c r="J61" t="n">
        <v>0</v>
      </c>
      <c r="K61" t="n">
        <v>0</v>
      </c>
      <c r="L61" t="n">
        <v>0</v>
      </c>
      <c r="M61" t="n">
        <v>0</v>
      </c>
      <c r="N61" t="n">
        <v>0</v>
      </c>
      <c r="O61" t="n">
        <v>0</v>
      </c>
      <c r="P61" t="n">
        <v>0</v>
      </c>
      <c r="Q61" t="n">
        <v>0</v>
      </c>
      <c r="R61" s="2" t="inlineStr"/>
    </row>
    <row r="62" ht="15" customHeight="1">
      <c r="A62" t="inlineStr">
        <is>
          <t>A 11450-2023</t>
        </is>
      </c>
      <c r="B62" s="1" t="n">
        <v>44993</v>
      </c>
      <c r="C62" s="1" t="n">
        <v>46111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47803-2025</t>
        </is>
      </c>
      <c r="B63" s="1" t="n">
        <v>45931</v>
      </c>
      <c r="C63" s="1" t="n">
        <v>46111</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46111</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49090-2025</t>
        </is>
      </c>
      <c r="B65" s="1" t="n">
        <v>45937</v>
      </c>
      <c r="C65" s="1" t="n">
        <v>46111</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28189-2025</t>
        </is>
      </c>
      <c r="B66" s="1" t="n">
        <v>45818.41357638889</v>
      </c>
      <c r="C66" s="1" t="n">
        <v>46111</v>
      </c>
      <c r="D66" t="inlineStr">
        <is>
          <t>UPPSALA LÄN</t>
        </is>
      </c>
      <c r="E66" t="inlineStr">
        <is>
          <t>KNIVSTA</t>
        </is>
      </c>
      <c r="G66" t="n">
        <v>7.6</v>
      </c>
      <c r="H66" t="n">
        <v>0</v>
      </c>
      <c r="I66" t="n">
        <v>0</v>
      </c>
      <c r="J66" t="n">
        <v>0</v>
      </c>
      <c r="K66" t="n">
        <v>0</v>
      </c>
      <c r="L66" t="n">
        <v>0</v>
      </c>
      <c r="M66" t="n">
        <v>0</v>
      </c>
      <c r="N66" t="n">
        <v>0</v>
      </c>
      <c r="O66" t="n">
        <v>0</v>
      </c>
      <c r="P66" t="n">
        <v>0</v>
      </c>
      <c r="Q66" t="n">
        <v>0</v>
      </c>
      <c r="R66" s="2" t="inlineStr"/>
    </row>
    <row r="67" ht="15" customHeight="1">
      <c r="A67" t="inlineStr">
        <is>
          <t>A 2952-2026</t>
        </is>
      </c>
      <c r="B67" s="1" t="n">
        <v>46037</v>
      </c>
      <c r="C67" s="1" t="n">
        <v>46111</v>
      </c>
      <c r="D67" t="inlineStr">
        <is>
          <t>UPPSALA LÄN</t>
        </is>
      </c>
      <c r="E67" t="inlineStr">
        <is>
          <t>KNIVSTA</t>
        </is>
      </c>
      <c r="G67" t="n">
        <v>2</v>
      </c>
      <c r="H67" t="n">
        <v>0</v>
      </c>
      <c r="I67" t="n">
        <v>0</v>
      </c>
      <c r="J67" t="n">
        <v>0</v>
      </c>
      <c r="K67" t="n">
        <v>0</v>
      </c>
      <c r="L67" t="n">
        <v>0</v>
      </c>
      <c r="M67" t="n">
        <v>0</v>
      </c>
      <c r="N67" t="n">
        <v>0</v>
      </c>
      <c r="O67" t="n">
        <v>0</v>
      </c>
      <c r="P67" t="n">
        <v>0</v>
      </c>
      <c r="Q67" t="n">
        <v>0</v>
      </c>
      <c r="R67" s="2" t="inlineStr"/>
    </row>
    <row r="68" ht="15" customHeight="1">
      <c r="A68" t="inlineStr">
        <is>
          <t>A 3016-2026</t>
        </is>
      </c>
      <c r="B68" s="1" t="n">
        <v>46038</v>
      </c>
      <c r="C68" s="1" t="n">
        <v>46111</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5276-2026</t>
        </is>
      </c>
      <c r="B69" s="1" t="n">
        <v>46037</v>
      </c>
      <c r="C69" s="1" t="n">
        <v>46111</v>
      </c>
      <c r="D69" t="inlineStr">
        <is>
          <t>UPPSALA LÄN</t>
        </is>
      </c>
      <c r="E69" t="inlineStr">
        <is>
          <t>KNIVSTA</t>
        </is>
      </c>
      <c r="G69" t="n">
        <v>1.9</v>
      </c>
      <c r="H69" t="n">
        <v>0</v>
      </c>
      <c r="I69" t="n">
        <v>0</v>
      </c>
      <c r="J69" t="n">
        <v>0</v>
      </c>
      <c r="K69" t="n">
        <v>0</v>
      </c>
      <c r="L69" t="n">
        <v>0</v>
      </c>
      <c r="M69" t="n">
        <v>0</v>
      </c>
      <c r="N69" t="n">
        <v>0</v>
      </c>
      <c r="O69" t="n">
        <v>0</v>
      </c>
      <c r="P69" t="n">
        <v>0</v>
      </c>
      <c r="Q69" t="n">
        <v>0</v>
      </c>
      <c r="R69" s="2" t="inlineStr"/>
    </row>
    <row r="70" ht="15" customHeight="1">
      <c r="A70" t="inlineStr">
        <is>
          <t>A 3015-2026</t>
        </is>
      </c>
      <c r="B70" s="1" t="n">
        <v>46038</v>
      </c>
      <c r="C70" s="1" t="n">
        <v>46111</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2944-2026</t>
        </is>
      </c>
      <c r="B71" s="1" t="n">
        <v>46037</v>
      </c>
      <c r="C71" s="1" t="n">
        <v>46111</v>
      </c>
      <c r="D71" t="inlineStr">
        <is>
          <t>UPPSALA LÄN</t>
        </is>
      </c>
      <c r="E71" t="inlineStr">
        <is>
          <t>KNIVSTA</t>
        </is>
      </c>
      <c r="G71" t="n">
        <v>4.7</v>
      </c>
      <c r="H71" t="n">
        <v>0</v>
      </c>
      <c r="I71" t="n">
        <v>0</v>
      </c>
      <c r="J71" t="n">
        <v>0</v>
      </c>
      <c r="K71" t="n">
        <v>0</v>
      </c>
      <c r="L71" t="n">
        <v>0</v>
      </c>
      <c r="M71" t="n">
        <v>0</v>
      </c>
      <c r="N71" t="n">
        <v>0</v>
      </c>
      <c r="O71" t="n">
        <v>0</v>
      </c>
      <c r="P71" t="n">
        <v>0</v>
      </c>
      <c r="Q71" t="n">
        <v>0</v>
      </c>
      <c r="R71" s="2" t="inlineStr"/>
    </row>
    <row r="72" ht="15" customHeight="1">
      <c r="A72" t="inlineStr">
        <is>
          <t>A 23239-2023</t>
        </is>
      </c>
      <c r="B72" s="1" t="n">
        <v>45075</v>
      </c>
      <c r="C72" s="1" t="n">
        <v>46111</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3375-2026</t>
        </is>
      </c>
      <c r="B73" s="1" t="n">
        <v>46042</v>
      </c>
      <c r="C73" s="1" t="n">
        <v>46111</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12027-2026</t>
        </is>
      </c>
      <c r="B74" s="1" t="n">
        <v>46085.84549768519</v>
      </c>
      <c r="C74" s="1" t="n">
        <v>46111</v>
      </c>
      <c r="D74" t="inlineStr">
        <is>
          <t>UPPSALA LÄN</t>
        </is>
      </c>
      <c r="E74" t="inlineStr">
        <is>
          <t>KNIVSTA</t>
        </is>
      </c>
      <c r="G74" t="n">
        <v>0.6</v>
      </c>
      <c r="H74" t="n">
        <v>0</v>
      </c>
      <c r="I74" t="n">
        <v>0</v>
      </c>
      <c r="J74" t="n">
        <v>0</v>
      </c>
      <c r="K74" t="n">
        <v>0</v>
      </c>
      <c r="L74" t="n">
        <v>0</v>
      </c>
      <c r="M74" t="n">
        <v>0</v>
      </c>
      <c r="N74" t="n">
        <v>0</v>
      </c>
      <c r="O74" t="n">
        <v>0</v>
      </c>
      <c r="P74" t="n">
        <v>0</v>
      </c>
      <c r="Q74" t="n">
        <v>0</v>
      </c>
      <c r="R74" s="2" t="inlineStr"/>
    </row>
    <row r="75" ht="15" customHeight="1">
      <c r="A75" t="inlineStr">
        <is>
          <t>A 3824-2026</t>
        </is>
      </c>
      <c r="B75" s="1" t="n">
        <v>46043.58570601852</v>
      </c>
      <c r="C75" s="1" t="n">
        <v>46111</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3836-2026</t>
        </is>
      </c>
      <c r="B76" s="1" t="n">
        <v>46043.5925</v>
      </c>
      <c r="C76" s="1" t="n">
        <v>46111</v>
      </c>
      <c r="D76" t="inlineStr">
        <is>
          <t>UPPSALA LÄN</t>
        </is>
      </c>
      <c r="E76" t="inlineStr">
        <is>
          <t>KNIVSTA</t>
        </is>
      </c>
      <c r="G76" t="n">
        <v>3.7</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46111</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52666-2025</t>
        </is>
      </c>
      <c r="B78" s="1" t="n">
        <v>45955.74299768519</v>
      </c>
      <c r="C78" s="1" t="n">
        <v>46111</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13011-2026</t>
        </is>
      </c>
      <c r="B79" s="1" t="n">
        <v>46092.71887731482</v>
      </c>
      <c r="C79" s="1" t="n">
        <v>46111</v>
      </c>
      <c r="D79" t="inlineStr">
        <is>
          <t>UPPSALA LÄN</t>
        </is>
      </c>
      <c r="E79" t="inlineStr">
        <is>
          <t>KNIVSTA</t>
        </is>
      </c>
      <c r="F79" t="inlineStr">
        <is>
          <t>Holmen skog AB</t>
        </is>
      </c>
      <c r="G79" t="n">
        <v>1.9</v>
      </c>
      <c r="H79" t="n">
        <v>0</v>
      </c>
      <c r="I79" t="n">
        <v>0</v>
      </c>
      <c r="J79" t="n">
        <v>0</v>
      </c>
      <c r="K79" t="n">
        <v>0</v>
      </c>
      <c r="L79" t="n">
        <v>0</v>
      </c>
      <c r="M79" t="n">
        <v>0</v>
      </c>
      <c r="N79" t="n">
        <v>0</v>
      </c>
      <c r="O79" t="n">
        <v>0</v>
      </c>
      <c r="P79" t="n">
        <v>0</v>
      </c>
      <c r="Q79" t="n">
        <v>0</v>
      </c>
      <c r="R79" s="2" t="inlineStr"/>
      <c r="U79">
        <f>HYPERLINK("https://klasma.github.io/Logging_0330/knärot/A 13011-2026 karta knärot.png", "A 13011-2026")</f>
        <v/>
      </c>
      <c r="V79">
        <f>HYPERLINK("https://klasma.github.io/Logging_0330/klagomål/A 13011-2026 FSC-klagomål.docx", "A 13011-2026")</f>
        <v/>
      </c>
      <c r="W79">
        <f>HYPERLINK("https://klasma.github.io/Logging_0330/klagomålsmail/A 13011-2026 FSC-klagomål mail.docx", "A 13011-2026")</f>
        <v/>
      </c>
      <c r="X79">
        <f>HYPERLINK("https://klasma.github.io/Logging_0330/tillsyn/A 13011-2026 tillsynsbegäran.docx", "A 13011-2026")</f>
        <v/>
      </c>
      <c r="Y79">
        <f>HYPERLINK("https://klasma.github.io/Logging_0330/tillsynsmail/A 13011-2026 tillsynsbegäran mail.docx", "A 13011-2026")</f>
        <v/>
      </c>
    </row>
    <row r="80" ht="15" customHeight="1">
      <c r="A80" t="inlineStr">
        <is>
          <t>A 53898-2025</t>
        </is>
      </c>
      <c r="B80" s="1" t="n">
        <v>45961.43056712963</v>
      </c>
      <c r="C80" s="1" t="n">
        <v>46111</v>
      </c>
      <c r="D80" t="inlineStr">
        <is>
          <t>UPPSALA LÄN</t>
        </is>
      </c>
      <c r="E80" t="inlineStr">
        <is>
          <t>KNIVSTA</t>
        </is>
      </c>
      <c r="G80" t="n">
        <v>4.5</v>
      </c>
      <c r="H80" t="n">
        <v>0</v>
      </c>
      <c r="I80" t="n">
        <v>0</v>
      </c>
      <c r="J80" t="n">
        <v>0</v>
      </c>
      <c r="K80" t="n">
        <v>0</v>
      </c>
      <c r="L80" t="n">
        <v>0</v>
      </c>
      <c r="M80" t="n">
        <v>0</v>
      </c>
      <c r="N80" t="n">
        <v>0</v>
      </c>
      <c r="O80" t="n">
        <v>0</v>
      </c>
      <c r="P80" t="n">
        <v>0</v>
      </c>
      <c r="Q80" t="n">
        <v>0</v>
      </c>
      <c r="R80" s="2" t="inlineStr"/>
    </row>
    <row r="81" ht="15" customHeight="1">
      <c r="A81" t="inlineStr">
        <is>
          <t>A 13013-2026</t>
        </is>
      </c>
      <c r="B81" s="1" t="n">
        <v>46092.7271412037</v>
      </c>
      <c r="C81" s="1" t="n">
        <v>46111</v>
      </c>
      <c r="D81" t="inlineStr">
        <is>
          <t>UPPSALA LÄN</t>
        </is>
      </c>
      <c r="E81" t="inlineStr">
        <is>
          <t>KNIVSTA</t>
        </is>
      </c>
      <c r="F81" t="inlineStr">
        <is>
          <t>Holmen skog AB</t>
        </is>
      </c>
      <c r="G81" t="n">
        <v>4.6</v>
      </c>
      <c r="H81" t="n">
        <v>0</v>
      </c>
      <c r="I81" t="n">
        <v>0</v>
      </c>
      <c r="J81" t="n">
        <v>0</v>
      </c>
      <c r="K81" t="n">
        <v>0</v>
      </c>
      <c r="L81" t="n">
        <v>0</v>
      </c>
      <c r="M81" t="n">
        <v>0</v>
      </c>
      <c r="N81" t="n">
        <v>0</v>
      </c>
      <c r="O81" t="n">
        <v>0</v>
      </c>
      <c r="P81" t="n">
        <v>0</v>
      </c>
      <c r="Q81" t="n">
        <v>0</v>
      </c>
      <c r="R81" s="2" t="inlineStr"/>
    </row>
    <row r="82" ht="15" customHeight="1">
      <c r="A82" t="inlineStr">
        <is>
          <t>A 12991-2026</t>
        </is>
      </c>
      <c r="B82" s="1" t="n">
        <v>46092.66820601852</v>
      </c>
      <c r="C82" s="1" t="n">
        <v>46111</v>
      </c>
      <c r="D82" t="inlineStr">
        <is>
          <t>UPPSALA LÄN</t>
        </is>
      </c>
      <c r="E82" t="inlineStr">
        <is>
          <t>KNIVSTA</t>
        </is>
      </c>
      <c r="F82" t="inlineStr">
        <is>
          <t>Holmen skog AB</t>
        </is>
      </c>
      <c r="G82" t="n">
        <v>4.6</v>
      </c>
      <c r="H82" t="n">
        <v>0</v>
      </c>
      <c r="I82" t="n">
        <v>0</v>
      </c>
      <c r="J82" t="n">
        <v>0</v>
      </c>
      <c r="K82" t="n">
        <v>0</v>
      </c>
      <c r="L82" t="n">
        <v>0</v>
      </c>
      <c r="M82" t="n">
        <v>0</v>
      </c>
      <c r="N82" t="n">
        <v>0</v>
      </c>
      <c r="O82" t="n">
        <v>0</v>
      </c>
      <c r="P82" t="n">
        <v>0</v>
      </c>
      <c r="Q82" t="n">
        <v>0</v>
      </c>
      <c r="R82" s="2" t="inlineStr"/>
    </row>
    <row r="83" ht="15" customHeight="1">
      <c r="A83" t="inlineStr">
        <is>
          <t>A 13005-2026</t>
        </is>
      </c>
      <c r="B83" s="1" t="n">
        <v>46092.69429398148</v>
      </c>
      <c r="C83" s="1" t="n">
        <v>46111</v>
      </c>
      <c r="D83" t="inlineStr">
        <is>
          <t>UPPSALA LÄN</t>
        </is>
      </c>
      <c r="E83" t="inlineStr">
        <is>
          <t>KNIVSTA</t>
        </is>
      </c>
      <c r="F83" t="inlineStr">
        <is>
          <t>Holmen skog AB</t>
        </is>
      </c>
      <c r="G83" t="n">
        <v>3</v>
      </c>
      <c r="H83" t="n">
        <v>0</v>
      </c>
      <c r="I83" t="n">
        <v>0</v>
      </c>
      <c r="J83" t="n">
        <v>0</v>
      </c>
      <c r="K83" t="n">
        <v>0</v>
      </c>
      <c r="L83" t="n">
        <v>0</v>
      </c>
      <c r="M83" t="n">
        <v>0</v>
      </c>
      <c r="N83" t="n">
        <v>0</v>
      </c>
      <c r="O83" t="n">
        <v>0</v>
      </c>
      <c r="P83" t="n">
        <v>0</v>
      </c>
      <c r="Q83" t="n">
        <v>0</v>
      </c>
      <c r="R83" s="2" t="inlineStr"/>
    </row>
    <row r="84" ht="15" customHeight="1">
      <c r="A84" t="inlineStr">
        <is>
          <t>A 13016-2026</t>
        </is>
      </c>
      <c r="B84" s="1" t="n">
        <v>46092.73381944445</v>
      </c>
      <c r="C84" s="1" t="n">
        <v>46111</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12774-2026</t>
        </is>
      </c>
      <c r="B85" s="1" t="n">
        <v>46091.70140046296</v>
      </c>
      <c r="C85" s="1" t="n">
        <v>46111</v>
      </c>
      <c r="D85" t="inlineStr">
        <is>
          <t>UPPSALA LÄN</t>
        </is>
      </c>
      <c r="E85" t="inlineStr">
        <is>
          <t>KNIVSTA</t>
        </is>
      </c>
      <c r="F85" t="inlineStr">
        <is>
          <t>Holmen skog AB</t>
        </is>
      </c>
      <c r="G85" t="n">
        <v>3.3</v>
      </c>
      <c r="H85" t="n">
        <v>0</v>
      </c>
      <c r="I85" t="n">
        <v>0</v>
      </c>
      <c r="J85" t="n">
        <v>0</v>
      </c>
      <c r="K85" t="n">
        <v>0</v>
      </c>
      <c r="L85" t="n">
        <v>0</v>
      </c>
      <c r="M85" t="n">
        <v>0</v>
      </c>
      <c r="N85" t="n">
        <v>0</v>
      </c>
      <c r="O85" t="n">
        <v>0</v>
      </c>
      <c r="P85" t="n">
        <v>0</v>
      </c>
      <c r="Q85" t="n">
        <v>0</v>
      </c>
      <c r="R85" s="2" t="inlineStr"/>
    </row>
    <row r="86" ht="15" customHeight="1">
      <c r="A86" t="inlineStr">
        <is>
          <t>A 13001-2026</t>
        </is>
      </c>
      <c r="B86" s="1" t="n">
        <v>46092.68502314815</v>
      </c>
      <c r="C86" s="1" t="n">
        <v>46111</v>
      </c>
      <c r="D86" t="inlineStr">
        <is>
          <t>UPPSALA LÄN</t>
        </is>
      </c>
      <c r="E86" t="inlineStr">
        <is>
          <t>KNIVSTA</t>
        </is>
      </c>
      <c r="F86" t="inlineStr">
        <is>
          <t>Holmen skog AB</t>
        </is>
      </c>
      <c r="G86" t="n">
        <v>2.9</v>
      </c>
      <c r="H86" t="n">
        <v>0</v>
      </c>
      <c r="I86" t="n">
        <v>0</v>
      </c>
      <c r="J86" t="n">
        <v>0</v>
      </c>
      <c r="K86" t="n">
        <v>0</v>
      </c>
      <c r="L86" t="n">
        <v>0</v>
      </c>
      <c r="M86" t="n">
        <v>0</v>
      </c>
      <c r="N86" t="n">
        <v>0</v>
      </c>
      <c r="O86" t="n">
        <v>0</v>
      </c>
      <c r="P86" t="n">
        <v>0</v>
      </c>
      <c r="Q86" t="n">
        <v>0</v>
      </c>
      <c r="R86" s="2" t="inlineStr"/>
    </row>
    <row r="87" ht="15" customHeight="1">
      <c r="A87" t="inlineStr">
        <is>
          <t>A 33975-2025</t>
        </is>
      </c>
      <c r="B87" s="1" t="n">
        <v>45843.30805555556</v>
      </c>
      <c r="C87" s="1" t="n">
        <v>46111</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33974-2025</t>
        </is>
      </c>
      <c r="B88" s="1" t="n">
        <v>45843.305625</v>
      </c>
      <c r="C88" s="1" t="n">
        <v>46111</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5908-2026</t>
        </is>
      </c>
      <c r="B89" s="1" t="n">
        <v>46052.44399305555</v>
      </c>
      <c r="C89" s="1" t="n">
        <v>46111</v>
      </c>
      <c r="D89" t="inlineStr">
        <is>
          <t>UPPSALA LÄN</t>
        </is>
      </c>
      <c r="E89" t="inlineStr">
        <is>
          <t>KNIVSTA</t>
        </is>
      </c>
      <c r="G89" t="n">
        <v>0.9</v>
      </c>
      <c r="H89" t="n">
        <v>0</v>
      </c>
      <c r="I89" t="n">
        <v>0</v>
      </c>
      <c r="J89" t="n">
        <v>0</v>
      </c>
      <c r="K89" t="n">
        <v>0</v>
      </c>
      <c r="L89" t="n">
        <v>0</v>
      </c>
      <c r="M89" t="n">
        <v>0</v>
      </c>
      <c r="N89" t="n">
        <v>0</v>
      </c>
      <c r="O89" t="n">
        <v>0</v>
      </c>
      <c r="P89" t="n">
        <v>0</v>
      </c>
      <c r="Q89" t="n">
        <v>0</v>
      </c>
      <c r="R89" s="2" t="inlineStr"/>
    </row>
    <row r="90" ht="15" customHeight="1">
      <c r="A90" t="inlineStr">
        <is>
          <t>A 5910-2026</t>
        </is>
      </c>
      <c r="B90" s="1" t="n">
        <v>46052.44677083333</v>
      </c>
      <c r="C90" s="1" t="n">
        <v>46111</v>
      </c>
      <c r="D90" t="inlineStr">
        <is>
          <t>UPPSALA LÄN</t>
        </is>
      </c>
      <c r="E90" t="inlineStr">
        <is>
          <t>KNIVSTA</t>
        </is>
      </c>
      <c r="G90" t="n">
        <v>0.6</v>
      </c>
      <c r="H90" t="n">
        <v>0</v>
      </c>
      <c r="I90" t="n">
        <v>0</v>
      </c>
      <c r="J90" t="n">
        <v>0</v>
      </c>
      <c r="K90" t="n">
        <v>0</v>
      </c>
      <c r="L90" t="n">
        <v>0</v>
      </c>
      <c r="M90" t="n">
        <v>0</v>
      </c>
      <c r="N90" t="n">
        <v>0</v>
      </c>
      <c r="O90" t="n">
        <v>0</v>
      </c>
      <c r="P90" t="n">
        <v>0</v>
      </c>
      <c r="Q90" t="n">
        <v>0</v>
      </c>
      <c r="R90" s="2" t="inlineStr"/>
    </row>
    <row r="91" ht="15" customHeight="1">
      <c r="A91" t="inlineStr">
        <is>
          <t>A 33976-2025</t>
        </is>
      </c>
      <c r="B91" s="1" t="n">
        <v>45843</v>
      </c>
      <c r="C91" s="1" t="n">
        <v>46111</v>
      </c>
      <c r="D91" t="inlineStr">
        <is>
          <t>UPPSALA LÄN</t>
        </is>
      </c>
      <c r="E91" t="inlineStr">
        <is>
          <t>KNIVSTA</t>
        </is>
      </c>
      <c r="G91" t="n">
        <v>6.1</v>
      </c>
      <c r="H91" t="n">
        <v>0</v>
      </c>
      <c r="I91" t="n">
        <v>0</v>
      </c>
      <c r="J91" t="n">
        <v>0</v>
      </c>
      <c r="K91" t="n">
        <v>0</v>
      </c>
      <c r="L91" t="n">
        <v>0</v>
      </c>
      <c r="M91" t="n">
        <v>0</v>
      </c>
      <c r="N91" t="n">
        <v>0</v>
      </c>
      <c r="O91" t="n">
        <v>0</v>
      </c>
      <c r="P91" t="n">
        <v>0</v>
      </c>
      <c r="Q91" t="n">
        <v>0</v>
      </c>
      <c r="R91" s="2" t="inlineStr"/>
    </row>
    <row r="92" ht="15" customHeight="1">
      <c r="A92" t="inlineStr">
        <is>
          <t>A 34859-2025</t>
        </is>
      </c>
      <c r="B92" s="1" t="n">
        <v>45849.43511574074</v>
      </c>
      <c r="C92" s="1" t="n">
        <v>46111</v>
      </c>
      <c r="D92" t="inlineStr">
        <is>
          <t>UPPSALA LÄN</t>
        </is>
      </c>
      <c r="E92" t="inlineStr">
        <is>
          <t>KNIVSTA</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34864-2025</t>
        </is>
      </c>
      <c r="B93" s="1" t="n">
        <v>45849.44028935185</v>
      </c>
      <c r="C93" s="1" t="n">
        <v>46111</v>
      </c>
      <c r="D93" t="inlineStr">
        <is>
          <t>UPPSALA LÄN</t>
        </is>
      </c>
      <c r="E93" t="inlineStr">
        <is>
          <t>KNIVSTA</t>
        </is>
      </c>
      <c r="F93" t="inlineStr">
        <is>
          <t>Holmen skog AB</t>
        </is>
      </c>
      <c r="G93" t="n">
        <v>1.3</v>
      </c>
      <c r="H93" t="n">
        <v>0</v>
      </c>
      <c r="I93" t="n">
        <v>0</v>
      </c>
      <c r="J93" t="n">
        <v>0</v>
      </c>
      <c r="K93" t="n">
        <v>0</v>
      </c>
      <c r="L93" t="n">
        <v>0</v>
      </c>
      <c r="M93" t="n">
        <v>0</v>
      </c>
      <c r="N93" t="n">
        <v>0</v>
      </c>
      <c r="O93" t="n">
        <v>0</v>
      </c>
      <c r="P93" t="n">
        <v>0</v>
      </c>
      <c r="Q93" t="n">
        <v>0</v>
      </c>
      <c r="R93" s="2" t="inlineStr"/>
    </row>
    <row r="94" ht="15" customHeight="1">
      <c r="A94" t="inlineStr">
        <is>
          <t>A 35318-2025</t>
        </is>
      </c>
      <c r="B94" s="1" t="n">
        <v>45854.47917824074</v>
      </c>
      <c r="C94" s="1" t="n">
        <v>46111</v>
      </c>
      <c r="D94" t="inlineStr">
        <is>
          <t>UPPSALA LÄN</t>
        </is>
      </c>
      <c r="E94" t="inlineStr">
        <is>
          <t>KNIVSTA</t>
        </is>
      </c>
      <c r="F94" t="inlineStr">
        <is>
          <t>Holmen skog AB</t>
        </is>
      </c>
      <c r="G94" t="n">
        <v>2.2</v>
      </c>
      <c r="H94" t="n">
        <v>0</v>
      </c>
      <c r="I94" t="n">
        <v>0</v>
      </c>
      <c r="J94" t="n">
        <v>0</v>
      </c>
      <c r="K94" t="n">
        <v>0</v>
      </c>
      <c r="L94" t="n">
        <v>0</v>
      </c>
      <c r="M94" t="n">
        <v>0</v>
      </c>
      <c r="N94" t="n">
        <v>0</v>
      </c>
      <c r="O94" t="n">
        <v>0</v>
      </c>
      <c r="P94" t="n">
        <v>0</v>
      </c>
      <c r="Q94" t="n">
        <v>0</v>
      </c>
      <c r="R94" s="2" t="inlineStr"/>
    </row>
    <row r="95" ht="15" customHeight="1">
      <c r="A95" t="inlineStr">
        <is>
          <t>A 66293-2021</t>
        </is>
      </c>
      <c r="B95" s="1" t="n">
        <v>44518</v>
      </c>
      <c r="C95" s="1" t="n">
        <v>46111</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36470-2025</t>
        </is>
      </c>
      <c r="B96" s="1" t="n">
        <v>45869.47915509259</v>
      </c>
      <c r="C96" s="1" t="n">
        <v>46111</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36472-2025</t>
        </is>
      </c>
      <c r="B97" s="1" t="n">
        <v>45869.48162037037</v>
      </c>
      <c r="C97" s="1" t="n">
        <v>46111</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36473-2025</t>
        </is>
      </c>
      <c r="B98" s="1" t="n">
        <v>45869.48333333333</v>
      </c>
      <c r="C98" s="1" t="n">
        <v>46111</v>
      </c>
      <c r="D98" t="inlineStr">
        <is>
          <t>UPPSALA LÄN</t>
        </is>
      </c>
      <c r="E98" t="inlineStr">
        <is>
          <t>KNIVSTA</t>
        </is>
      </c>
      <c r="G98" t="n">
        <v>1.4</v>
      </c>
      <c r="H98" t="n">
        <v>0</v>
      </c>
      <c r="I98" t="n">
        <v>0</v>
      </c>
      <c r="J98" t="n">
        <v>0</v>
      </c>
      <c r="K98" t="n">
        <v>0</v>
      </c>
      <c r="L98" t="n">
        <v>0</v>
      </c>
      <c r="M98" t="n">
        <v>0</v>
      </c>
      <c r="N98" t="n">
        <v>0</v>
      </c>
      <c r="O98" t="n">
        <v>0</v>
      </c>
      <c r="P98" t="n">
        <v>0</v>
      </c>
      <c r="Q98" t="n">
        <v>0</v>
      </c>
      <c r="R98" s="2" t="inlineStr"/>
    </row>
    <row r="99" ht="15" customHeight="1">
      <c r="A99" t="inlineStr">
        <is>
          <t>A 66284-2021</t>
        </is>
      </c>
      <c r="B99" s="1" t="n">
        <v>44518</v>
      </c>
      <c r="C99" s="1" t="n">
        <v>46111</v>
      </c>
      <c r="D99" t="inlineStr">
        <is>
          <t>UPPSALA LÄN</t>
        </is>
      </c>
      <c r="E99" t="inlineStr">
        <is>
          <t>KNIVSTA</t>
        </is>
      </c>
      <c r="G99" t="n">
        <v>6.9</v>
      </c>
      <c r="H99" t="n">
        <v>0</v>
      </c>
      <c r="I99" t="n">
        <v>0</v>
      </c>
      <c r="J99" t="n">
        <v>0</v>
      </c>
      <c r="K99" t="n">
        <v>0</v>
      </c>
      <c r="L99" t="n">
        <v>0</v>
      </c>
      <c r="M99" t="n">
        <v>0</v>
      </c>
      <c r="N99" t="n">
        <v>0</v>
      </c>
      <c r="O99" t="n">
        <v>0</v>
      </c>
      <c r="P99" t="n">
        <v>0</v>
      </c>
      <c r="Q99" t="n">
        <v>0</v>
      </c>
      <c r="R99" s="2" t="inlineStr"/>
    </row>
    <row r="100" ht="15" customHeight="1">
      <c r="A100" t="inlineStr">
        <is>
          <t>A 19676-2025</t>
        </is>
      </c>
      <c r="B100" s="1" t="n">
        <v>45770</v>
      </c>
      <c r="C100" s="1" t="n">
        <v>46111</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8343-2024</t>
        </is>
      </c>
      <c r="B101" s="1" t="n">
        <v>45352</v>
      </c>
      <c r="C101" s="1" t="n">
        <v>46111</v>
      </c>
      <c r="D101" t="inlineStr">
        <is>
          <t>UPPSALA LÄN</t>
        </is>
      </c>
      <c r="E101" t="inlineStr">
        <is>
          <t>KNIVSTA</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30627-2023</t>
        </is>
      </c>
      <c r="B102" s="1" t="n">
        <v>45112</v>
      </c>
      <c r="C102" s="1" t="n">
        <v>46111</v>
      </c>
      <c r="D102" t="inlineStr">
        <is>
          <t>UPPSALA LÄN</t>
        </is>
      </c>
      <c r="E102" t="inlineStr">
        <is>
          <t>KNIVSTA</t>
        </is>
      </c>
      <c r="F102" t="inlineStr">
        <is>
          <t>Holmen skog AB</t>
        </is>
      </c>
      <c r="G102" t="n">
        <v>1.6</v>
      </c>
      <c r="H102" t="n">
        <v>0</v>
      </c>
      <c r="I102" t="n">
        <v>0</v>
      </c>
      <c r="J102" t="n">
        <v>0</v>
      </c>
      <c r="K102" t="n">
        <v>0</v>
      </c>
      <c r="L102" t="n">
        <v>0</v>
      </c>
      <c r="M102" t="n">
        <v>0</v>
      </c>
      <c r="N102" t="n">
        <v>0</v>
      </c>
      <c r="O102" t="n">
        <v>0</v>
      </c>
      <c r="P102" t="n">
        <v>0</v>
      </c>
      <c r="Q102" t="n">
        <v>0</v>
      </c>
      <c r="R102" s="2" t="inlineStr"/>
    </row>
    <row r="103" ht="15" customHeight="1">
      <c r="A103" t="inlineStr">
        <is>
          <t>A 1629-2024</t>
        </is>
      </c>
      <c r="B103" s="1" t="n">
        <v>45306</v>
      </c>
      <c r="C103" s="1" t="n">
        <v>46111</v>
      </c>
      <c r="D103" t="inlineStr">
        <is>
          <t>UPPSALA LÄN</t>
        </is>
      </c>
      <c r="E103" t="inlineStr">
        <is>
          <t>KNIVSTA</t>
        </is>
      </c>
      <c r="F103" t="inlineStr">
        <is>
          <t>Holmen skog AB</t>
        </is>
      </c>
      <c r="G103" t="n">
        <v>3.6</v>
      </c>
      <c r="H103" t="n">
        <v>0</v>
      </c>
      <c r="I103" t="n">
        <v>0</v>
      </c>
      <c r="J103" t="n">
        <v>0</v>
      </c>
      <c r="K103" t="n">
        <v>0</v>
      </c>
      <c r="L103" t="n">
        <v>0</v>
      </c>
      <c r="M103" t="n">
        <v>0</v>
      </c>
      <c r="N103" t="n">
        <v>0</v>
      </c>
      <c r="O103" t="n">
        <v>0</v>
      </c>
      <c r="P103" t="n">
        <v>0</v>
      </c>
      <c r="Q103" t="n">
        <v>0</v>
      </c>
      <c r="R103" s="2" t="inlineStr"/>
    </row>
    <row r="104" ht="15" customHeight="1">
      <c r="A104" t="inlineStr">
        <is>
          <t>A 60885-2021</t>
        </is>
      </c>
      <c r="B104" s="1" t="n">
        <v>44497</v>
      </c>
      <c r="C104" s="1" t="n">
        <v>46111</v>
      </c>
      <c r="D104" t="inlineStr">
        <is>
          <t>UPPSALA LÄN</t>
        </is>
      </c>
      <c r="E104" t="inlineStr">
        <is>
          <t>KNIVSTA</t>
        </is>
      </c>
      <c r="G104" t="n">
        <v>1.5</v>
      </c>
      <c r="H104" t="n">
        <v>0</v>
      </c>
      <c r="I104" t="n">
        <v>0</v>
      </c>
      <c r="J104" t="n">
        <v>0</v>
      </c>
      <c r="K104" t="n">
        <v>0</v>
      </c>
      <c r="L104" t="n">
        <v>0</v>
      </c>
      <c r="M104" t="n">
        <v>0</v>
      </c>
      <c r="N104" t="n">
        <v>0</v>
      </c>
      <c r="O104" t="n">
        <v>0</v>
      </c>
      <c r="P104" t="n">
        <v>0</v>
      </c>
      <c r="Q104" t="n">
        <v>0</v>
      </c>
      <c r="R104" s="2" t="inlineStr"/>
    </row>
    <row r="105" ht="15" customHeight="1">
      <c r="A105" t="inlineStr">
        <is>
          <t>A 3191-2024</t>
        </is>
      </c>
      <c r="B105" s="1" t="n">
        <v>45316.67186342592</v>
      </c>
      <c r="C105" s="1" t="n">
        <v>46111</v>
      </c>
      <c r="D105" t="inlineStr">
        <is>
          <t>UPPSALA LÄN</t>
        </is>
      </c>
      <c r="E105" t="inlineStr">
        <is>
          <t>KNIVSTA</t>
        </is>
      </c>
      <c r="G105" t="n">
        <v>0.6</v>
      </c>
      <c r="H105" t="n">
        <v>0</v>
      </c>
      <c r="I105" t="n">
        <v>0</v>
      </c>
      <c r="J105" t="n">
        <v>0</v>
      </c>
      <c r="K105" t="n">
        <v>0</v>
      </c>
      <c r="L105" t="n">
        <v>0</v>
      </c>
      <c r="M105" t="n">
        <v>0</v>
      </c>
      <c r="N105" t="n">
        <v>0</v>
      </c>
      <c r="O105" t="n">
        <v>0</v>
      </c>
      <c r="P105" t="n">
        <v>0</v>
      </c>
      <c r="Q105" t="n">
        <v>0</v>
      </c>
      <c r="R105" s="2" t="inlineStr"/>
    </row>
    <row r="106" ht="15" customHeight="1">
      <c r="A106" t="inlineStr">
        <is>
          <t>A 45525-2023</t>
        </is>
      </c>
      <c r="B106" s="1" t="n">
        <v>45194</v>
      </c>
      <c r="C106" s="1" t="n">
        <v>46111</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16773-2022</t>
        </is>
      </c>
      <c r="B107" s="1" t="n">
        <v>44673</v>
      </c>
      <c r="C107" s="1" t="n">
        <v>46111</v>
      </c>
      <c r="D107" t="inlineStr">
        <is>
          <t>UPPSALA LÄN</t>
        </is>
      </c>
      <c r="E107" t="inlineStr">
        <is>
          <t>KNIVSTA</t>
        </is>
      </c>
      <c r="G107" t="n">
        <v>1.9</v>
      </c>
      <c r="H107" t="n">
        <v>0</v>
      </c>
      <c r="I107" t="n">
        <v>0</v>
      </c>
      <c r="J107" t="n">
        <v>0</v>
      </c>
      <c r="K107" t="n">
        <v>0</v>
      </c>
      <c r="L107" t="n">
        <v>0</v>
      </c>
      <c r="M107" t="n">
        <v>0</v>
      </c>
      <c r="N107" t="n">
        <v>0</v>
      </c>
      <c r="O107" t="n">
        <v>0</v>
      </c>
      <c r="P107" t="n">
        <v>0</v>
      </c>
      <c r="Q107" t="n">
        <v>0</v>
      </c>
      <c r="R107" s="2" t="inlineStr"/>
    </row>
    <row r="108" ht="15" customHeight="1">
      <c r="A108" t="inlineStr">
        <is>
          <t>A 30764-2023</t>
        </is>
      </c>
      <c r="B108" s="1" t="n">
        <v>45112</v>
      </c>
      <c r="C108" s="1" t="n">
        <v>46111</v>
      </c>
      <c r="D108" t="inlineStr">
        <is>
          <t>UPPSALA LÄN</t>
        </is>
      </c>
      <c r="E108" t="inlineStr">
        <is>
          <t>KNIVSTA</t>
        </is>
      </c>
      <c r="F108" t="inlineStr">
        <is>
          <t>Holmen skog AB</t>
        </is>
      </c>
      <c r="G108" t="n">
        <v>0.9</v>
      </c>
      <c r="H108" t="n">
        <v>0</v>
      </c>
      <c r="I108" t="n">
        <v>0</v>
      </c>
      <c r="J108" t="n">
        <v>0</v>
      </c>
      <c r="K108" t="n">
        <v>0</v>
      </c>
      <c r="L108" t="n">
        <v>0</v>
      </c>
      <c r="M108" t="n">
        <v>0</v>
      </c>
      <c r="N108" t="n">
        <v>0</v>
      </c>
      <c r="O108" t="n">
        <v>0</v>
      </c>
      <c r="P108" t="n">
        <v>0</v>
      </c>
      <c r="Q108" t="n">
        <v>0</v>
      </c>
      <c r="R108" s="2" t="inlineStr"/>
    </row>
    <row r="109" ht="15" customHeight="1">
      <c r="A109" t="inlineStr">
        <is>
          <t>A 51849-2023</t>
        </is>
      </c>
      <c r="B109" s="1" t="n">
        <v>45223.34391203704</v>
      </c>
      <c r="C109" s="1" t="n">
        <v>46111</v>
      </c>
      <c r="D109" t="inlineStr">
        <is>
          <t>UPPSALA LÄN</t>
        </is>
      </c>
      <c r="E109" t="inlineStr">
        <is>
          <t>KNIVSTA</t>
        </is>
      </c>
      <c r="G109" t="n">
        <v>16.3</v>
      </c>
      <c r="H109" t="n">
        <v>0</v>
      </c>
      <c r="I109" t="n">
        <v>0</v>
      </c>
      <c r="J109" t="n">
        <v>0</v>
      </c>
      <c r="K109" t="n">
        <v>0</v>
      </c>
      <c r="L109" t="n">
        <v>0</v>
      </c>
      <c r="M109" t="n">
        <v>0</v>
      </c>
      <c r="N109" t="n">
        <v>0</v>
      </c>
      <c r="O109" t="n">
        <v>0</v>
      </c>
      <c r="P109" t="n">
        <v>0</v>
      </c>
      <c r="Q109" t="n">
        <v>0</v>
      </c>
      <c r="R109" s="2" t="inlineStr"/>
    </row>
    <row r="110" ht="15" customHeight="1">
      <c r="A110" t="inlineStr">
        <is>
          <t>A 60018-2024</t>
        </is>
      </c>
      <c r="B110" s="1" t="n">
        <v>45642</v>
      </c>
      <c r="C110" s="1" t="n">
        <v>46111</v>
      </c>
      <c r="D110" t="inlineStr">
        <is>
          <t>UPPSALA LÄN</t>
        </is>
      </c>
      <c r="E110" t="inlineStr">
        <is>
          <t>KNIVSTA</t>
        </is>
      </c>
      <c r="G110" t="n">
        <v>4.1</v>
      </c>
      <c r="H110" t="n">
        <v>0</v>
      </c>
      <c r="I110" t="n">
        <v>0</v>
      </c>
      <c r="J110" t="n">
        <v>0</v>
      </c>
      <c r="K110" t="n">
        <v>0</v>
      </c>
      <c r="L110" t="n">
        <v>0</v>
      </c>
      <c r="M110" t="n">
        <v>0</v>
      </c>
      <c r="N110" t="n">
        <v>0</v>
      </c>
      <c r="O110" t="n">
        <v>0</v>
      </c>
      <c r="P110" t="n">
        <v>0</v>
      </c>
      <c r="Q110" t="n">
        <v>0</v>
      </c>
      <c r="R110" s="2" t="inlineStr"/>
    </row>
    <row r="111" ht="15" customHeight="1">
      <c r="A111" t="inlineStr">
        <is>
          <t>A 17333-2024</t>
        </is>
      </c>
      <c r="B111" s="1" t="n">
        <v>45414.5625462963</v>
      </c>
      <c r="C111" s="1" t="n">
        <v>46111</v>
      </c>
      <c r="D111" t="inlineStr">
        <is>
          <t>UPPSALA LÄN</t>
        </is>
      </c>
      <c r="E111" t="inlineStr">
        <is>
          <t>KNIVSTA</t>
        </is>
      </c>
      <c r="G111" t="n">
        <v>0.9</v>
      </c>
      <c r="H111" t="n">
        <v>0</v>
      </c>
      <c r="I111" t="n">
        <v>0</v>
      </c>
      <c r="J111" t="n">
        <v>0</v>
      </c>
      <c r="K111" t="n">
        <v>0</v>
      </c>
      <c r="L111" t="n">
        <v>0</v>
      </c>
      <c r="M111" t="n">
        <v>0</v>
      </c>
      <c r="N111" t="n">
        <v>0</v>
      </c>
      <c r="O111" t="n">
        <v>0</v>
      </c>
      <c r="P111" t="n">
        <v>0</v>
      </c>
      <c r="Q111" t="n">
        <v>0</v>
      </c>
      <c r="R111" s="2" t="inlineStr"/>
    </row>
    <row r="112" ht="15" customHeight="1">
      <c r="A112" t="inlineStr">
        <is>
          <t>A 1791-2024</t>
        </is>
      </c>
      <c r="B112" s="1" t="n">
        <v>45307.574375</v>
      </c>
      <c r="C112" s="1" t="n">
        <v>46111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66305-2021</t>
        </is>
      </c>
      <c r="B113" s="1" t="n">
        <v>44518</v>
      </c>
      <c r="C113" s="1" t="n">
        <v>46111</v>
      </c>
      <c r="D113" t="inlineStr">
        <is>
          <t>UPPSALA LÄN</t>
        </is>
      </c>
      <c r="E113" t="inlineStr">
        <is>
          <t>KNIVSTA</t>
        </is>
      </c>
      <c r="G113" t="n">
        <v>8.300000000000001</v>
      </c>
      <c r="H113" t="n">
        <v>0</v>
      </c>
      <c r="I113" t="n">
        <v>0</v>
      </c>
      <c r="J113" t="n">
        <v>0</v>
      </c>
      <c r="K113" t="n">
        <v>0</v>
      </c>
      <c r="L113" t="n">
        <v>0</v>
      </c>
      <c r="M113" t="n">
        <v>0</v>
      </c>
      <c r="N113" t="n">
        <v>0</v>
      </c>
      <c r="O113" t="n">
        <v>0</v>
      </c>
      <c r="P113" t="n">
        <v>0</v>
      </c>
      <c r="Q113" t="n">
        <v>0</v>
      </c>
      <c r="R113" s="2" t="inlineStr"/>
    </row>
    <row r="114" ht="15" customHeight="1">
      <c r="A114" t="inlineStr">
        <is>
          <t>A 2628-2025</t>
        </is>
      </c>
      <c r="B114" s="1" t="n">
        <v>45675.68435185185</v>
      </c>
      <c r="C114" s="1" t="n">
        <v>46111</v>
      </c>
      <c r="D114" t="inlineStr">
        <is>
          <t>UPPSALA LÄN</t>
        </is>
      </c>
      <c r="E114" t="inlineStr">
        <is>
          <t>KNIVSTA</t>
        </is>
      </c>
      <c r="G114" t="n">
        <v>2.9</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46111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43908-2023</t>
        </is>
      </c>
      <c r="B116" s="1" t="n">
        <v>45187</v>
      </c>
      <c r="C116" s="1" t="n">
        <v>46111</v>
      </c>
      <c r="D116" t="inlineStr">
        <is>
          <t>UPPSALA LÄN</t>
        </is>
      </c>
      <c r="E116" t="inlineStr">
        <is>
          <t>KNIVSTA</t>
        </is>
      </c>
      <c r="F116" t="inlineStr">
        <is>
          <t>Kyrkan</t>
        </is>
      </c>
      <c r="G116" t="n">
        <v>1.7</v>
      </c>
      <c r="H116" t="n">
        <v>0</v>
      </c>
      <c r="I116" t="n">
        <v>0</v>
      </c>
      <c r="J116" t="n">
        <v>0</v>
      </c>
      <c r="K116" t="n">
        <v>0</v>
      </c>
      <c r="L116" t="n">
        <v>0</v>
      </c>
      <c r="M116" t="n">
        <v>0</v>
      </c>
      <c r="N116" t="n">
        <v>0</v>
      </c>
      <c r="O116" t="n">
        <v>0</v>
      </c>
      <c r="P116" t="n">
        <v>0</v>
      </c>
      <c r="Q116" t="n">
        <v>0</v>
      </c>
      <c r="R116" s="2" t="inlineStr"/>
    </row>
    <row r="117" ht="15" customHeight="1">
      <c r="A117" t="inlineStr">
        <is>
          <t>A 34078-2022</t>
        </is>
      </c>
      <c r="B117" s="1" t="n">
        <v>44791</v>
      </c>
      <c r="C117" s="1" t="n">
        <v>46111</v>
      </c>
      <c r="D117" t="inlineStr">
        <is>
          <t>UPPSALA LÄN</t>
        </is>
      </c>
      <c r="E117" t="inlineStr">
        <is>
          <t>KNIVSTA</t>
        </is>
      </c>
      <c r="F117" t="inlineStr">
        <is>
          <t>Övriga statliga verk och myndigheter</t>
        </is>
      </c>
      <c r="G117" t="n">
        <v>1.8</v>
      </c>
      <c r="H117" t="n">
        <v>0</v>
      </c>
      <c r="I117" t="n">
        <v>0</v>
      </c>
      <c r="J117" t="n">
        <v>0</v>
      </c>
      <c r="K117" t="n">
        <v>0</v>
      </c>
      <c r="L117" t="n">
        <v>0</v>
      </c>
      <c r="M117" t="n">
        <v>0</v>
      </c>
      <c r="N117" t="n">
        <v>0</v>
      </c>
      <c r="O117" t="n">
        <v>0</v>
      </c>
      <c r="P117" t="n">
        <v>0</v>
      </c>
      <c r="Q117" t="n">
        <v>0</v>
      </c>
      <c r="R117" s="2" t="inlineStr"/>
    </row>
    <row r="118" ht="15" customHeight="1">
      <c r="A118" t="inlineStr">
        <is>
          <t>A 26182-2022</t>
        </is>
      </c>
      <c r="B118" s="1" t="n">
        <v>44735</v>
      </c>
      <c r="C118" s="1" t="n">
        <v>46111</v>
      </c>
      <c r="D118" t="inlineStr">
        <is>
          <t>UPPSALA LÄN</t>
        </is>
      </c>
      <c r="E118" t="inlineStr">
        <is>
          <t>KNIVSTA</t>
        </is>
      </c>
      <c r="G118" t="n">
        <v>3.8</v>
      </c>
      <c r="H118" t="n">
        <v>0</v>
      </c>
      <c r="I118" t="n">
        <v>0</v>
      </c>
      <c r="J118" t="n">
        <v>0</v>
      </c>
      <c r="K118" t="n">
        <v>0</v>
      </c>
      <c r="L118" t="n">
        <v>0</v>
      </c>
      <c r="M118" t="n">
        <v>0</v>
      </c>
      <c r="N118" t="n">
        <v>0</v>
      </c>
      <c r="O118" t="n">
        <v>0</v>
      </c>
      <c r="P118" t="n">
        <v>0</v>
      </c>
      <c r="Q118" t="n">
        <v>0</v>
      </c>
      <c r="R118" s="2" t="inlineStr"/>
    </row>
    <row r="119" ht="15" customHeight="1">
      <c r="A119" t="inlineStr">
        <is>
          <t>A 20505-2021</t>
        </is>
      </c>
      <c r="B119" s="1" t="n">
        <v>44313</v>
      </c>
      <c r="C119" s="1" t="n">
        <v>46111</v>
      </c>
      <c r="D119" t="inlineStr">
        <is>
          <t>UPPSALA LÄN</t>
        </is>
      </c>
      <c r="E119" t="inlineStr">
        <is>
          <t>KNIVSTA</t>
        </is>
      </c>
      <c r="G119" t="n">
        <v>2.9</v>
      </c>
      <c r="H119" t="n">
        <v>0</v>
      </c>
      <c r="I119" t="n">
        <v>0</v>
      </c>
      <c r="J119" t="n">
        <v>0</v>
      </c>
      <c r="K119" t="n">
        <v>0</v>
      </c>
      <c r="L119" t="n">
        <v>0</v>
      </c>
      <c r="M119" t="n">
        <v>0</v>
      </c>
      <c r="N119" t="n">
        <v>0</v>
      </c>
      <c r="O119" t="n">
        <v>0</v>
      </c>
      <c r="P119" t="n">
        <v>0</v>
      </c>
      <c r="Q119" t="n">
        <v>0</v>
      </c>
      <c r="R119" s="2" t="inlineStr"/>
    </row>
    <row r="120" ht="15" customHeight="1">
      <c r="A120" t="inlineStr">
        <is>
          <t>A 2629-2025</t>
        </is>
      </c>
      <c r="B120" s="1" t="n">
        <v>45675.6953587963</v>
      </c>
      <c r="C120" s="1" t="n">
        <v>46111</v>
      </c>
      <c r="D120" t="inlineStr">
        <is>
          <t>UPPSALA LÄN</t>
        </is>
      </c>
      <c r="E120" t="inlineStr">
        <is>
          <t>KNIVSTA</t>
        </is>
      </c>
      <c r="G120" t="n">
        <v>1.1</v>
      </c>
      <c r="H120" t="n">
        <v>0</v>
      </c>
      <c r="I120" t="n">
        <v>0</v>
      </c>
      <c r="J120" t="n">
        <v>0</v>
      </c>
      <c r="K120" t="n">
        <v>0</v>
      </c>
      <c r="L120" t="n">
        <v>0</v>
      </c>
      <c r="M120" t="n">
        <v>0</v>
      </c>
      <c r="N120" t="n">
        <v>0</v>
      </c>
      <c r="O120" t="n">
        <v>0</v>
      </c>
      <c r="P120" t="n">
        <v>0</v>
      </c>
      <c r="Q120" t="n">
        <v>0</v>
      </c>
      <c r="R120" s="2" t="inlineStr"/>
    </row>
    <row r="121" ht="15" customHeight="1">
      <c r="A121" t="inlineStr">
        <is>
          <t>A 5320-2023</t>
        </is>
      </c>
      <c r="B121" s="1" t="n">
        <v>44959</v>
      </c>
      <c r="C121" s="1" t="n">
        <v>46111</v>
      </c>
      <c r="D121" t="inlineStr">
        <is>
          <t>UPPSALA LÄN</t>
        </is>
      </c>
      <c r="E121" t="inlineStr">
        <is>
          <t>KNIVSTA</t>
        </is>
      </c>
      <c r="G121" t="n">
        <v>1.5</v>
      </c>
      <c r="H121" t="n">
        <v>0</v>
      </c>
      <c r="I121" t="n">
        <v>0</v>
      </c>
      <c r="J121" t="n">
        <v>0</v>
      </c>
      <c r="K121" t="n">
        <v>0</v>
      </c>
      <c r="L121" t="n">
        <v>0</v>
      </c>
      <c r="M121" t="n">
        <v>0</v>
      </c>
      <c r="N121" t="n">
        <v>0</v>
      </c>
      <c r="O121" t="n">
        <v>0</v>
      </c>
      <c r="P121" t="n">
        <v>0</v>
      </c>
      <c r="Q121" t="n">
        <v>0</v>
      </c>
      <c r="R121" s="2" t="inlineStr"/>
    </row>
    <row r="122" ht="15" customHeight="1">
      <c r="A122" t="inlineStr">
        <is>
          <t>A 45916-2022</t>
        </is>
      </c>
      <c r="B122" s="1" t="n">
        <v>44846</v>
      </c>
      <c r="C122" s="1" t="n">
        <v>46111</v>
      </c>
      <c r="D122" t="inlineStr">
        <is>
          <t>UPPSALA LÄN</t>
        </is>
      </c>
      <c r="E122" t="inlineStr">
        <is>
          <t>KNIVSTA</t>
        </is>
      </c>
      <c r="G122" t="n">
        <v>3.8</v>
      </c>
      <c r="H122" t="n">
        <v>0</v>
      </c>
      <c r="I122" t="n">
        <v>0</v>
      </c>
      <c r="J122" t="n">
        <v>0</v>
      </c>
      <c r="K122" t="n">
        <v>0</v>
      </c>
      <c r="L122" t="n">
        <v>0</v>
      </c>
      <c r="M122" t="n">
        <v>0</v>
      </c>
      <c r="N122" t="n">
        <v>0</v>
      </c>
      <c r="O122" t="n">
        <v>0</v>
      </c>
      <c r="P122" t="n">
        <v>0</v>
      </c>
      <c r="Q122" t="n">
        <v>0</v>
      </c>
      <c r="R122" s="2" t="inlineStr"/>
    </row>
    <row r="123" ht="15" customHeight="1">
      <c r="A123" t="inlineStr">
        <is>
          <t>A 16396-2025</t>
        </is>
      </c>
      <c r="B123" s="1" t="n">
        <v>45751.44219907407</v>
      </c>
      <c r="C123" s="1" t="n">
        <v>46111</v>
      </c>
      <c r="D123" t="inlineStr">
        <is>
          <t>UPPSALA LÄN</t>
        </is>
      </c>
      <c r="E123" t="inlineStr">
        <is>
          <t>KNIVSTA</t>
        </is>
      </c>
      <c r="G123" t="n">
        <v>5.1</v>
      </c>
      <c r="H123" t="n">
        <v>0</v>
      </c>
      <c r="I123" t="n">
        <v>0</v>
      </c>
      <c r="J123" t="n">
        <v>0</v>
      </c>
      <c r="K123" t="n">
        <v>0</v>
      </c>
      <c r="L123" t="n">
        <v>0</v>
      </c>
      <c r="M123" t="n">
        <v>0</v>
      </c>
      <c r="N123" t="n">
        <v>0</v>
      </c>
      <c r="O123" t="n">
        <v>0</v>
      </c>
      <c r="P123" t="n">
        <v>0</v>
      </c>
      <c r="Q123" t="n">
        <v>0</v>
      </c>
      <c r="R123" s="2" t="inlineStr"/>
    </row>
    <row r="124" ht="15" customHeight="1">
      <c r="A124" t="inlineStr">
        <is>
          <t>A 17091-2023</t>
        </is>
      </c>
      <c r="B124" s="1" t="n">
        <v>45034.53554398148</v>
      </c>
      <c r="C124" s="1" t="n">
        <v>46111</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2171-2024</t>
        </is>
      </c>
      <c r="B125" s="1" t="n">
        <v>45309</v>
      </c>
      <c r="C125" s="1" t="n">
        <v>46111</v>
      </c>
      <c r="D125" t="inlineStr">
        <is>
          <t>UPPSALA LÄN</t>
        </is>
      </c>
      <c r="E125" t="inlineStr">
        <is>
          <t>KNIVSTA</t>
        </is>
      </c>
      <c r="F125" t="inlineStr">
        <is>
          <t>Holmen skog AB</t>
        </is>
      </c>
      <c r="G125" t="n">
        <v>3.3</v>
      </c>
      <c r="H125" t="n">
        <v>0</v>
      </c>
      <c r="I125" t="n">
        <v>0</v>
      </c>
      <c r="J125" t="n">
        <v>0</v>
      </c>
      <c r="K125" t="n">
        <v>0</v>
      </c>
      <c r="L125" t="n">
        <v>0</v>
      </c>
      <c r="M125" t="n">
        <v>0</v>
      </c>
      <c r="N125" t="n">
        <v>0</v>
      </c>
      <c r="O125" t="n">
        <v>0</v>
      </c>
      <c r="P125" t="n">
        <v>0</v>
      </c>
      <c r="Q125" t="n">
        <v>0</v>
      </c>
      <c r="R125" s="2" t="inlineStr"/>
    </row>
    <row r="126" ht="15" customHeight="1">
      <c r="A126" t="inlineStr">
        <is>
          <t>A 21130-2025</t>
        </is>
      </c>
      <c r="B126" s="1" t="n">
        <v>45778.35857638889</v>
      </c>
      <c r="C126" s="1" t="n">
        <v>46111</v>
      </c>
      <c r="D126" t="inlineStr">
        <is>
          <t>UPPSALA LÄN</t>
        </is>
      </c>
      <c r="E126" t="inlineStr">
        <is>
          <t>KNIVSTA</t>
        </is>
      </c>
      <c r="G126" t="n">
        <v>2.2</v>
      </c>
      <c r="H126" t="n">
        <v>0</v>
      </c>
      <c r="I126" t="n">
        <v>0</v>
      </c>
      <c r="J126" t="n">
        <v>0</v>
      </c>
      <c r="K126" t="n">
        <v>0</v>
      </c>
      <c r="L126" t="n">
        <v>0</v>
      </c>
      <c r="M126" t="n">
        <v>0</v>
      </c>
      <c r="N126" t="n">
        <v>0</v>
      </c>
      <c r="O126" t="n">
        <v>0</v>
      </c>
      <c r="P126" t="n">
        <v>0</v>
      </c>
      <c r="Q126" t="n">
        <v>0</v>
      </c>
      <c r="R126" s="2" t="inlineStr"/>
    </row>
    <row r="127">
      <c r="A127" t="inlineStr">
        <is>
          <t>A 794-2024</t>
        </is>
      </c>
      <c r="B127" s="1" t="n">
        <v>45300.58149305556</v>
      </c>
      <c r="C127" s="1" t="n">
        <v>46111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2026-03-30T10:46:01Z</dcterms:created>
  <dcterms:modified xmlns:dcterms="http://purl.org/dc/terms/" xmlns:xsi="http://www.w3.org/2001/XMLSchema-instance" xsi:type="dcterms:W3CDTF">2026-03-30T10:46:01Z</dcterms:modified>
</cp:coreProperties>
</file>