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46088</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46088</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46088</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46088</v>
      </c>
      <c r="D5" t="inlineStr">
        <is>
          <t>UPPSALA LÄN</t>
        </is>
      </c>
      <c r="E5" t="inlineStr">
        <is>
          <t>KNIVSTA</t>
        </is>
      </c>
      <c r="G5" t="n">
        <v>0.7</v>
      </c>
      <c r="H5" t="n">
        <v>0</v>
      </c>
      <c r="I5" t="n">
        <v>4</v>
      </c>
      <c r="J5" t="n">
        <v>2</v>
      </c>
      <c r="K5" t="n">
        <v>3</v>
      </c>
      <c r="L5" t="n">
        <v>0</v>
      </c>
      <c r="M5" t="n">
        <v>0</v>
      </c>
      <c r="N5" t="n">
        <v>0</v>
      </c>
      <c r="O5" t="n">
        <v>5</v>
      </c>
      <c r="P5" t="n">
        <v>3</v>
      </c>
      <c r="Q5" t="n">
        <v>9</v>
      </c>
      <c r="R5" s="2" t="inlineStr">
        <is>
          <t>Apelticka
Blastenia relicta
Kärnticka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46088</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46088</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2214-2026</t>
        </is>
      </c>
      <c r="B8" s="1" t="n">
        <v>46036</v>
      </c>
      <c r="C8" s="1" t="n">
        <v>46088</v>
      </c>
      <c r="D8" t="inlineStr">
        <is>
          <t>UPPSALA LÄN</t>
        </is>
      </c>
      <c r="E8" t="inlineStr">
        <is>
          <t>KNIVSTA</t>
        </is>
      </c>
      <c r="G8" t="n">
        <v>4.4</v>
      </c>
      <c r="H8" t="n">
        <v>0</v>
      </c>
      <c r="I8" t="n">
        <v>0</v>
      </c>
      <c r="J8" t="n">
        <v>3</v>
      </c>
      <c r="K8" t="n">
        <v>0</v>
      </c>
      <c r="L8" t="n">
        <v>0</v>
      </c>
      <c r="M8" t="n">
        <v>0</v>
      </c>
      <c r="N8" t="n">
        <v>0</v>
      </c>
      <c r="O8" t="n">
        <v>3</v>
      </c>
      <c r="P8" t="n">
        <v>0</v>
      </c>
      <c r="Q8" t="n">
        <v>3</v>
      </c>
      <c r="R8" s="2" t="inlineStr">
        <is>
          <t>Tallticka
Ullticka
Vintertagging</t>
        </is>
      </c>
      <c r="S8">
        <f>HYPERLINK("https://klasma.github.io/Logging_0330/artfynd/A 2214-2026 artfynd.xlsx", "A 2214-2026")</f>
        <v/>
      </c>
      <c r="T8">
        <f>HYPERLINK("https://klasma.github.io/Logging_0330/kartor/A 2214-2026 karta.png", "A 2214-2026")</f>
        <v/>
      </c>
      <c r="U8">
        <f>HYPERLINK("https://klasma.github.io/Logging_0330/knärot/A 2214-2026 karta knärot.png", "A 2214-2026")</f>
        <v/>
      </c>
      <c r="V8">
        <f>HYPERLINK("https://klasma.github.io/Logging_0330/klagomål/A 2214-2026 FSC-klagomål.docx", "A 2214-2026")</f>
        <v/>
      </c>
      <c r="W8">
        <f>HYPERLINK("https://klasma.github.io/Logging_0330/klagomålsmail/A 2214-2026 FSC-klagomål mail.docx", "A 2214-2026")</f>
        <v/>
      </c>
      <c r="X8">
        <f>HYPERLINK("https://klasma.github.io/Logging_0330/tillsyn/A 2214-2026 tillsynsbegäran.docx", "A 2214-2026")</f>
        <v/>
      </c>
      <c r="Y8">
        <f>HYPERLINK("https://klasma.github.io/Logging_0330/tillsynsmail/A 2214-2026 tillsynsbegäran mail.docx", "A 2214-2026")</f>
        <v/>
      </c>
    </row>
    <row r="9" ht="15" customHeight="1">
      <c r="A9" t="inlineStr">
        <is>
          <t>A 17101-2023</t>
        </is>
      </c>
      <c r="B9" s="1" t="n">
        <v>45034</v>
      </c>
      <c r="C9" s="1" t="n">
        <v>46088</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5455-2025</t>
        </is>
      </c>
      <c r="B10" s="1" t="n">
        <v>45693</v>
      </c>
      <c r="C10" s="1" t="n">
        <v>46088</v>
      </c>
      <c r="D10" t="inlineStr">
        <is>
          <t>UPPSALA LÄN</t>
        </is>
      </c>
      <c r="E10" t="inlineStr">
        <is>
          <t>KNIVSTA</t>
        </is>
      </c>
      <c r="G10" t="n">
        <v>17.1</v>
      </c>
      <c r="H10" t="n">
        <v>0</v>
      </c>
      <c r="I10" t="n">
        <v>1</v>
      </c>
      <c r="J10" t="n">
        <v>0</v>
      </c>
      <c r="K10" t="n">
        <v>0</v>
      </c>
      <c r="L10" t="n">
        <v>0</v>
      </c>
      <c r="M10" t="n">
        <v>0</v>
      </c>
      <c r="N10" t="n">
        <v>0</v>
      </c>
      <c r="O10" t="n">
        <v>0</v>
      </c>
      <c r="P10" t="n">
        <v>0</v>
      </c>
      <c r="Q10" t="n">
        <v>1</v>
      </c>
      <c r="R10" s="2" t="inlineStr">
        <is>
          <t>Vedticka</t>
        </is>
      </c>
      <c r="S10">
        <f>HYPERLINK("https://klasma.github.io/Logging_0330/artfynd/A 5455-2025 artfynd.xlsx", "A 5455-2025")</f>
        <v/>
      </c>
      <c r="T10">
        <f>HYPERLINK("https://klasma.github.io/Logging_0330/kartor/A 5455-2025 karta.png", "A 5455-2025")</f>
        <v/>
      </c>
      <c r="V10">
        <f>HYPERLINK("https://klasma.github.io/Logging_0330/klagomål/A 5455-2025 FSC-klagomål.docx", "A 5455-2025")</f>
        <v/>
      </c>
      <c r="W10">
        <f>HYPERLINK("https://klasma.github.io/Logging_0330/klagomålsmail/A 5455-2025 FSC-klagomål mail.docx", "A 5455-2025")</f>
        <v/>
      </c>
      <c r="X10">
        <f>HYPERLINK("https://klasma.github.io/Logging_0330/tillsyn/A 5455-2025 tillsynsbegäran.docx", "A 5455-2025")</f>
        <v/>
      </c>
      <c r="Y10">
        <f>HYPERLINK("https://klasma.github.io/Logging_0330/tillsynsmail/A 5455-2025 tillsynsbegäran mail.docx", "A 5455-2025")</f>
        <v/>
      </c>
    </row>
    <row r="11" ht="15" customHeight="1">
      <c r="A11" t="inlineStr">
        <is>
          <t>A 9561-2026</t>
        </is>
      </c>
      <c r="B11" s="1" t="n">
        <v>46071.64916666667</v>
      </c>
      <c r="C11" s="1" t="n">
        <v>46088</v>
      </c>
      <c r="D11" t="inlineStr">
        <is>
          <t>UPPSALA LÄN</t>
        </is>
      </c>
      <c r="E11" t="inlineStr">
        <is>
          <t>KNIVSTA</t>
        </is>
      </c>
      <c r="F11" t="inlineStr">
        <is>
          <t>Övriga statliga verk och myndigheter</t>
        </is>
      </c>
      <c r="G11" t="n">
        <v>2.6</v>
      </c>
      <c r="H11" t="n">
        <v>0</v>
      </c>
      <c r="I11" t="n">
        <v>0</v>
      </c>
      <c r="J11" t="n">
        <v>1</v>
      </c>
      <c r="K11" t="n">
        <v>0</v>
      </c>
      <c r="L11" t="n">
        <v>0</v>
      </c>
      <c r="M11" t="n">
        <v>0</v>
      </c>
      <c r="N11" t="n">
        <v>0</v>
      </c>
      <c r="O11" t="n">
        <v>1</v>
      </c>
      <c r="P11" t="n">
        <v>0</v>
      </c>
      <c r="Q11" t="n">
        <v>1</v>
      </c>
      <c r="R11" s="2" t="inlineStr">
        <is>
          <t>Svartöra</t>
        </is>
      </c>
      <c r="S11">
        <f>HYPERLINK("https://klasma.github.io/Logging_0330/artfynd/A 9561-2026 artfynd.xlsx", "A 9561-2026")</f>
        <v/>
      </c>
      <c r="T11">
        <f>HYPERLINK("https://klasma.github.io/Logging_0330/kartor/A 9561-2026 karta.png", "A 9561-2026")</f>
        <v/>
      </c>
      <c r="V11">
        <f>HYPERLINK("https://klasma.github.io/Logging_0330/klagomål/A 9561-2026 FSC-klagomål.docx", "A 9561-2026")</f>
        <v/>
      </c>
      <c r="W11">
        <f>HYPERLINK("https://klasma.github.io/Logging_0330/klagomålsmail/A 9561-2026 FSC-klagomål mail.docx", "A 9561-2026")</f>
        <v/>
      </c>
      <c r="X11">
        <f>HYPERLINK("https://klasma.github.io/Logging_0330/tillsyn/A 9561-2026 tillsynsbegäran.docx", "A 9561-2026")</f>
        <v/>
      </c>
      <c r="Y11">
        <f>HYPERLINK("https://klasma.github.io/Logging_0330/tillsynsmail/A 9561-2026 tillsynsbegäran mail.docx", "A 9561-2026")</f>
        <v/>
      </c>
    </row>
    <row r="12" ht="15" customHeight="1">
      <c r="A12" t="inlineStr">
        <is>
          <t>A 53813-2025</t>
        </is>
      </c>
      <c r="B12" s="1" t="n">
        <v>45960</v>
      </c>
      <c r="C12" s="1" t="n">
        <v>46088</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16973-2021</t>
        </is>
      </c>
      <c r="B13" s="1" t="n">
        <v>44295</v>
      </c>
      <c r="C13" s="1" t="n">
        <v>46088</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61768-2025</t>
        </is>
      </c>
      <c r="B14" s="1" t="n">
        <v>46002.63940972222</v>
      </c>
      <c r="C14" s="1" t="n">
        <v>46088</v>
      </c>
      <c r="D14" t="inlineStr">
        <is>
          <t>UPPSALA LÄN</t>
        </is>
      </c>
      <c r="E14" t="inlineStr">
        <is>
          <t>KNIVSTA</t>
        </is>
      </c>
      <c r="G14" t="n">
        <v>3</v>
      </c>
      <c r="H14" t="n">
        <v>0</v>
      </c>
      <c r="I14" t="n">
        <v>1</v>
      </c>
      <c r="J14" t="n">
        <v>0</v>
      </c>
      <c r="K14" t="n">
        <v>0</v>
      </c>
      <c r="L14" t="n">
        <v>0</v>
      </c>
      <c r="M14" t="n">
        <v>0</v>
      </c>
      <c r="N14" t="n">
        <v>0</v>
      </c>
      <c r="O14" t="n">
        <v>0</v>
      </c>
      <c r="P14" t="n">
        <v>0</v>
      </c>
      <c r="Q14" t="n">
        <v>1</v>
      </c>
      <c r="R14" s="2" t="inlineStr">
        <is>
          <t>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33770-2023</t>
        </is>
      </c>
      <c r="B15" s="1" t="n">
        <v>45133</v>
      </c>
      <c r="C15" s="1" t="n">
        <v>46088</v>
      </c>
      <c r="D15" t="inlineStr">
        <is>
          <t>UPPSALA LÄN</t>
        </is>
      </c>
      <c r="E15" t="inlineStr">
        <is>
          <t>KNIVSTA</t>
        </is>
      </c>
      <c r="F15" t="inlineStr">
        <is>
          <t>Holmen skog AB</t>
        </is>
      </c>
      <c r="G15" t="n">
        <v>4</v>
      </c>
      <c r="H15" t="n">
        <v>1</v>
      </c>
      <c r="I15" t="n">
        <v>0</v>
      </c>
      <c r="J15" t="n">
        <v>1</v>
      </c>
      <c r="K15" t="n">
        <v>0</v>
      </c>
      <c r="L15" t="n">
        <v>0</v>
      </c>
      <c r="M15" t="n">
        <v>0</v>
      </c>
      <c r="N15" t="n">
        <v>0</v>
      </c>
      <c r="O15" t="n">
        <v>1</v>
      </c>
      <c r="P15" t="n">
        <v>0</v>
      </c>
      <c r="Q15" t="n">
        <v>1</v>
      </c>
      <c r="R15" s="2" t="inlineStr">
        <is>
          <t>Slaguggla</t>
        </is>
      </c>
      <c r="S15">
        <f>HYPERLINK("https://klasma.github.io/Logging_0330/artfynd/A 33770-2023 artfynd.xlsx", "A 33770-2023")</f>
        <v/>
      </c>
      <c r="T15">
        <f>HYPERLINK("https://klasma.github.io/Logging_0330/kartor/A 33770-2023 karta.png", "A 33770-2023")</f>
        <v/>
      </c>
      <c r="V15">
        <f>HYPERLINK("https://klasma.github.io/Logging_0330/klagomål/A 33770-2023 FSC-klagomål.docx", "A 33770-2023")</f>
        <v/>
      </c>
      <c r="W15">
        <f>HYPERLINK("https://klasma.github.io/Logging_0330/klagomålsmail/A 33770-2023 FSC-klagomål mail.docx", "A 33770-2023")</f>
        <v/>
      </c>
      <c r="X15">
        <f>HYPERLINK("https://klasma.github.io/Logging_0330/tillsyn/A 33770-2023 tillsynsbegäran.docx", "A 33770-2023")</f>
        <v/>
      </c>
      <c r="Y15">
        <f>HYPERLINK("https://klasma.github.io/Logging_0330/tillsynsmail/A 33770-2023 tillsynsbegäran mail.docx", "A 33770-2023")</f>
        <v/>
      </c>
      <c r="Z15">
        <f>HYPERLINK("https://klasma.github.io/Logging_0330/fåglar/A 33770-2023 prioriterade fågelarter.docx", "A 33770-2023")</f>
        <v/>
      </c>
    </row>
    <row r="16" ht="15" customHeight="1">
      <c r="A16" t="inlineStr">
        <is>
          <t>A 9553-2025</t>
        </is>
      </c>
      <c r="B16" s="1" t="n">
        <v>45715</v>
      </c>
      <c r="C16" s="1" t="n">
        <v>46088</v>
      </c>
      <c r="D16" t="inlineStr">
        <is>
          <t>UPPSALA LÄN</t>
        </is>
      </c>
      <c r="E16" t="inlineStr">
        <is>
          <t>KNIVSTA</t>
        </is>
      </c>
      <c r="G16" t="n">
        <v>3.5</v>
      </c>
      <c r="H16" t="n">
        <v>1</v>
      </c>
      <c r="I16" t="n">
        <v>0</v>
      </c>
      <c r="J16" t="n">
        <v>0</v>
      </c>
      <c r="K16" t="n">
        <v>0</v>
      </c>
      <c r="L16" t="n">
        <v>0</v>
      </c>
      <c r="M16" t="n">
        <v>0</v>
      </c>
      <c r="N16" t="n">
        <v>0</v>
      </c>
      <c r="O16" t="n">
        <v>0</v>
      </c>
      <c r="P16" t="n">
        <v>0</v>
      </c>
      <c r="Q16" t="n">
        <v>1</v>
      </c>
      <c r="R16" s="2" t="inlineStr">
        <is>
          <t>Nattviol</t>
        </is>
      </c>
      <c r="S16">
        <f>HYPERLINK("https://klasma.github.io/Logging_0330/artfynd/A 9553-2025 artfynd.xlsx", "A 9553-2025")</f>
        <v/>
      </c>
      <c r="T16">
        <f>HYPERLINK("https://klasma.github.io/Logging_0330/kartor/A 9553-2025 karta.png", "A 9553-2025")</f>
        <v/>
      </c>
      <c r="V16">
        <f>HYPERLINK("https://klasma.github.io/Logging_0330/klagomål/A 9553-2025 FSC-klagomål.docx", "A 9553-2025")</f>
        <v/>
      </c>
      <c r="W16">
        <f>HYPERLINK("https://klasma.github.io/Logging_0330/klagomålsmail/A 9553-2025 FSC-klagomål mail.docx", "A 9553-2025")</f>
        <v/>
      </c>
      <c r="X16">
        <f>HYPERLINK("https://klasma.github.io/Logging_0330/tillsyn/A 9553-2025 tillsynsbegäran.docx", "A 9553-2025")</f>
        <v/>
      </c>
      <c r="Y16">
        <f>HYPERLINK("https://klasma.github.io/Logging_0330/tillsynsmail/A 9553-2025 tillsynsbegäran mail.docx", "A 9553-2025")</f>
        <v/>
      </c>
    </row>
    <row r="17" ht="15" customHeight="1">
      <c r="A17" t="inlineStr">
        <is>
          <t>A 11405-2025</t>
        </is>
      </c>
      <c r="B17" s="1" t="n">
        <v>45726</v>
      </c>
      <c r="C17" s="1" t="n">
        <v>46088</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16407-2025</t>
        </is>
      </c>
      <c r="B18" s="1" t="n">
        <v>45751.45120370371</v>
      </c>
      <c r="C18" s="1" t="n">
        <v>46088</v>
      </c>
      <c r="D18" t="inlineStr">
        <is>
          <t>UPPSALA LÄN</t>
        </is>
      </c>
      <c r="E18" t="inlineStr">
        <is>
          <t>KNIVSTA</t>
        </is>
      </c>
      <c r="G18" t="n">
        <v>1.1</v>
      </c>
      <c r="H18" t="n">
        <v>1</v>
      </c>
      <c r="I18" t="n">
        <v>0</v>
      </c>
      <c r="J18" t="n">
        <v>0</v>
      </c>
      <c r="K18" t="n">
        <v>0</v>
      </c>
      <c r="L18" t="n">
        <v>0</v>
      </c>
      <c r="M18" t="n">
        <v>0</v>
      </c>
      <c r="N18" t="n">
        <v>0</v>
      </c>
      <c r="O18" t="n">
        <v>0</v>
      </c>
      <c r="P18" t="n">
        <v>0</v>
      </c>
      <c r="Q18" t="n">
        <v>1</v>
      </c>
      <c r="R18" s="2" t="inlineStr">
        <is>
          <t>Blåsippa</t>
        </is>
      </c>
      <c r="S18">
        <f>HYPERLINK("https://klasma.github.io/Logging_0330/artfynd/A 16407-2025 artfynd.xlsx", "A 16407-2025")</f>
        <v/>
      </c>
      <c r="T18">
        <f>HYPERLINK("https://klasma.github.io/Logging_0330/kartor/A 16407-2025 karta.png", "A 16407-2025")</f>
        <v/>
      </c>
      <c r="V18">
        <f>HYPERLINK("https://klasma.github.io/Logging_0330/klagomål/A 16407-2025 FSC-klagomål.docx", "A 16407-2025")</f>
        <v/>
      </c>
      <c r="W18">
        <f>HYPERLINK("https://klasma.github.io/Logging_0330/klagomålsmail/A 16407-2025 FSC-klagomål mail.docx", "A 16407-2025")</f>
        <v/>
      </c>
      <c r="X18">
        <f>HYPERLINK("https://klasma.github.io/Logging_0330/tillsyn/A 16407-2025 tillsynsbegäran.docx", "A 16407-2025")</f>
        <v/>
      </c>
      <c r="Y18">
        <f>HYPERLINK("https://klasma.github.io/Logging_0330/tillsynsmail/A 16407-2025 tillsynsbegäran mail.docx", "A 16407-2025")</f>
        <v/>
      </c>
    </row>
    <row r="19" ht="15" customHeight="1">
      <c r="A19" t="inlineStr">
        <is>
          <t>A 21831-2024</t>
        </is>
      </c>
      <c r="B19" s="1" t="n">
        <v>45442</v>
      </c>
      <c r="C19" s="1" t="n">
        <v>46088</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19796-2021</t>
        </is>
      </c>
      <c r="B20" s="1" t="n">
        <v>44313</v>
      </c>
      <c r="C20" s="1" t="n">
        <v>46088</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46088</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66298-2021</t>
        </is>
      </c>
      <c r="B22" s="1" t="n">
        <v>44518</v>
      </c>
      <c r="C22" s="1" t="n">
        <v>46088</v>
      </c>
      <c r="D22" t="inlineStr">
        <is>
          <t>UPPSALA LÄN</t>
        </is>
      </c>
      <c r="E22" t="inlineStr">
        <is>
          <t>KNIVSTA</t>
        </is>
      </c>
      <c r="G22" t="n">
        <v>0.9</v>
      </c>
      <c r="H22" t="n">
        <v>0</v>
      </c>
      <c r="I22" t="n">
        <v>0</v>
      </c>
      <c r="J22" t="n">
        <v>0</v>
      </c>
      <c r="K22" t="n">
        <v>0</v>
      </c>
      <c r="L22" t="n">
        <v>0</v>
      </c>
      <c r="M22" t="n">
        <v>0</v>
      </c>
      <c r="N22" t="n">
        <v>0</v>
      </c>
      <c r="O22" t="n">
        <v>0</v>
      </c>
      <c r="P22" t="n">
        <v>0</v>
      </c>
      <c r="Q22" t="n">
        <v>0</v>
      </c>
      <c r="R22" s="2" t="inlineStr"/>
    </row>
    <row r="23" ht="15" customHeight="1">
      <c r="A23" t="inlineStr">
        <is>
          <t>A 20827-2021</t>
        </is>
      </c>
      <c r="B23" s="1" t="n">
        <v>44318</v>
      </c>
      <c r="C23" s="1" t="n">
        <v>46088</v>
      </c>
      <c r="D23" t="inlineStr">
        <is>
          <t>UPPSALA LÄN</t>
        </is>
      </c>
      <c r="E23" t="inlineStr">
        <is>
          <t>KNIVSTA</t>
        </is>
      </c>
      <c r="G23" t="n">
        <v>3</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46088</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46088</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46088</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46088</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46088</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46088</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46088</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46088</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46088</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46088</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46088</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46088</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46088</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46088</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46088</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46088</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46088</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46088</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46088</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2628-2025</t>
        </is>
      </c>
      <c r="B43" s="1" t="n">
        <v>45675.68435185185</v>
      </c>
      <c r="C43" s="1" t="n">
        <v>46088</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26182-2022</t>
        </is>
      </c>
      <c r="B44" s="1" t="n">
        <v>44735</v>
      </c>
      <c r="C44" s="1" t="n">
        <v>46088</v>
      </c>
      <c r="D44" t="inlineStr">
        <is>
          <t>UPPSALA LÄN</t>
        </is>
      </c>
      <c r="E44" t="inlineStr">
        <is>
          <t>KNIVSTA</t>
        </is>
      </c>
      <c r="G44" t="n">
        <v>3.8</v>
      </c>
      <c r="H44" t="n">
        <v>0</v>
      </c>
      <c r="I44" t="n">
        <v>0</v>
      </c>
      <c r="J44" t="n">
        <v>0</v>
      </c>
      <c r="K44" t="n">
        <v>0</v>
      </c>
      <c r="L44" t="n">
        <v>0</v>
      </c>
      <c r="M44" t="n">
        <v>0</v>
      </c>
      <c r="N44" t="n">
        <v>0</v>
      </c>
      <c r="O44" t="n">
        <v>0</v>
      </c>
      <c r="P44" t="n">
        <v>0</v>
      </c>
      <c r="Q44" t="n">
        <v>0</v>
      </c>
      <c r="R44" s="2" t="inlineStr"/>
    </row>
    <row r="45" ht="15" customHeight="1">
      <c r="A45" t="inlineStr">
        <is>
          <t>A 17333-2024</t>
        </is>
      </c>
      <c r="B45" s="1" t="n">
        <v>45414.5625462963</v>
      </c>
      <c r="C45" s="1" t="n">
        <v>46088</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11841-2023</t>
        </is>
      </c>
      <c r="B46" s="1" t="n">
        <v>44995.3221412037</v>
      </c>
      <c r="C46" s="1" t="n">
        <v>46088</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20902-2024</t>
        </is>
      </c>
      <c r="B47" s="1" t="n">
        <v>45439.48104166667</v>
      </c>
      <c r="C47" s="1" t="n">
        <v>46088</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11450-2023</t>
        </is>
      </c>
      <c r="B48" s="1" t="n">
        <v>44993</v>
      </c>
      <c r="C48" s="1" t="n">
        <v>46088</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45525-2023</t>
        </is>
      </c>
      <c r="B49" s="1" t="n">
        <v>45194</v>
      </c>
      <c r="C49" s="1" t="n">
        <v>46088</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26226-2025</t>
        </is>
      </c>
      <c r="B50" s="1" t="n">
        <v>45805.55829861111</v>
      </c>
      <c r="C50" s="1" t="n">
        <v>46088</v>
      </c>
      <c r="D50" t="inlineStr">
        <is>
          <t>UPPSALA LÄN</t>
        </is>
      </c>
      <c r="E50" t="inlineStr">
        <is>
          <t>KNIVSTA</t>
        </is>
      </c>
      <c r="G50" t="n">
        <v>9.1</v>
      </c>
      <c r="H50" t="n">
        <v>0</v>
      </c>
      <c r="I50" t="n">
        <v>0</v>
      </c>
      <c r="J50" t="n">
        <v>0</v>
      </c>
      <c r="K50" t="n">
        <v>0</v>
      </c>
      <c r="L50" t="n">
        <v>0</v>
      </c>
      <c r="M50" t="n">
        <v>0</v>
      </c>
      <c r="N50" t="n">
        <v>0</v>
      </c>
      <c r="O50" t="n">
        <v>0</v>
      </c>
      <c r="P50" t="n">
        <v>0</v>
      </c>
      <c r="Q50" t="n">
        <v>0</v>
      </c>
      <c r="R50" s="2" t="inlineStr"/>
    </row>
    <row r="51" ht="15" customHeight="1">
      <c r="A51" t="inlineStr">
        <is>
          <t>A 16773-2022</t>
        </is>
      </c>
      <c r="B51" s="1" t="n">
        <v>44673</v>
      </c>
      <c r="C51" s="1" t="n">
        <v>46088</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28189-2025</t>
        </is>
      </c>
      <c r="B52" s="1" t="n">
        <v>45818.41357638889</v>
      </c>
      <c r="C52" s="1" t="n">
        <v>46088</v>
      </c>
      <c r="D52" t="inlineStr">
        <is>
          <t>UPPSALA LÄN</t>
        </is>
      </c>
      <c r="E52" t="inlineStr">
        <is>
          <t>KNIVSTA</t>
        </is>
      </c>
      <c r="G52" t="n">
        <v>7.6</v>
      </c>
      <c r="H52" t="n">
        <v>0</v>
      </c>
      <c r="I52" t="n">
        <v>0</v>
      </c>
      <c r="J52" t="n">
        <v>0</v>
      </c>
      <c r="K52" t="n">
        <v>0</v>
      </c>
      <c r="L52" t="n">
        <v>0</v>
      </c>
      <c r="M52" t="n">
        <v>0</v>
      </c>
      <c r="N52" t="n">
        <v>0</v>
      </c>
      <c r="O52" t="n">
        <v>0</v>
      </c>
      <c r="P52" t="n">
        <v>0</v>
      </c>
      <c r="Q52" t="n">
        <v>0</v>
      </c>
      <c r="R52" s="2" t="inlineStr"/>
    </row>
    <row r="53" ht="15" customHeight="1">
      <c r="A53" t="inlineStr">
        <is>
          <t>A 20505-2021</t>
        </is>
      </c>
      <c r="B53" s="1" t="n">
        <v>44313</v>
      </c>
      <c r="C53" s="1" t="n">
        <v>46088</v>
      </c>
      <c r="D53" t="inlineStr">
        <is>
          <t>UPPSALA LÄN</t>
        </is>
      </c>
      <c r="E53" t="inlineStr">
        <is>
          <t>KNIVSTA</t>
        </is>
      </c>
      <c r="G53" t="n">
        <v>2.9</v>
      </c>
      <c r="H53" t="n">
        <v>0</v>
      </c>
      <c r="I53" t="n">
        <v>0</v>
      </c>
      <c r="J53" t="n">
        <v>0</v>
      </c>
      <c r="K53" t="n">
        <v>0</v>
      </c>
      <c r="L53" t="n">
        <v>0</v>
      </c>
      <c r="M53" t="n">
        <v>0</v>
      </c>
      <c r="N53" t="n">
        <v>0</v>
      </c>
      <c r="O53" t="n">
        <v>0</v>
      </c>
      <c r="P53" t="n">
        <v>0</v>
      </c>
      <c r="Q53" t="n">
        <v>0</v>
      </c>
      <c r="R53" s="2" t="inlineStr"/>
    </row>
    <row r="54" ht="15" customHeight="1">
      <c r="A54" t="inlineStr">
        <is>
          <t>A 44869-2025</t>
        </is>
      </c>
      <c r="B54" s="1" t="n">
        <v>45918.46758101852</v>
      </c>
      <c r="C54" s="1" t="n">
        <v>46088</v>
      </c>
      <c r="D54" t="inlineStr">
        <is>
          <t>UPPSALA LÄN</t>
        </is>
      </c>
      <c r="E54" t="inlineStr">
        <is>
          <t>KNIVSTA</t>
        </is>
      </c>
      <c r="G54" t="n">
        <v>17.1</v>
      </c>
      <c r="H54" t="n">
        <v>0</v>
      </c>
      <c r="I54" t="n">
        <v>0</v>
      </c>
      <c r="J54" t="n">
        <v>0</v>
      </c>
      <c r="K54" t="n">
        <v>0</v>
      </c>
      <c r="L54" t="n">
        <v>0</v>
      </c>
      <c r="M54" t="n">
        <v>0</v>
      </c>
      <c r="N54" t="n">
        <v>0</v>
      </c>
      <c r="O54" t="n">
        <v>0</v>
      </c>
      <c r="P54" t="n">
        <v>0</v>
      </c>
      <c r="Q54" t="n">
        <v>0</v>
      </c>
      <c r="R54" s="2" t="inlineStr"/>
    </row>
    <row r="55" ht="15" customHeight="1">
      <c r="A55" t="inlineStr">
        <is>
          <t>A 60018-2024</t>
        </is>
      </c>
      <c r="B55" s="1" t="n">
        <v>45642</v>
      </c>
      <c r="C55" s="1" t="n">
        <v>46088</v>
      </c>
      <c r="D55" t="inlineStr">
        <is>
          <t>UPPSALA LÄN</t>
        </is>
      </c>
      <c r="E55" t="inlineStr">
        <is>
          <t>KNIVSTA</t>
        </is>
      </c>
      <c r="G55" t="n">
        <v>4.1</v>
      </c>
      <c r="H55" t="n">
        <v>0</v>
      </c>
      <c r="I55" t="n">
        <v>0</v>
      </c>
      <c r="J55" t="n">
        <v>0</v>
      </c>
      <c r="K55" t="n">
        <v>0</v>
      </c>
      <c r="L55" t="n">
        <v>0</v>
      </c>
      <c r="M55" t="n">
        <v>0</v>
      </c>
      <c r="N55" t="n">
        <v>0</v>
      </c>
      <c r="O55" t="n">
        <v>0</v>
      </c>
      <c r="P55" t="n">
        <v>0</v>
      </c>
      <c r="Q55" t="n">
        <v>0</v>
      </c>
      <c r="R55" s="2" t="inlineStr"/>
    </row>
    <row r="56" ht="15" customHeight="1">
      <c r="A56" t="inlineStr">
        <is>
          <t>A 45453-2025</t>
        </is>
      </c>
      <c r="B56" s="1" t="n">
        <v>45922.48702546296</v>
      </c>
      <c r="C56" s="1" t="n">
        <v>46088</v>
      </c>
      <c r="D56" t="inlineStr">
        <is>
          <t>UPPSALA LÄN</t>
        </is>
      </c>
      <c r="E56" t="inlineStr">
        <is>
          <t>KNIVSTA</t>
        </is>
      </c>
      <c r="G56" t="n">
        <v>0.9</v>
      </c>
      <c r="H56" t="n">
        <v>0</v>
      </c>
      <c r="I56" t="n">
        <v>0</v>
      </c>
      <c r="J56" t="n">
        <v>0</v>
      </c>
      <c r="K56" t="n">
        <v>0</v>
      </c>
      <c r="L56" t="n">
        <v>0</v>
      </c>
      <c r="M56" t="n">
        <v>0</v>
      </c>
      <c r="N56" t="n">
        <v>0</v>
      </c>
      <c r="O56" t="n">
        <v>0</v>
      </c>
      <c r="P56" t="n">
        <v>0</v>
      </c>
      <c r="Q56" t="n">
        <v>0</v>
      </c>
      <c r="R56" s="2" t="inlineStr"/>
    </row>
    <row r="57" ht="15" customHeight="1">
      <c r="A57" t="inlineStr">
        <is>
          <t>A 16396-2025</t>
        </is>
      </c>
      <c r="B57" s="1" t="n">
        <v>45751.44219907407</v>
      </c>
      <c r="C57" s="1" t="n">
        <v>46088</v>
      </c>
      <c r="D57" t="inlineStr">
        <is>
          <t>UPPSALA LÄN</t>
        </is>
      </c>
      <c r="E57" t="inlineStr">
        <is>
          <t>KNIVSTA</t>
        </is>
      </c>
      <c r="G57" t="n">
        <v>5.1</v>
      </c>
      <c r="H57" t="n">
        <v>0</v>
      </c>
      <c r="I57" t="n">
        <v>0</v>
      </c>
      <c r="J57" t="n">
        <v>0</v>
      </c>
      <c r="K57" t="n">
        <v>0</v>
      </c>
      <c r="L57" t="n">
        <v>0</v>
      </c>
      <c r="M57" t="n">
        <v>0</v>
      </c>
      <c r="N57" t="n">
        <v>0</v>
      </c>
      <c r="O57" t="n">
        <v>0</v>
      </c>
      <c r="P57" t="n">
        <v>0</v>
      </c>
      <c r="Q57" t="n">
        <v>0</v>
      </c>
      <c r="R57" s="2" t="inlineStr"/>
    </row>
    <row r="58" ht="15" customHeight="1">
      <c r="A58" t="inlineStr">
        <is>
          <t>A 13040-2025</t>
        </is>
      </c>
      <c r="B58" s="1" t="n">
        <v>45734</v>
      </c>
      <c r="C58" s="1" t="n">
        <v>46088</v>
      </c>
      <c r="D58" t="inlineStr">
        <is>
          <t>UPPSALA LÄN</t>
        </is>
      </c>
      <c r="E58" t="inlineStr">
        <is>
          <t>KNIVSTA</t>
        </is>
      </c>
      <c r="F58" t="inlineStr">
        <is>
          <t>Allmännings- och besparingsskogar</t>
        </is>
      </c>
      <c r="G58" t="n">
        <v>1.6</v>
      </c>
      <c r="H58" t="n">
        <v>0</v>
      </c>
      <c r="I58" t="n">
        <v>0</v>
      </c>
      <c r="J58" t="n">
        <v>0</v>
      </c>
      <c r="K58" t="n">
        <v>0</v>
      </c>
      <c r="L58" t="n">
        <v>0</v>
      </c>
      <c r="M58" t="n">
        <v>0</v>
      </c>
      <c r="N58" t="n">
        <v>0</v>
      </c>
      <c r="O58" t="n">
        <v>0</v>
      </c>
      <c r="P58" t="n">
        <v>0</v>
      </c>
      <c r="Q58" t="n">
        <v>0</v>
      </c>
      <c r="R58" s="2" t="inlineStr"/>
    </row>
    <row r="59" ht="15" customHeight="1">
      <c r="A59" t="inlineStr">
        <is>
          <t>A 47803-2025</t>
        </is>
      </c>
      <c r="B59" s="1" t="n">
        <v>45931</v>
      </c>
      <c r="C59" s="1" t="n">
        <v>46088</v>
      </c>
      <c r="D59" t="inlineStr">
        <is>
          <t>UPPSALA LÄN</t>
        </is>
      </c>
      <c r="E59" t="inlineStr">
        <is>
          <t>KNIVSTA</t>
        </is>
      </c>
      <c r="G59" t="n">
        <v>2.9</v>
      </c>
      <c r="H59" t="n">
        <v>0</v>
      </c>
      <c r="I59" t="n">
        <v>0</v>
      </c>
      <c r="J59" t="n">
        <v>0</v>
      </c>
      <c r="K59" t="n">
        <v>0</v>
      </c>
      <c r="L59" t="n">
        <v>0</v>
      </c>
      <c r="M59" t="n">
        <v>0</v>
      </c>
      <c r="N59" t="n">
        <v>0</v>
      </c>
      <c r="O59" t="n">
        <v>0</v>
      </c>
      <c r="P59" t="n">
        <v>0</v>
      </c>
      <c r="Q59" t="n">
        <v>0</v>
      </c>
      <c r="R59" s="2" t="inlineStr"/>
    </row>
    <row r="60" ht="15" customHeight="1">
      <c r="A60" t="inlineStr">
        <is>
          <t>A 33976-2025</t>
        </is>
      </c>
      <c r="B60" s="1" t="n">
        <v>45843</v>
      </c>
      <c r="C60" s="1" t="n">
        <v>46088</v>
      </c>
      <c r="D60" t="inlineStr">
        <is>
          <t>UPPSALA LÄN</t>
        </is>
      </c>
      <c r="E60" t="inlineStr">
        <is>
          <t>KNIVSTA</t>
        </is>
      </c>
      <c r="G60" t="n">
        <v>6.1</v>
      </c>
      <c r="H60" t="n">
        <v>0</v>
      </c>
      <c r="I60" t="n">
        <v>0</v>
      </c>
      <c r="J60" t="n">
        <v>0</v>
      </c>
      <c r="K60" t="n">
        <v>0</v>
      </c>
      <c r="L60" t="n">
        <v>0</v>
      </c>
      <c r="M60" t="n">
        <v>0</v>
      </c>
      <c r="N60" t="n">
        <v>0</v>
      </c>
      <c r="O60" t="n">
        <v>0</v>
      </c>
      <c r="P60" t="n">
        <v>0</v>
      </c>
      <c r="Q60" t="n">
        <v>0</v>
      </c>
      <c r="R60" s="2" t="inlineStr"/>
    </row>
    <row r="61" ht="15" customHeight="1">
      <c r="A61" t="inlineStr">
        <is>
          <t>A 33974-2025</t>
        </is>
      </c>
      <c r="B61" s="1" t="n">
        <v>45843.305625</v>
      </c>
      <c r="C61" s="1" t="n">
        <v>46088</v>
      </c>
      <c r="D61" t="inlineStr">
        <is>
          <t>UPPSALA LÄN</t>
        </is>
      </c>
      <c r="E61" t="inlineStr">
        <is>
          <t>KNIVSTA</t>
        </is>
      </c>
      <c r="G61" t="n">
        <v>2.6</v>
      </c>
      <c r="H61" t="n">
        <v>0</v>
      </c>
      <c r="I61" t="n">
        <v>0</v>
      </c>
      <c r="J61" t="n">
        <v>0</v>
      </c>
      <c r="K61" t="n">
        <v>0</v>
      </c>
      <c r="L61" t="n">
        <v>0</v>
      </c>
      <c r="M61" t="n">
        <v>0</v>
      </c>
      <c r="N61" t="n">
        <v>0</v>
      </c>
      <c r="O61" t="n">
        <v>0</v>
      </c>
      <c r="P61" t="n">
        <v>0</v>
      </c>
      <c r="Q61" t="n">
        <v>0</v>
      </c>
      <c r="R61" s="2" t="inlineStr"/>
    </row>
    <row r="62" ht="15" customHeight="1">
      <c r="A62" t="inlineStr">
        <is>
          <t>A 33975-2025</t>
        </is>
      </c>
      <c r="B62" s="1" t="n">
        <v>45843.30805555556</v>
      </c>
      <c r="C62" s="1" t="n">
        <v>46088</v>
      </c>
      <c r="D62" t="inlineStr">
        <is>
          <t>UPPSALA LÄN</t>
        </is>
      </c>
      <c r="E62" t="inlineStr">
        <is>
          <t>KNIVSTA</t>
        </is>
      </c>
      <c r="G62" t="n">
        <v>1.5</v>
      </c>
      <c r="H62" t="n">
        <v>0</v>
      </c>
      <c r="I62" t="n">
        <v>0</v>
      </c>
      <c r="J62" t="n">
        <v>0</v>
      </c>
      <c r="K62" t="n">
        <v>0</v>
      </c>
      <c r="L62" t="n">
        <v>0</v>
      </c>
      <c r="M62" t="n">
        <v>0</v>
      </c>
      <c r="N62" t="n">
        <v>0</v>
      </c>
      <c r="O62" t="n">
        <v>0</v>
      </c>
      <c r="P62" t="n">
        <v>0</v>
      </c>
      <c r="Q62" t="n">
        <v>0</v>
      </c>
      <c r="R62" s="2" t="inlineStr"/>
    </row>
    <row r="63" ht="15" customHeight="1">
      <c r="A63" t="inlineStr">
        <is>
          <t>A 1791-2024</t>
        </is>
      </c>
      <c r="B63" s="1" t="n">
        <v>45307.574375</v>
      </c>
      <c r="C63" s="1" t="n">
        <v>46088</v>
      </c>
      <c r="D63" t="inlineStr">
        <is>
          <t>UPPSALA LÄN</t>
        </is>
      </c>
      <c r="E63" t="inlineStr">
        <is>
          <t>KNIVSTA</t>
        </is>
      </c>
      <c r="G63" t="n">
        <v>1.4</v>
      </c>
      <c r="H63" t="n">
        <v>0</v>
      </c>
      <c r="I63" t="n">
        <v>0</v>
      </c>
      <c r="J63" t="n">
        <v>0</v>
      </c>
      <c r="K63" t="n">
        <v>0</v>
      </c>
      <c r="L63" t="n">
        <v>0</v>
      </c>
      <c r="M63" t="n">
        <v>0</v>
      </c>
      <c r="N63" t="n">
        <v>0</v>
      </c>
      <c r="O63" t="n">
        <v>0</v>
      </c>
      <c r="P63" t="n">
        <v>0</v>
      </c>
      <c r="Q63" t="n">
        <v>0</v>
      </c>
      <c r="R63" s="2" t="inlineStr"/>
    </row>
    <row r="64" ht="15" customHeight="1">
      <c r="A64" t="inlineStr">
        <is>
          <t>A 34859-2025</t>
        </is>
      </c>
      <c r="B64" s="1" t="n">
        <v>45849.43511574074</v>
      </c>
      <c r="C64" s="1" t="n">
        <v>46088</v>
      </c>
      <c r="D64" t="inlineStr">
        <is>
          <t>UPPSALA LÄN</t>
        </is>
      </c>
      <c r="E64" t="inlineStr">
        <is>
          <t>KNIVSTA</t>
        </is>
      </c>
      <c r="F64" t="inlineStr">
        <is>
          <t>Holmen skog AB</t>
        </is>
      </c>
      <c r="G64" t="n">
        <v>6.1</v>
      </c>
      <c r="H64" t="n">
        <v>0</v>
      </c>
      <c r="I64" t="n">
        <v>0</v>
      </c>
      <c r="J64" t="n">
        <v>0</v>
      </c>
      <c r="K64" t="n">
        <v>0</v>
      </c>
      <c r="L64" t="n">
        <v>0</v>
      </c>
      <c r="M64" t="n">
        <v>0</v>
      </c>
      <c r="N64" t="n">
        <v>0</v>
      </c>
      <c r="O64" t="n">
        <v>0</v>
      </c>
      <c r="P64" t="n">
        <v>0</v>
      </c>
      <c r="Q64" t="n">
        <v>0</v>
      </c>
      <c r="R64" s="2" t="inlineStr"/>
    </row>
    <row r="65" ht="15" customHeight="1">
      <c r="A65" t="inlineStr">
        <is>
          <t>A 34864-2025</t>
        </is>
      </c>
      <c r="B65" s="1" t="n">
        <v>45849.44028935185</v>
      </c>
      <c r="C65" s="1" t="n">
        <v>46088</v>
      </c>
      <c r="D65" t="inlineStr">
        <is>
          <t>UPPSALA LÄN</t>
        </is>
      </c>
      <c r="E65" t="inlineStr">
        <is>
          <t>KNIVSTA</t>
        </is>
      </c>
      <c r="F65" t="inlineStr">
        <is>
          <t>Holmen skog AB</t>
        </is>
      </c>
      <c r="G65" t="n">
        <v>1.3</v>
      </c>
      <c r="H65" t="n">
        <v>0</v>
      </c>
      <c r="I65" t="n">
        <v>0</v>
      </c>
      <c r="J65" t="n">
        <v>0</v>
      </c>
      <c r="K65" t="n">
        <v>0</v>
      </c>
      <c r="L65" t="n">
        <v>0</v>
      </c>
      <c r="M65" t="n">
        <v>0</v>
      </c>
      <c r="N65" t="n">
        <v>0</v>
      </c>
      <c r="O65" t="n">
        <v>0</v>
      </c>
      <c r="P65" t="n">
        <v>0</v>
      </c>
      <c r="Q65" t="n">
        <v>0</v>
      </c>
      <c r="R65" s="2" t="inlineStr"/>
    </row>
    <row r="66" ht="15" customHeight="1">
      <c r="A66" t="inlineStr">
        <is>
          <t>A 35318-2025</t>
        </is>
      </c>
      <c r="B66" s="1" t="n">
        <v>45854.47917824074</v>
      </c>
      <c r="C66" s="1" t="n">
        <v>46088</v>
      </c>
      <c r="D66" t="inlineStr">
        <is>
          <t>UPPSALA LÄN</t>
        </is>
      </c>
      <c r="E66" t="inlineStr">
        <is>
          <t>KNIVSTA</t>
        </is>
      </c>
      <c r="F66" t="inlineStr">
        <is>
          <t>Holmen skog AB</t>
        </is>
      </c>
      <c r="G66" t="n">
        <v>2.2</v>
      </c>
      <c r="H66" t="n">
        <v>0</v>
      </c>
      <c r="I66" t="n">
        <v>0</v>
      </c>
      <c r="J66" t="n">
        <v>0</v>
      </c>
      <c r="K66" t="n">
        <v>0</v>
      </c>
      <c r="L66" t="n">
        <v>0</v>
      </c>
      <c r="M66" t="n">
        <v>0</v>
      </c>
      <c r="N66" t="n">
        <v>0</v>
      </c>
      <c r="O66" t="n">
        <v>0</v>
      </c>
      <c r="P66" t="n">
        <v>0</v>
      </c>
      <c r="Q66" t="n">
        <v>0</v>
      </c>
      <c r="R66" s="2" t="inlineStr"/>
    </row>
    <row r="67" ht="15" customHeight="1">
      <c r="A67" t="inlineStr">
        <is>
          <t>A 49090-2025</t>
        </is>
      </c>
      <c r="B67" s="1" t="n">
        <v>45937</v>
      </c>
      <c r="C67" s="1" t="n">
        <v>46088</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666-2026</t>
        </is>
      </c>
      <c r="B68" s="1" t="n">
        <v>46029.58832175926</v>
      </c>
      <c r="C68" s="1" t="n">
        <v>46088</v>
      </c>
      <c r="D68" t="inlineStr">
        <is>
          <t>UPPSALA LÄN</t>
        </is>
      </c>
      <c r="E68" t="inlineStr">
        <is>
          <t>KNIVSTA</t>
        </is>
      </c>
      <c r="G68" t="n">
        <v>1.8</v>
      </c>
      <c r="H68" t="n">
        <v>0</v>
      </c>
      <c r="I68" t="n">
        <v>0</v>
      </c>
      <c r="J68" t="n">
        <v>0</v>
      </c>
      <c r="K68" t="n">
        <v>0</v>
      </c>
      <c r="L68" t="n">
        <v>0</v>
      </c>
      <c r="M68" t="n">
        <v>0</v>
      </c>
      <c r="N68" t="n">
        <v>0</v>
      </c>
      <c r="O68" t="n">
        <v>0</v>
      </c>
      <c r="P68" t="n">
        <v>0</v>
      </c>
      <c r="Q68" t="n">
        <v>0</v>
      </c>
      <c r="R68" s="2" t="inlineStr"/>
    </row>
    <row r="69" ht="15" customHeight="1">
      <c r="A69" t="inlineStr">
        <is>
          <t>A 36472-2025</t>
        </is>
      </c>
      <c r="B69" s="1" t="n">
        <v>45869.48162037037</v>
      </c>
      <c r="C69" s="1" t="n">
        <v>46088</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36473-2025</t>
        </is>
      </c>
      <c r="B70" s="1" t="n">
        <v>45869.48333333333</v>
      </c>
      <c r="C70" s="1" t="n">
        <v>46088</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36470-2025</t>
        </is>
      </c>
      <c r="B71" s="1" t="n">
        <v>45869.47915509259</v>
      </c>
      <c r="C71" s="1" t="n">
        <v>46088</v>
      </c>
      <c r="D71" t="inlineStr">
        <is>
          <t>UPPSALA LÄN</t>
        </is>
      </c>
      <c r="E71" t="inlineStr">
        <is>
          <t>KNIVSTA</t>
        </is>
      </c>
      <c r="G71" t="n">
        <v>3.6</v>
      </c>
      <c r="H71" t="n">
        <v>0</v>
      </c>
      <c r="I71" t="n">
        <v>0</v>
      </c>
      <c r="J71" t="n">
        <v>0</v>
      </c>
      <c r="K71" t="n">
        <v>0</v>
      </c>
      <c r="L71" t="n">
        <v>0</v>
      </c>
      <c r="M71" t="n">
        <v>0</v>
      </c>
      <c r="N71" t="n">
        <v>0</v>
      </c>
      <c r="O71" t="n">
        <v>0</v>
      </c>
      <c r="P71" t="n">
        <v>0</v>
      </c>
      <c r="Q71" t="n">
        <v>0</v>
      </c>
      <c r="R71" s="2" t="inlineStr"/>
    </row>
    <row r="72" ht="15" customHeight="1">
      <c r="A72" t="inlineStr">
        <is>
          <t>A 662-2026</t>
        </is>
      </c>
      <c r="B72" s="1" t="n">
        <v>46029.58549768518</v>
      </c>
      <c r="C72" s="1" t="n">
        <v>46088</v>
      </c>
      <c r="D72" t="inlineStr">
        <is>
          <t>UPPSALA LÄN</t>
        </is>
      </c>
      <c r="E72" t="inlineStr">
        <is>
          <t>KNIVSTA</t>
        </is>
      </c>
      <c r="G72" t="n">
        <v>1.4</v>
      </c>
      <c r="H72" t="n">
        <v>0</v>
      </c>
      <c r="I72" t="n">
        <v>0</v>
      </c>
      <c r="J72" t="n">
        <v>0</v>
      </c>
      <c r="K72" t="n">
        <v>0</v>
      </c>
      <c r="L72" t="n">
        <v>0</v>
      </c>
      <c r="M72" t="n">
        <v>0</v>
      </c>
      <c r="N72" t="n">
        <v>0</v>
      </c>
      <c r="O72" t="n">
        <v>0</v>
      </c>
      <c r="P72" t="n">
        <v>0</v>
      </c>
      <c r="Q72" t="n">
        <v>0</v>
      </c>
      <c r="R72" s="2" t="inlineStr"/>
    </row>
    <row r="73" ht="15" customHeight="1">
      <c r="A73" t="inlineStr">
        <is>
          <t>A 52666-2025</t>
        </is>
      </c>
      <c r="B73" s="1" t="n">
        <v>45955.74299768519</v>
      </c>
      <c r="C73" s="1" t="n">
        <v>46088</v>
      </c>
      <c r="D73" t="inlineStr">
        <is>
          <t>UPPSALA LÄN</t>
        </is>
      </c>
      <c r="E73" t="inlineStr">
        <is>
          <t>KNIVSTA</t>
        </is>
      </c>
      <c r="G73" t="n">
        <v>2.1</v>
      </c>
      <c r="H73" t="n">
        <v>0</v>
      </c>
      <c r="I73" t="n">
        <v>0</v>
      </c>
      <c r="J73" t="n">
        <v>0</v>
      </c>
      <c r="K73" t="n">
        <v>0</v>
      </c>
      <c r="L73" t="n">
        <v>0</v>
      </c>
      <c r="M73" t="n">
        <v>0</v>
      </c>
      <c r="N73" t="n">
        <v>0</v>
      </c>
      <c r="O73" t="n">
        <v>0</v>
      </c>
      <c r="P73" t="n">
        <v>0</v>
      </c>
      <c r="Q73" t="n">
        <v>0</v>
      </c>
      <c r="R73" s="2" t="inlineStr"/>
    </row>
    <row r="74" ht="15" customHeight="1">
      <c r="A74" t="inlineStr">
        <is>
          <t>A 52667-2025</t>
        </is>
      </c>
      <c r="B74" s="1" t="n">
        <v>45955.74666666667</v>
      </c>
      <c r="C74" s="1" t="n">
        <v>46088</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23239-2023</t>
        </is>
      </c>
      <c r="B75" s="1" t="n">
        <v>45075</v>
      </c>
      <c r="C75" s="1" t="n">
        <v>46088</v>
      </c>
      <c r="D75" t="inlineStr">
        <is>
          <t>UPPSALA LÄN</t>
        </is>
      </c>
      <c r="E75" t="inlineStr">
        <is>
          <t>KNIVSTA</t>
        </is>
      </c>
      <c r="G75" t="n">
        <v>1.8</v>
      </c>
      <c r="H75" t="n">
        <v>0</v>
      </c>
      <c r="I75" t="n">
        <v>0</v>
      </c>
      <c r="J75" t="n">
        <v>0</v>
      </c>
      <c r="K75" t="n">
        <v>0</v>
      </c>
      <c r="L75" t="n">
        <v>0</v>
      </c>
      <c r="M75" t="n">
        <v>0</v>
      </c>
      <c r="N75" t="n">
        <v>0</v>
      </c>
      <c r="O75" t="n">
        <v>0</v>
      </c>
      <c r="P75" t="n">
        <v>0</v>
      </c>
      <c r="Q75" t="n">
        <v>0</v>
      </c>
      <c r="R75" s="2" t="inlineStr"/>
    </row>
    <row r="76" ht="15" customHeight="1">
      <c r="A76" t="inlineStr">
        <is>
          <t>A 53898-2025</t>
        </is>
      </c>
      <c r="B76" s="1" t="n">
        <v>45961.43056712963</v>
      </c>
      <c r="C76" s="1" t="n">
        <v>46088</v>
      </c>
      <c r="D76" t="inlineStr">
        <is>
          <t>UPPSALA LÄN</t>
        </is>
      </c>
      <c r="E76" t="inlineStr">
        <is>
          <t>KNIVSTA</t>
        </is>
      </c>
      <c r="G76" t="n">
        <v>4.5</v>
      </c>
      <c r="H76" t="n">
        <v>0</v>
      </c>
      <c r="I76" t="n">
        <v>0</v>
      </c>
      <c r="J76" t="n">
        <v>0</v>
      </c>
      <c r="K76" t="n">
        <v>0</v>
      </c>
      <c r="L76" t="n">
        <v>0</v>
      </c>
      <c r="M76" t="n">
        <v>0</v>
      </c>
      <c r="N76" t="n">
        <v>0</v>
      </c>
      <c r="O76" t="n">
        <v>0</v>
      </c>
      <c r="P76" t="n">
        <v>0</v>
      </c>
      <c r="Q76" t="n">
        <v>0</v>
      </c>
      <c r="R76" s="2" t="inlineStr"/>
    </row>
    <row r="77" ht="15" customHeight="1">
      <c r="A77" t="inlineStr">
        <is>
          <t>A 9744-2026</t>
        </is>
      </c>
      <c r="B77" s="1" t="n">
        <v>46072.51857638889</v>
      </c>
      <c r="C77" s="1" t="n">
        <v>46088</v>
      </c>
      <c r="D77" t="inlineStr">
        <is>
          <t>UPPSALA LÄN</t>
        </is>
      </c>
      <c r="E77" t="inlineStr">
        <is>
          <t>KNIVSTA</t>
        </is>
      </c>
      <c r="G77" t="n">
        <v>2.4</v>
      </c>
      <c r="H77" t="n">
        <v>0</v>
      </c>
      <c r="I77" t="n">
        <v>0</v>
      </c>
      <c r="J77" t="n">
        <v>0</v>
      </c>
      <c r="K77" t="n">
        <v>0</v>
      </c>
      <c r="L77" t="n">
        <v>0</v>
      </c>
      <c r="M77" t="n">
        <v>0</v>
      </c>
      <c r="N77" t="n">
        <v>0</v>
      </c>
      <c r="O77" t="n">
        <v>0</v>
      </c>
      <c r="P77" t="n">
        <v>0</v>
      </c>
      <c r="Q77" t="n">
        <v>0</v>
      </c>
      <c r="R77" s="2" t="inlineStr"/>
    </row>
    <row r="78" ht="15" customHeight="1">
      <c r="A78" t="inlineStr">
        <is>
          <t>A 66284-2021</t>
        </is>
      </c>
      <c r="B78" s="1" t="n">
        <v>44518</v>
      </c>
      <c r="C78" s="1" t="n">
        <v>46088</v>
      </c>
      <c r="D78" t="inlineStr">
        <is>
          <t>UPPSALA LÄN</t>
        </is>
      </c>
      <c r="E78" t="inlineStr">
        <is>
          <t>KNIVSTA</t>
        </is>
      </c>
      <c r="G78" t="n">
        <v>6.9</v>
      </c>
      <c r="H78" t="n">
        <v>0</v>
      </c>
      <c r="I78" t="n">
        <v>0</v>
      </c>
      <c r="J78" t="n">
        <v>0</v>
      </c>
      <c r="K78" t="n">
        <v>0</v>
      </c>
      <c r="L78" t="n">
        <v>0</v>
      </c>
      <c r="M78" t="n">
        <v>0</v>
      </c>
      <c r="N78" t="n">
        <v>0</v>
      </c>
      <c r="O78" t="n">
        <v>0</v>
      </c>
      <c r="P78" t="n">
        <v>0</v>
      </c>
      <c r="Q78" t="n">
        <v>0</v>
      </c>
      <c r="R78" s="2" t="inlineStr"/>
    </row>
    <row r="79" ht="15" customHeight="1">
      <c r="A79" t="inlineStr">
        <is>
          <t>A 57631-2025</t>
        </is>
      </c>
      <c r="B79" s="1" t="n">
        <v>45981.34748842593</v>
      </c>
      <c r="C79" s="1" t="n">
        <v>46088</v>
      </c>
      <c r="D79" t="inlineStr">
        <is>
          <t>UPPSALA LÄN</t>
        </is>
      </c>
      <c r="E79" t="inlineStr">
        <is>
          <t>KNIVSTA</t>
        </is>
      </c>
      <c r="G79" t="n">
        <v>3.4</v>
      </c>
      <c r="H79" t="n">
        <v>0</v>
      </c>
      <c r="I79" t="n">
        <v>0</v>
      </c>
      <c r="J79" t="n">
        <v>0</v>
      </c>
      <c r="K79" t="n">
        <v>0</v>
      </c>
      <c r="L79" t="n">
        <v>0</v>
      </c>
      <c r="M79" t="n">
        <v>0</v>
      </c>
      <c r="N79" t="n">
        <v>0</v>
      </c>
      <c r="O79" t="n">
        <v>0</v>
      </c>
      <c r="P79" t="n">
        <v>0</v>
      </c>
      <c r="Q79" t="n">
        <v>0</v>
      </c>
      <c r="R79" s="2" t="inlineStr"/>
    </row>
    <row r="80" ht="15" customHeight="1">
      <c r="A80" t="inlineStr">
        <is>
          <t>A 32975-2021</t>
        </is>
      </c>
      <c r="B80" s="1" t="n">
        <v>44376</v>
      </c>
      <c r="C80" s="1" t="n">
        <v>46088</v>
      </c>
      <c r="D80" t="inlineStr">
        <is>
          <t>UPPSALA LÄN</t>
        </is>
      </c>
      <c r="E80" t="inlineStr">
        <is>
          <t>KNIVSTA</t>
        </is>
      </c>
      <c r="G80" t="n">
        <v>6.1</v>
      </c>
      <c r="H80" t="n">
        <v>0</v>
      </c>
      <c r="I80" t="n">
        <v>0</v>
      </c>
      <c r="J80" t="n">
        <v>0</v>
      </c>
      <c r="K80" t="n">
        <v>0</v>
      </c>
      <c r="L80" t="n">
        <v>0</v>
      </c>
      <c r="M80" t="n">
        <v>0</v>
      </c>
      <c r="N80" t="n">
        <v>0</v>
      </c>
      <c r="O80" t="n">
        <v>0</v>
      </c>
      <c r="P80" t="n">
        <v>0</v>
      </c>
      <c r="Q80" t="n">
        <v>0</v>
      </c>
      <c r="R80" s="2" t="inlineStr"/>
    </row>
    <row r="81" ht="15" customHeight="1">
      <c r="A81" t="inlineStr">
        <is>
          <t>A 2952-2026</t>
        </is>
      </c>
      <c r="B81" s="1" t="n">
        <v>46037</v>
      </c>
      <c r="C81" s="1" t="n">
        <v>46088</v>
      </c>
      <c r="D81" t="inlineStr">
        <is>
          <t>UPPSALA LÄN</t>
        </is>
      </c>
      <c r="E81" t="inlineStr">
        <is>
          <t>KNIVSTA</t>
        </is>
      </c>
      <c r="G81" t="n">
        <v>2</v>
      </c>
      <c r="H81" t="n">
        <v>0</v>
      </c>
      <c r="I81" t="n">
        <v>0</v>
      </c>
      <c r="J81" t="n">
        <v>0</v>
      </c>
      <c r="K81" t="n">
        <v>0</v>
      </c>
      <c r="L81" t="n">
        <v>0</v>
      </c>
      <c r="M81" t="n">
        <v>0</v>
      </c>
      <c r="N81" t="n">
        <v>0</v>
      </c>
      <c r="O81" t="n">
        <v>0</v>
      </c>
      <c r="P81" t="n">
        <v>0</v>
      </c>
      <c r="Q81" t="n">
        <v>0</v>
      </c>
      <c r="R81" s="2" t="inlineStr"/>
    </row>
    <row r="82" ht="15" customHeight="1">
      <c r="A82" t="inlineStr">
        <is>
          <t>A 5276-2026</t>
        </is>
      </c>
      <c r="B82" s="1" t="n">
        <v>46037</v>
      </c>
      <c r="C82" s="1" t="n">
        <v>46088</v>
      </c>
      <c r="D82" t="inlineStr">
        <is>
          <t>UPPSALA LÄN</t>
        </is>
      </c>
      <c r="E82" t="inlineStr">
        <is>
          <t>KNIVSTA</t>
        </is>
      </c>
      <c r="G82" t="n">
        <v>1.9</v>
      </c>
      <c r="H82" t="n">
        <v>0</v>
      </c>
      <c r="I82" t="n">
        <v>0</v>
      </c>
      <c r="J82" t="n">
        <v>0</v>
      </c>
      <c r="K82" t="n">
        <v>0</v>
      </c>
      <c r="L82" t="n">
        <v>0</v>
      </c>
      <c r="M82" t="n">
        <v>0</v>
      </c>
      <c r="N82" t="n">
        <v>0</v>
      </c>
      <c r="O82" t="n">
        <v>0</v>
      </c>
      <c r="P82" t="n">
        <v>0</v>
      </c>
      <c r="Q82" t="n">
        <v>0</v>
      </c>
      <c r="R82" s="2" t="inlineStr"/>
    </row>
    <row r="83" ht="15" customHeight="1">
      <c r="A83" t="inlineStr">
        <is>
          <t>A 2944-2026</t>
        </is>
      </c>
      <c r="B83" s="1" t="n">
        <v>46037</v>
      </c>
      <c r="C83" s="1" t="n">
        <v>46088</v>
      </c>
      <c r="D83" t="inlineStr">
        <is>
          <t>UPPSALA LÄN</t>
        </is>
      </c>
      <c r="E83" t="inlineStr">
        <is>
          <t>KNIVSTA</t>
        </is>
      </c>
      <c r="G83" t="n">
        <v>4.7</v>
      </c>
      <c r="H83" t="n">
        <v>0</v>
      </c>
      <c r="I83" t="n">
        <v>0</v>
      </c>
      <c r="J83" t="n">
        <v>0</v>
      </c>
      <c r="K83" t="n">
        <v>0</v>
      </c>
      <c r="L83" t="n">
        <v>0</v>
      </c>
      <c r="M83" t="n">
        <v>0</v>
      </c>
      <c r="N83" t="n">
        <v>0</v>
      </c>
      <c r="O83" t="n">
        <v>0</v>
      </c>
      <c r="P83" t="n">
        <v>0</v>
      </c>
      <c r="Q83" t="n">
        <v>0</v>
      </c>
      <c r="R83" s="2" t="inlineStr"/>
    </row>
    <row r="84" ht="15" customHeight="1">
      <c r="A84" t="inlineStr">
        <is>
          <t>A 53812-2025</t>
        </is>
      </c>
      <c r="B84" s="1" t="n">
        <v>45960</v>
      </c>
      <c r="C84" s="1" t="n">
        <v>46088</v>
      </c>
      <c r="D84" t="inlineStr">
        <is>
          <t>UPPSALA LÄN</t>
        </is>
      </c>
      <c r="E84" t="inlineStr">
        <is>
          <t>KNIVSTA</t>
        </is>
      </c>
      <c r="G84" t="n">
        <v>5.8</v>
      </c>
      <c r="H84" t="n">
        <v>0</v>
      </c>
      <c r="I84" t="n">
        <v>0</v>
      </c>
      <c r="J84" t="n">
        <v>0</v>
      </c>
      <c r="K84" t="n">
        <v>0</v>
      </c>
      <c r="L84" t="n">
        <v>0</v>
      </c>
      <c r="M84" t="n">
        <v>0</v>
      </c>
      <c r="N84" t="n">
        <v>0</v>
      </c>
      <c r="O84" t="n">
        <v>0</v>
      </c>
      <c r="P84" t="n">
        <v>0</v>
      </c>
      <c r="Q84" t="n">
        <v>0</v>
      </c>
      <c r="R84" s="2" t="inlineStr"/>
    </row>
    <row r="85" ht="15" customHeight="1">
      <c r="A85" t="inlineStr">
        <is>
          <t>A 60243-2025</t>
        </is>
      </c>
      <c r="B85" s="1" t="n">
        <v>45994.58650462963</v>
      </c>
      <c r="C85" s="1" t="n">
        <v>46088</v>
      </c>
      <c r="D85" t="inlineStr">
        <is>
          <t>UPPSALA LÄN</t>
        </is>
      </c>
      <c r="E85" t="inlineStr">
        <is>
          <t>KNIVSTA</t>
        </is>
      </c>
      <c r="F85" t="inlineStr">
        <is>
          <t>Holmen skog AB</t>
        </is>
      </c>
      <c r="G85" t="n">
        <v>2.4</v>
      </c>
      <c r="H85" t="n">
        <v>0</v>
      </c>
      <c r="I85" t="n">
        <v>0</v>
      </c>
      <c r="J85" t="n">
        <v>0</v>
      </c>
      <c r="K85" t="n">
        <v>0</v>
      </c>
      <c r="L85" t="n">
        <v>0</v>
      </c>
      <c r="M85" t="n">
        <v>0</v>
      </c>
      <c r="N85" t="n">
        <v>0</v>
      </c>
      <c r="O85" t="n">
        <v>0</v>
      </c>
      <c r="P85" t="n">
        <v>0</v>
      </c>
      <c r="Q85" t="n">
        <v>0</v>
      </c>
      <c r="R85" s="2" t="inlineStr"/>
    </row>
    <row r="86" ht="15" customHeight="1">
      <c r="A86" t="inlineStr">
        <is>
          <t>A 3015-2026</t>
        </is>
      </c>
      <c r="B86" s="1" t="n">
        <v>46038</v>
      </c>
      <c r="C86" s="1" t="n">
        <v>46088</v>
      </c>
      <c r="D86" t="inlineStr">
        <is>
          <t>UPPSALA LÄN</t>
        </is>
      </c>
      <c r="E86" t="inlineStr">
        <is>
          <t>KNIVSTA</t>
        </is>
      </c>
      <c r="G86" t="n">
        <v>1.5</v>
      </c>
      <c r="H86" t="n">
        <v>0</v>
      </c>
      <c r="I86" t="n">
        <v>0</v>
      </c>
      <c r="J86" t="n">
        <v>0</v>
      </c>
      <c r="K86" t="n">
        <v>0</v>
      </c>
      <c r="L86" t="n">
        <v>0</v>
      </c>
      <c r="M86" t="n">
        <v>0</v>
      </c>
      <c r="N86" t="n">
        <v>0</v>
      </c>
      <c r="O86" t="n">
        <v>0</v>
      </c>
      <c r="P86" t="n">
        <v>0</v>
      </c>
      <c r="Q86" t="n">
        <v>0</v>
      </c>
      <c r="R86" s="2" t="inlineStr"/>
    </row>
    <row r="87" ht="15" customHeight="1">
      <c r="A87" t="inlineStr">
        <is>
          <t>A 3016-2026</t>
        </is>
      </c>
      <c r="B87" s="1" t="n">
        <v>46038</v>
      </c>
      <c r="C87" s="1" t="n">
        <v>46088</v>
      </c>
      <c r="D87" t="inlineStr">
        <is>
          <t>UPPSALA LÄN</t>
        </is>
      </c>
      <c r="E87" t="inlineStr">
        <is>
          <t>KNIVSTA</t>
        </is>
      </c>
      <c r="G87" t="n">
        <v>0.9</v>
      </c>
      <c r="H87" t="n">
        <v>0</v>
      </c>
      <c r="I87" t="n">
        <v>0</v>
      </c>
      <c r="J87" t="n">
        <v>0</v>
      </c>
      <c r="K87" t="n">
        <v>0</v>
      </c>
      <c r="L87" t="n">
        <v>0</v>
      </c>
      <c r="M87" t="n">
        <v>0</v>
      </c>
      <c r="N87" t="n">
        <v>0</v>
      </c>
      <c r="O87" t="n">
        <v>0</v>
      </c>
      <c r="P87" t="n">
        <v>0</v>
      </c>
      <c r="Q87" t="n">
        <v>0</v>
      </c>
      <c r="R87" s="2" t="inlineStr"/>
    </row>
    <row r="88" ht="15" customHeight="1">
      <c r="A88" t="inlineStr">
        <is>
          <t>A 3824-2026</t>
        </is>
      </c>
      <c r="B88" s="1" t="n">
        <v>46043.58570601852</v>
      </c>
      <c r="C88" s="1" t="n">
        <v>46088</v>
      </c>
      <c r="D88" t="inlineStr">
        <is>
          <t>UPPSALA LÄN</t>
        </is>
      </c>
      <c r="E88" t="inlineStr">
        <is>
          <t>KNIVSTA</t>
        </is>
      </c>
      <c r="G88" t="n">
        <v>1.9</v>
      </c>
      <c r="H88" t="n">
        <v>0</v>
      </c>
      <c r="I88" t="n">
        <v>0</v>
      </c>
      <c r="J88" t="n">
        <v>0</v>
      </c>
      <c r="K88" t="n">
        <v>0</v>
      </c>
      <c r="L88" t="n">
        <v>0</v>
      </c>
      <c r="M88" t="n">
        <v>0</v>
      </c>
      <c r="N88" t="n">
        <v>0</v>
      </c>
      <c r="O88" t="n">
        <v>0</v>
      </c>
      <c r="P88" t="n">
        <v>0</v>
      </c>
      <c r="Q88" t="n">
        <v>0</v>
      </c>
      <c r="R88" s="2" t="inlineStr"/>
    </row>
    <row r="89" ht="15" customHeight="1">
      <c r="A89" t="inlineStr">
        <is>
          <t>A 11847-2023</t>
        </is>
      </c>
      <c r="B89" s="1" t="n">
        <v>44995.33957175926</v>
      </c>
      <c r="C89" s="1" t="n">
        <v>46088</v>
      </c>
      <c r="D89" t="inlineStr">
        <is>
          <t>UPPSALA LÄN</t>
        </is>
      </c>
      <c r="E89" t="inlineStr">
        <is>
          <t>KNIVSTA</t>
        </is>
      </c>
      <c r="G89" t="n">
        <v>2.1</v>
      </c>
      <c r="H89" t="n">
        <v>0</v>
      </c>
      <c r="I89" t="n">
        <v>0</v>
      </c>
      <c r="J89" t="n">
        <v>0</v>
      </c>
      <c r="K89" t="n">
        <v>0</v>
      </c>
      <c r="L89" t="n">
        <v>0</v>
      </c>
      <c r="M89" t="n">
        <v>0</v>
      </c>
      <c r="N89" t="n">
        <v>0</v>
      </c>
      <c r="O89" t="n">
        <v>0</v>
      </c>
      <c r="P89" t="n">
        <v>0</v>
      </c>
      <c r="Q89" t="n">
        <v>0</v>
      </c>
      <c r="R89" s="2" t="inlineStr"/>
    </row>
    <row r="90" ht="15" customHeight="1">
      <c r="A90" t="inlineStr">
        <is>
          <t>A 12027-2026</t>
        </is>
      </c>
      <c r="B90" s="1" t="n">
        <v>46085.84549768519</v>
      </c>
      <c r="C90" s="1" t="n">
        <v>46088</v>
      </c>
      <c r="D90" t="inlineStr">
        <is>
          <t>UPPSALA LÄN</t>
        </is>
      </c>
      <c r="E90" t="inlineStr">
        <is>
          <t>KNIVSTA</t>
        </is>
      </c>
      <c r="G90" t="n">
        <v>0.6</v>
      </c>
      <c r="H90" t="n">
        <v>0</v>
      </c>
      <c r="I90" t="n">
        <v>0</v>
      </c>
      <c r="J90" t="n">
        <v>0</v>
      </c>
      <c r="K90" t="n">
        <v>0</v>
      </c>
      <c r="L90" t="n">
        <v>0</v>
      </c>
      <c r="M90" t="n">
        <v>0</v>
      </c>
      <c r="N90" t="n">
        <v>0</v>
      </c>
      <c r="O90" t="n">
        <v>0</v>
      </c>
      <c r="P90" t="n">
        <v>0</v>
      </c>
      <c r="Q90" t="n">
        <v>0</v>
      </c>
      <c r="R90" s="2" t="inlineStr"/>
    </row>
    <row r="91" ht="15" customHeight="1">
      <c r="A91" t="inlineStr">
        <is>
          <t>A 3836-2026</t>
        </is>
      </c>
      <c r="B91" s="1" t="n">
        <v>46043.5925</v>
      </c>
      <c r="C91" s="1" t="n">
        <v>46088</v>
      </c>
      <c r="D91" t="inlineStr">
        <is>
          <t>UPPSALA LÄN</t>
        </is>
      </c>
      <c r="E91" t="inlineStr">
        <is>
          <t>KNIVSTA</t>
        </is>
      </c>
      <c r="G91" t="n">
        <v>3.7</v>
      </c>
      <c r="H91" t="n">
        <v>0</v>
      </c>
      <c r="I91" t="n">
        <v>0</v>
      </c>
      <c r="J91" t="n">
        <v>0</v>
      </c>
      <c r="K91" t="n">
        <v>0</v>
      </c>
      <c r="L91" t="n">
        <v>0</v>
      </c>
      <c r="M91" t="n">
        <v>0</v>
      </c>
      <c r="N91" t="n">
        <v>0</v>
      </c>
      <c r="O91" t="n">
        <v>0</v>
      </c>
      <c r="P91" t="n">
        <v>0</v>
      </c>
      <c r="Q91" t="n">
        <v>0</v>
      </c>
      <c r="R91" s="2" t="inlineStr"/>
    </row>
    <row r="92" ht="15" customHeight="1">
      <c r="A92" t="inlineStr">
        <is>
          <t>A 3375-2026</t>
        </is>
      </c>
      <c r="B92" s="1" t="n">
        <v>46042</v>
      </c>
      <c r="C92" s="1" t="n">
        <v>46088</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5908-2026</t>
        </is>
      </c>
      <c r="B93" s="1" t="n">
        <v>46052.44399305555</v>
      </c>
      <c r="C93" s="1" t="n">
        <v>46088</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5402-2023</t>
        </is>
      </c>
      <c r="B94" s="1" t="n">
        <v>44959</v>
      </c>
      <c r="C94" s="1" t="n">
        <v>46088</v>
      </c>
      <c r="D94" t="inlineStr">
        <is>
          <t>UPPSALA LÄN</t>
        </is>
      </c>
      <c r="E94" t="inlineStr">
        <is>
          <t>KNIVSTA</t>
        </is>
      </c>
      <c r="G94" t="n">
        <v>4.3</v>
      </c>
      <c r="H94" t="n">
        <v>0</v>
      </c>
      <c r="I94" t="n">
        <v>0</v>
      </c>
      <c r="J94" t="n">
        <v>0</v>
      </c>
      <c r="K94" t="n">
        <v>0</v>
      </c>
      <c r="L94" t="n">
        <v>0</v>
      </c>
      <c r="M94" t="n">
        <v>0</v>
      </c>
      <c r="N94" t="n">
        <v>0</v>
      </c>
      <c r="O94" t="n">
        <v>0</v>
      </c>
      <c r="P94" t="n">
        <v>0</v>
      </c>
      <c r="Q94" t="n">
        <v>0</v>
      </c>
      <c r="R94" s="2" t="inlineStr"/>
    </row>
    <row r="95" ht="15" customHeight="1">
      <c r="A95" t="inlineStr">
        <is>
          <t>A 5910-2026</t>
        </is>
      </c>
      <c r="B95" s="1" t="n">
        <v>46052.44677083333</v>
      </c>
      <c r="C95" s="1" t="n">
        <v>46088</v>
      </c>
      <c r="D95" t="inlineStr">
        <is>
          <t>UPPSALA LÄN</t>
        </is>
      </c>
      <c r="E95" t="inlineStr">
        <is>
          <t>KNIVSTA</t>
        </is>
      </c>
      <c r="G95" t="n">
        <v>0.6</v>
      </c>
      <c r="H95" t="n">
        <v>0</v>
      </c>
      <c r="I95" t="n">
        <v>0</v>
      </c>
      <c r="J95" t="n">
        <v>0</v>
      </c>
      <c r="K95" t="n">
        <v>0</v>
      </c>
      <c r="L95" t="n">
        <v>0</v>
      </c>
      <c r="M95" t="n">
        <v>0</v>
      </c>
      <c r="N95" t="n">
        <v>0</v>
      </c>
      <c r="O95" t="n">
        <v>0</v>
      </c>
      <c r="P95" t="n">
        <v>0</v>
      </c>
      <c r="Q95" t="n">
        <v>0</v>
      </c>
      <c r="R95" s="2" t="inlineStr"/>
    </row>
    <row r="96" ht="15" customHeight="1">
      <c r="A96" t="inlineStr">
        <is>
          <t>A 30351-2022</t>
        </is>
      </c>
      <c r="B96" s="1" t="n">
        <v>44757</v>
      </c>
      <c r="C96" s="1" t="n">
        <v>46088</v>
      </c>
      <c r="D96" t="inlineStr">
        <is>
          <t>UPPSALA LÄN</t>
        </is>
      </c>
      <c r="E96" t="inlineStr">
        <is>
          <t>KNIVSTA</t>
        </is>
      </c>
      <c r="G96" t="n">
        <v>5.7</v>
      </c>
      <c r="H96" t="n">
        <v>0</v>
      </c>
      <c r="I96" t="n">
        <v>0</v>
      </c>
      <c r="J96" t="n">
        <v>0</v>
      </c>
      <c r="K96" t="n">
        <v>0</v>
      </c>
      <c r="L96" t="n">
        <v>0</v>
      </c>
      <c r="M96" t="n">
        <v>0</v>
      </c>
      <c r="N96" t="n">
        <v>0</v>
      </c>
      <c r="O96" t="n">
        <v>0</v>
      </c>
      <c r="P96" t="n">
        <v>0</v>
      </c>
      <c r="Q96" t="n">
        <v>0</v>
      </c>
      <c r="R96" s="2" t="inlineStr"/>
    </row>
    <row r="97" ht="15" customHeight="1">
      <c r="A97" t="inlineStr">
        <is>
          <t>A 3191-2024</t>
        </is>
      </c>
      <c r="B97" s="1" t="n">
        <v>45316.67186342592</v>
      </c>
      <c r="C97" s="1" t="n">
        <v>46088</v>
      </c>
      <c r="D97" t="inlineStr">
        <is>
          <t>UPPSALA LÄN</t>
        </is>
      </c>
      <c r="E97" t="inlineStr">
        <is>
          <t>KNIVSTA</t>
        </is>
      </c>
      <c r="G97" t="n">
        <v>0.6</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46088</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51849-2023</t>
        </is>
      </c>
      <c r="B99" s="1" t="n">
        <v>45223.34391203704</v>
      </c>
      <c r="C99" s="1" t="n">
        <v>46088</v>
      </c>
      <c r="D99" t="inlineStr">
        <is>
          <t>UPPSALA LÄN</t>
        </is>
      </c>
      <c r="E99" t="inlineStr">
        <is>
          <t>KNIVSTA</t>
        </is>
      </c>
      <c r="G99" t="n">
        <v>16.3</v>
      </c>
      <c r="H99" t="n">
        <v>0</v>
      </c>
      <c r="I99" t="n">
        <v>0</v>
      </c>
      <c r="J99" t="n">
        <v>0</v>
      </c>
      <c r="K99" t="n">
        <v>0</v>
      </c>
      <c r="L99" t="n">
        <v>0</v>
      </c>
      <c r="M99" t="n">
        <v>0</v>
      </c>
      <c r="N99" t="n">
        <v>0</v>
      </c>
      <c r="O99" t="n">
        <v>0</v>
      </c>
      <c r="P99" t="n">
        <v>0</v>
      </c>
      <c r="Q99" t="n">
        <v>0</v>
      </c>
      <c r="R99" s="2" t="inlineStr"/>
    </row>
    <row r="100" ht="15" customHeight="1">
      <c r="A100" t="inlineStr">
        <is>
          <t>A 66293-2021</t>
        </is>
      </c>
      <c r="B100" s="1" t="n">
        <v>44518</v>
      </c>
      <c r="C100" s="1" t="n">
        <v>46088</v>
      </c>
      <c r="D100" t="inlineStr">
        <is>
          <t>UPPSALA LÄN</t>
        </is>
      </c>
      <c r="E100" t="inlineStr">
        <is>
          <t>KNIVSTA</t>
        </is>
      </c>
      <c r="G100" t="n">
        <v>2.6</v>
      </c>
      <c r="H100" t="n">
        <v>0</v>
      </c>
      <c r="I100" t="n">
        <v>0</v>
      </c>
      <c r="J100" t="n">
        <v>0</v>
      </c>
      <c r="K100" t="n">
        <v>0</v>
      </c>
      <c r="L100" t="n">
        <v>0</v>
      </c>
      <c r="M100" t="n">
        <v>0</v>
      </c>
      <c r="N100" t="n">
        <v>0</v>
      </c>
      <c r="O100" t="n">
        <v>0</v>
      </c>
      <c r="P100" t="n">
        <v>0</v>
      </c>
      <c r="Q100" t="n">
        <v>0</v>
      </c>
      <c r="R100" s="2" t="inlineStr"/>
    </row>
    <row r="101" ht="15" customHeight="1">
      <c r="A101" t="inlineStr">
        <is>
          <t>A 45916-2022</t>
        </is>
      </c>
      <c r="B101" s="1" t="n">
        <v>44846</v>
      </c>
      <c r="C101" s="1" t="n">
        <v>46088</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2629-2025</t>
        </is>
      </c>
      <c r="B102" s="1" t="n">
        <v>45675.6953587963</v>
      </c>
      <c r="C102" s="1" t="n">
        <v>46088</v>
      </c>
      <c r="D102" t="inlineStr">
        <is>
          <t>UPPSALA LÄN</t>
        </is>
      </c>
      <c r="E102" t="inlineStr">
        <is>
          <t>KNIVSTA</t>
        </is>
      </c>
      <c r="G102" t="n">
        <v>1.1</v>
      </c>
      <c r="H102" t="n">
        <v>0</v>
      </c>
      <c r="I102" t="n">
        <v>0</v>
      </c>
      <c r="J102" t="n">
        <v>0</v>
      </c>
      <c r="K102" t="n">
        <v>0</v>
      </c>
      <c r="L102" t="n">
        <v>0</v>
      </c>
      <c r="M102" t="n">
        <v>0</v>
      </c>
      <c r="N102" t="n">
        <v>0</v>
      </c>
      <c r="O102" t="n">
        <v>0</v>
      </c>
      <c r="P102" t="n">
        <v>0</v>
      </c>
      <c r="Q102" t="n">
        <v>0</v>
      </c>
      <c r="R102" s="2" t="inlineStr"/>
    </row>
    <row r="103" ht="15" customHeight="1">
      <c r="A103" t="inlineStr">
        <is>
          <t>A 5320-2023</t>
        </is>
      </c>
      <c r="B103" s="1" t="n">
        <v>44959</v>
      </c>
      <c r="C103" s="1" t="n">
        <v>46088</v>
      </c>
      <c r="D103" t="inlineStr">
        <is>
          <t>UPPSALA LÄN</t>
        </is>
      </c>
      <c r="E103" t="inlineStr">
        <is>
          <t>KNIVSTA</t>
        </is>
      </c>
      <c r="G103" t="n">
        <v>1.5</v>
      </c>
      <c r="H103" t="n">
        <v>0</v>
      </c>
      <c r="I103" t="n">
        <v>0</v>
      </c>
      <c r="J103" t="n">
        <v>0</v>
      </c>
      <c r="K103" t="n">
        <v>0</v>
      </c>
      <c r="L103" t="n">
        <v>0</v>
      </c>
      <c r="M103" t="n">
        <v>0</v>
      </c>
      <c r="N103" t="n">
        <v>0</v>
      </c>
      <c r="O103" t="n">
        <v>0</v>
      </c>
      <c r="P103" t="n">
        <v>0</v>
      </c>
      <c r="Q103" t="n">
        <v>0</v>
      </c>
      <c r="R103" s="2" t="inlineStr"/>
    </row>
    <row r="104" ht="15" customHeight="1">
      <c r="A104" t="inlineStr">
        <is>
          <t>A 11452-2023</t>
        </is>
      </c>
      <c r="B104" s="1" t="n">
        <v>44993</v>
      </c>
      <c r="C104" s="1" t="n">
        <v>46088</v>
      </c>
      <c r="D104" t="inlineStr">
        <is>
          <t>UPPSALA LÄN</t>
        </is>
      </c>
      <c r="E104" t="inlineStr">
        <is>
          <t>KNIVSTA</t>
        </is>
      </c>
      <c r="G104" t="n">
        <v>2.5</v>
      </c>
      <c r="H104" t="n">
        <v>0</v>
      </c>
      <c r="I104" t="n">
        <v>0</v>
      </c>
      <c r="J104" t="n">
        <v>0</v>
      </c>
      <c r="K104" t="n">
        <v>0</v>
      </c>
      <c r="L104" t="n">
        <v>0</v>
      </c>
      <c r="M104" t="n">
        <v>0</v>
      </c>
      <c r="N104" t="n">
        <v>0</v>
      </c>
      <c r="O104" t="n">
        <v>0</v>
      </c>
      <c r="P104" t="n">
        <v>0</v>
      </c>
      <c r="Q104" t="n">
        <v>0</v>
      </c>
      <c r="R104" s="2" t="inlineStr"/>
    </row>
    <row r="105" ht="15" customHeight="1">
      <c r="A105" t="inlineStr">
        <is>
          <t>A 30627-2023</t>
        </is>
      </c>
      <c r="B105" s="1" t="n">
        <v>45112</v>
      </c>
      <c r="C105" s="1" t="n">
        <v>46088</v>
      </c>
      <c r="D105" t="inlineStr">
        <is>
          <t>UPPSALA LÄN</t>
        </is>
      </c>
      <c r="E105" t="inlineStr">
        <is>
          <t>KNIVSTA</t>
        </is>
      </c>
      <c r="F105" t="inlineStr">
        <is>
          <t>Holmen skog AB</t>
        </is>
      </c>
      <c r="G105" t="n">
        <v>1.6</v>
      </c>
      <c r="H105" t="n">
        <v>0</v>
      </c>
      <c r="I105" t="n">
        <v>0</v>
      </c>
      <c r="J105" t="n">
        <v>0</v>
      </c>
      <c r="K105" t="n">
        <v>0</v>
      </c>
      <c r="L105" t="n">
        <v>0</v>
      </c>
      <c r="M105" t="n">
        <v>0</v>
      </c>
      <c r="N105" t="n">
        <v>0</v>
      </c>
      <c r="O105" t="n">
        <v>0</v>
      </c>
      <c r="P105" t="n">
        <v>0</v>
      </c>
      <c r="Q105" t="n">
        <v>0</v>
      </c>
      <c r="R105" s="2" t="inlineStr"/>
    </row>
    <row r="106" ht="15" customHeight="1">
      <c r="A106" t="inlineStr">
        <is>
          <t>A 43908-2023</t>
        </is>
      </c>
      <c r="B106" s="1" t="n">
        <v>45187</v>
      </c>
      <c r="C106" s="1" t="n">
        <v>46088</v>
      </c>
      <c r="D106" t="inlineStr">
        <is>
          <t>UPPSALA LÄN</t>
        </is>
      </c>
      <c r="E106" t="inlineStr">
        <is>
          <t>KNIVSTA</t>
        </is>
      </c>
      <c r="F106" t="inlineStr">
        <is>
          <t>Kyrkan</t>
        </is>
      </c>
      <c r="G106" t="n">
        <v>1.7</v>
      </c>
      <c r="H106" t="n">
        <v>0</v>
      </c>
      <c r="I106" t="n">
        <v>0</v>
      </c>
      <c r="J106" t="n">
        <v>0</v>
      </c>
      <c r="K106" t="n">
        <v>0</v>
      </c>
      <c r="L106" t="n">
        <v>0</v>
      </c>
      <c r="M106" t="n">
        <v>0</v>
      </c>
      <c r="N106" t="n">
        <v>0</v>
      </c>
      <c r="O106" t="n">
        <v>0</v>
      </c>
      <c r="P106" t="n">
        <v>0</v>
      </c>
      <c r="Q106" t="n">
        <v>0</v>
      </c>
      <c r="R106" s="2" t="inlineStr"/>
    </row>
    <row r="107" ht="15" customHeight="1">
      <c r="A107" t="inlineStr">
        <is>
          <t>A 8343-2024</t>
        </is>
      </c>
      <c r="B107" s="1" t="n">
        <v>45352</v>
      </c>
      <c r="C107" s="1" t="n">
        <v>46088</v>
      </c>
      <c r="D107" t="inlineStr">
        <is>
          <t>UPPSALA LÄN</t>
        </is>
      </c>
      <c r="E107" t="inlineStr">
        <is>
          <t>KNIVSTA</t>
        </is>
      </c>
      <c r="F107" t="inlineStr">
        <is>
          <t>Holmen skog AB</t>
        </is>
      </c>
      <c r="G107" t="n">
        <v>1.4</v>
      </c>
      <c r="H107" t="n">
        <v>0</v>
      </c>
      <c r="I107" t="n">
        <v>0</v>
      </c>
      <c r="J107" t="n">
        <v>0</v>
      </c>
      <c r="K107" t="n">
        <v>0</v>
      </c>
      <c r="L107" t="n">
        <v>0</v>
      </c>
      <c r="M107" t="n">
        <v>0</v>
      </c>
      <c r="N107" t="n">
        <v>0</v>
      </c>
      <c r="O107" t="n">
        <v>0</v>
      </c>
      <c r="P107" t="n">
        <v>0</v>
      </c>
      <c r="Q107" t="n">
        <v>0</v>
      </c>
      <c r="R107" s="2" t="inlineStr"/>
    </row>
    <row r="108" ht="15" customHeight="1">
      <c r="A108" t="inlineStr">
        <is>
          <t>A 60885-2021</t>
        </is>
      </c>
      <c r="B108" s="1" t="n">
        <v>44497</v>
      </c>
      <c r="C108" s="1" t="n">
        <v>46088</v>
      </c>
      <c r="D108" t="inlineStr">
        <is>
          <t>UPPSALA LÄN</t>
        </is>
      </c>
      <c r="E108" t="inlineStr">
        <is>
          <t>KNIVSTA</t>
        </is>
      </c>
      <c r="G108" t="n">
        <v>1.5</v>
      </c>
      <c r="H108" t="n">
        <v>0</v>
      </c>
      <c r="I108" t="n">
        <v>0</v>
      </c>
      <c r="J108" t="n">
        <v>0</v>
      </c>
      <c r="K108" t="n">
        <v>0</v>
      </c>
      <c r="L108" t="n">
        <v>0</v>
      </c>
      <c r="M108" t="n">
        <v>0</v>
      </c>
      <c r="N108" t="n">
        <v>0</v>
      </c>
      <c r="O108" t="n">
        <v>0</v>
      </c>
      <c r="P108" t="n">
        <v>0</v>
      </c>
      <c r="Q108" t="n">
        <v>0</v>
      </c>
      <c r="R108" s="2" t="inlineStr"/>
    </row>
    <row r="109" ht="15" customHeight="1">
      <c r="A109" t="inlineStr">
        <is>
          <t>A 19676-2025</t>
        </is>
      </c>
      <c r="B109" s="1" t="n">
        <v>45770</v>
      </c>
      <c r="C109" s="1" t="n">
        <v>46088</v>
      </c>
      <c r="D109" t="inlineStr">
        <is>
          <t>UPPSALA LÄN</t>
        </is>
      </c>
      <c r="E109" t="inlineStr">
        <is>
          <t>KNIVSTA</t>
        </is>
      </c>
      <c r="G109" t="n">
        <v>0.9</v>
      </c>
      <c r="H109" t="n">
        <v>0</v>
      </c>
      <c r="I109" t="n">
        <v>0</v>
      </c>
      <c r="J109" t="n">
        <v>0</v>
      </c>
      <c r="K109" t="n">
        <v>0</v>
      </c>
      <c r="L109" t="n">
        <v>0</v>
      </c>
      <c r="M109" t="n">
        <v>0</v>
      </c>
      <c r="N109" t="n">
        <v>0</v>
      </c>
      <c r="O109" t="n">
        <v>0</v>
      </c>
      <c r="P109" t="n">
        <v>0</v>
      </c>
      <c r="Q109" t="n">
        <v>0</v>
      </c>
      <c r="R109" s="2" t="inlineStr"/>
    </row>
    <row r="110" ht="15" customHeight="1">
      <c r="A110" t="inlineStr">
        <is>
          <t>A 14267-2025</t>
        </is>
      </c>
      <c r="B110" s="1" t="n">
        <v>45740.63686342593</v>
      </c>
      <c r="C110" s="1" t="n">
        <v>46088</v>
      </c>
      <c r="D110" t="inlineStr">
        <is>
          <t>UPPSALA LÄN</t>
        </is>
      </c>
      <c r="E110" t="inlineStr">
        <is>
          <t>KNIVSTA</t>
        </is>
      </c>
      <c r="G110" t="n">
        <v>3.9</v>
      </c>
      <c r="H110" t="n">
        <v>0</v>
      </c>
      <c r="I110" t="n">
        <v>0</v>
      </c>
      <c r="J110" t="n">
        <v>0</v>
      </c>
      <c r="K110" t="n">
        <v>0</v>
      </c>
      <c r="L110" t="n">
        <v>0</v>
      </c>
      <c r="M110" t="n">
        <v>0</v>
      </c>
      <c r="N110" t="n">
        <v>0</v>
      </c>
      <c r="O110" t="n">
        <v>0</v>
      </c>
      <c r="P110" t="n">
        <v>0</v>
      </c>
      <c r="Q110" t="n">
        <v>0</v>
      </c>
      <c r="R110" s="2" t="inlineStr"/>
    </row>
    <row r="111" ht="15" customHeight="1">
      <c r="A111" t="inlineStr">
        <is>
          <t>A 13697-2024</t>
        </is>
      </c>
      <c r="B111" s="1" t="n">
        <v>45390</v>
      </c>
      <c r="C111" s="1" t="n">
        <v>46088</v>
      </c>
      <c r="D111" t="inlineStr">
        <is>
          <t>UPPSALA LÄN</t>
        </is>
      </c>
      <c r="E111" t="inlineStr">
        <is>
          <t>KNIVSTA</t>
        </is>
      </c>
      <c r="F111" t="inlineStr">
        <is>
          <t>Holmen skog AB</t>
        </is>
      </c>
      <c r="G111" t="n">
        <v>1.3</v>
      </c>
      <c r="H111" t="n">
        <v>0</v>
      </c>
      <c r="I111" t="n">
        <v>0</v>
      </c>
      <c r="J111" t="n">
        <v>0</v>
      </c>
      <c r="K111" t="n">
        <v>0</v>
      </c>
      <c r="L111" t="n">
        <v>0</v>
      </c>
      <c r="M111" t="n">
        <v>0</v>
      </c>
      <c r="N111" t="n">
        <v>0</v>
      </c>
      <c r="O111" t="n">
        <v>0</v>
      </c>
      <c r="P111" t="n">
        <v>0</v>
      </c>
      <c r="Q111" t="n">
        <v>0</v>
      </c>
      <c r="R111" s="2" t="inlineStr"/>
    </row>
    <row r="112" ht="15" customHeight="1">
      <c r="A112" t="inlineStr">
        <is>
          <t>A 66305-2021</t>
        </is>
      </c>
      <c r="B112" s="1" t="n">
        <v>44518</v>
      </c>
      <c r="C112" s="1" t="n">
        <v>46088</v>
      </c>
      <c r="D112" t="inlineStr">
        <is>
          <t>UPPSALA LÄN</t>
        </is>
      </c>
      <c r="E112" t="inlineStr">
        <is>
          <t>KNIVSTA</t>
        </is>
      </c>
      <c r="G112" t="n">
        <v>8.300000000000001</v>
      </c>
      <c r="H112" t="n">
        <v>0</v>
      </c>
      <c r="I112" t="n">
        <v>0</v>
      </c>
      <c r="J112" t="n">
        <v>0</v>
      </c>
      <c r="K112" t="n">
        <v>0</v>
      </c>
      <c r="L112" t="n">
        <v>0</v>
      </c>
      <c r="M112" t="n">
        <v>0</v>
      </c>
      <c r="N112" t="n">
        <v>0</v>
      </c>
      <c r="O112" t="n">
        <v>0</v>
      </c>
      <c r="P112" t="n">
        <v>0</v>
      </c>
      <c r="Q112" t="n">
        <v>0</v>
      </c>
      <c r="R112" s="2" t="inlineStr"/>
    </row>
    <row r="113" ht="15" customHeight="1">
      <c r="A113" t="inlineStr">
        <is>
          <t>A 1629-2024</t>
        </is>
      </c>
      <c r="B113" s="1" t="n">
        <v>45306</v>
      </c>
      <c r="C113" s="1" t="n">
        <v>46088</v>
      </c>
      <c r="D113" t="inlineStr">
        <is>
          <t>UPPSALA LÄN</t>
        </is>
      </c>
      <c r="E113" t="inlineStr">
        <is>
          <t>KNIVSTA</t>
        </is>
      </c>
      <c r="F113" t="inlineStr">
        <is>
          <t>Holmen skog AB</t>
        </is>
      </c>
      <c r="G113" t="n">
        <v>3.6</v>
      </c>
      <c r="H113" t="n">
        <v>0</v>
      </c>
      <c r="I113" t="n">
        <v>0</v>
      </c>
      <c r="J113" t="n">
        <v>0</v>
      </c>
      <c r="K113" t="n">
        <v>0</v>
      </c>
      <c r="L113" t="n">
        <v>0</v>
      </c>
      <c r="M113" t="n">
        <v>0</v>
      </c>
      <c r="N113" t="n">
        <v>0</v>
      </c>
      <c r="O113" t="n">
        <v>0</v>
      </c>
      <c r="P113" t="n">
        <v>0</v>
      </c>
      <c r="Q113" t="n">
        <v>0</v>
      </c>
      <c r="R113" s="2" t="inlineStr"/>
    </row>
    <row r="114" ht="15" customHeight="1">
      <c r="A114" t="inlineStr">
        <is>
          <t>A 30764-2023</t>
        </is>
      </c>
      <c r="B114" s="1" t="n">
        <v>45112</v>
      </c>
      <c r="C114" s="1" t="n">
        <v>46088</v>
      </c>
      <c r="D114" t="inlineStr">
        <is>
          <t>UPPSALA LÄN</t>
        </is>
      </c>
      <c r="E114" t="inlineStr">
        <is>
          <t>KNIVSTA</t>
        </is>
      </c>
      <c r="F114" t="inlineStr">
        <is>
          <t>Holmen skog AB</t>
        </is>
      </c>
      <c r="G114" t="n">
        <v>0.9</v>
      </c>
      <c r="H114" t="n">
        <v>0</v>
      </c>
      <c r="I114" t="n">
        <v>0</v>
      </c>
      <c r="J114" t="n">
        <v>0</v>
      </c>
      <c r="K114" t="n">
        <v>0</v>
      </c>
      <c r="L114" t="n">
        <v>0</v>
      </c>
      <c r="M114" t="n">
        <v>0</v>
      </c>
      <c r="N114" t="n">
        <v>0</v>
      </c>
      <c r="O114" t="n">
        <v>0</v>
      </c>
      <c r="P114" t="n">
        <v>0</v>
      </c>
      <c r="Q114" t="n">
        <v>0</v>
      </c>
      <c r="R114" s="2" t="inlineStr"/>
    </row>
    <row r="115" ht="15" customHeight="1">
      <c r="A115" t="inlineStr">
        <is>
          <t>A 2171-2024</t>
        </is>
      </c>
      <c r="B115" s="1" t="n">
        <v>45309</v>
      </c>
      <c r="C115" s="1" t="n">
        <v>46088</v>
      </c>
      <c r="D115" t="inlineStr">
        <is>
          <t>UPPSALA LÄN</t>
        </is>
      </c>
      <c r="E115" t="inlineStr">
        <is>
          <t>KNIVSTA</t>
        </is>
      </c>
      <c r="F115" t="inlineStr">
        <is>
          <t>Holmen skog AB</t>
        </is>
      </c>
      <c r="G115" t="n">
        <v>3.3</v>
      </c>
      <c r="H115" t="n">
        <v>0</v>
      </c>
      <c r="I115" t="n">
        <v>0</v>
      </c>
      <c r="J115" t="n">
        <v>0</v>
      </c>
      <c r="K115" t="n">
        <v>0</v>
      </c>
      <c r="L115" t="n">
        <v>0</v>
      </c>
      <c r="M115" t="n">
        <v>0</v>
      </c>
      <c r="N115" t="n">
        <v>0</v>
      </c>
      <c r="O115" t="n">
        <v>0</v>
      </c>
      <c r="P115" t="n">
        <v>0</v>
      </c>
      <c r="Q115" t="n">
        <v>0</v>
      </c>
      <c r="R115" s="2" t="inlineStr"/>
    </row>
    <row r="116" ht="15" customHeight="1">
      <c r="A116" t="inlineStr">
        <is>
          <t>A 21130-2025</t>
        </is>
      </c>
      <c r="B116" s="1" t="n">
        <v>45778.35857638889</v>
      </c>
      <c r="C116" s="1" t="n">
        <v>46088</v>
      </c>
      <c r="D116" t="inlineStr">
        <is>
          <t>UPPSALA LÄN</t>
        </is>
      </c>
      <c r="E116" t="inlineStr">
        <is>
          <t>KNIVSTA</t>
        </is>
      </c>
      <c r="G116" t="n">
        <v>2.2</v>
      </c>
      <c r="H116" t="n">
        <v>0</v>
      </c>
      <c r="I116" t="n">
        <v>0</v>
      </c>
      <c r="J116" t="n">
        <v>0</v>
      </c>
      <c r="K116" t="n">
        <v>0</v>
      </c>
      <c r="L116" t="n">
        <v>0</v>
      </c>
      <c r="M116" t="n">
        <v>0</v>
      </c>
      <c r="N116" t="n">
        <v>0</v>
      </c>
      <c r="O116" t="n">
        <v>0</v>
      </c>
      <c r="P116" t="n">
        <v>0</v>
      </c>
      <c r="Q116" t="n">
        <v>0</v>
      </c>
      <c r="R116" s="2" t="inlineStr"/>
    </row>
    <row r="117">
      <c r="A117" t="inlineStr">
        <is>
          <t>A 794-2024</t>
        </is>
      </c>
      <c r="B117" s="1" t="n">
        <v>45300.58149305556</v>
      </c>
      <c r="C117" s="1" t="n">
        <v>46088</v>
      </c>
      <c r="D117" t="inlineStr">
        <is>
          <t>UPPSALA LÄN</t>
        </is>
      </c>
      <c r="E117" t="inlineStr">
        <is>
          <t>KNIVSTA</t>
        </is>
      </c>
      <c r="G117" t="n">
        <v>1.6</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2026-03-07T11:25:33Z</dcterms:created>
  <dcterms:modified xmlns:dcterms="http://purl.org/dc/terms/" xmlns:xsi="http://www.w3.org/2001/XMLSchema-instance" xsi:type="dcterms:W3CDTF">2026-03-07T11:25:33Z</dcterms:modified>
</cp:coreProperties>
</file>