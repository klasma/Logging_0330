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45928</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45928</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45928</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45928</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46302-2025</t>
        </is>
      </c>
      <c r="B6" s="1" t="n">
        <v>45925.41665509259</v>
      </c>
      <c r="C6" s="1" t="n">
        <v>45928</v>
      </c>
      <c r="D6" t="inlineStr">
        <is>
          <t>UPPSALA LÄN</t>
        </is>
      </c>
      <c r="E6" t="inlineStr">
        <is>
          <t>KNIVSTA</t>
        </is>
      </c>
      <c r="G6" t="n">
        <v>5</v>
      </c>
      <c r="H6" t="n">
        <v>2</v>
      </c>
      <c r="I6" t="n">
        <v>4</v>
      </c>
      <c r="J6" t="n">
        <v>1</v>
      </c>
      <c r="K6" t="n">
        <v>2</v>
      </c>
      <c r="L6" t="n">
        <v>0</v>
      </c>
      <c r="M6" t="n">
        <v>0</v>
      </c>
      <c r="N6" t="n">
        <v>0</v>
      </c>
      <c r="O6" t="n">
        <v>3</v>
      </c>
      <c r="P6" t="n">
        <v>2</v>
      </c>
      <c r="Q6" t="n">
        <v>7</v>
      </c>
      <c r="R6" s="2" t="inlineStr">
        <is>
          <t>Knärot
Koppartaggsvamp
Tallticka
Blodticka
Granbarkgnagare
Grön sköldmossa
Skarp dropptaggsvamp</t>
        </is>
      </c>
      <c r="S6">
        <f>HYPERLINK("https://klasma.github.io/Logging_0330/artfynd/A 46302-2025 artfynd.xlsx", "A 46302-2025")</f>
        <v/>
      </c>
      <c r="T6">
        <f>HYPERLINK("https://klasma.github.io/Logging_0330/kartor/A 46302-2025 karta.png", "A 46302-2025")</f>
        <v/>
      </c>
      <c r="U6">
        <f>HYPERLINK("https://klasma.github.io/Logging_0330/knärot/A 46302-2025 karta knärot.png", "A 46302-2025")</f>
        <v/>
      </c>
      <c r="V6">
        <f>HYPERLINK("https://klasma.github.io/Logging_0330/klagomål/A 46302-2025 FSC-klagomål.docx", "A 46302-2025")</f>
        <v/>
      </c>
      <c r="W6">
        <f>HYPERLINK("https://klasma.github.io/Logging_0330/klagomålsmail/A 46302-2025 FSC-klagomål mail.docx", "A 46302-2025")</f>
        <v/>
      </c>
      <c r="X6">
        <f>HYPERLINK("https://klasma.github.io/Logging_0330/tillsyn/A 46302-2025 tillsynsbegäran.docx", "A 46302-2025")</f>
        <v/>
      </c>
      <c r="Y6">
        <f>HYPERLINK("https://klasma.github.io/Logging_0330/tillsynsmail/A 46302-2025 tillsynsbegäran mail.docx", "A 46302-2025")</f>
        <v/>
      </c>
    </row>
    <row r="7" ht="15" customHeight="1">
      <c r="A7" t="inlineStr">
        <is>
          <t>A 1030-2021</t>
        </is>
      </c>
      <c r="B7" s="1" t="n">
        <v>44206</v>
      </c>
      <c r="C7" s="1" t="n">
        <v>45928</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45928</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45928</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16973-2021</t>
        </is>
      </c>
      <c r="B10" s="1" t="n">
        <v>44295</v>
      </c>
      <c r="C10" s="1" t="n">
        <v>45928</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11405-2025</t>
        </is>
      </c>
      <c r="B11" s="1" t="n">
        <v>45726</v>
      </c>
      <c r="C11" s="1" t="n">
        <v>45928</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45928</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45928</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45928</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45928</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9725-2021</t>
        </is>
      </c>
      <c r="B16" s="1" t="n">
        <v>44252</v>
      </c>
      <c r="C16" s="1" t="n">
        <v>45928</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45928</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45928</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45928</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45928</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45928</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45928</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45928</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45928</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45928</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45928</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45928</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45928</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45928</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45928</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45928</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45928</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45928</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72966-2021</t>
        </is>
      </c>
      <c r="B34" s="1" t="n">
        <v>44548.57709490741</v>
      </c>
      <c r="C34" s="1" t="n">
        <v>45928</v>
      </c>
      <c r="D34" t="inlineStr">
        <is>
          <t>UPPSALA LÄN</t>
        </is>
      </c>
      <c r="E34" t="inlineStr">
        <is>
          <t>KNIVSTA</t>
        </is>
      </c>
      <c r="G34" t="n">
        <v>2</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45928</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45928</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32975-2021</t>
        </is>
      </c>
      <c r="B37" s="1" t="n">
        <v>44376</v>
      </c>
      <c r="C37" s="1" t="n">
        <v>45928</v>
      </c>
      <c r="D37" t="inlineStr">
        <is>
          <t>UPPSALA LÄN</t>
        </is>
      </c>
      <c r="E37" t="inlineStr">
        <is>
          <t>KNIVSTA</t>
        </is>
      </c>
      <c r="G37" t="n">
        <v>6.1</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45928</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13697-2024</t>
        </is>
      </c>
      <c r="B39" s="1" t="n">
        <v>45390</v>
      </c>
      <c r="C39" s="1" t="n">
        <v>45928</v>
      </c>
      <c r="D39" t="inlineStr">
        <is>
          <t>UPPSALA LÄN</t>
        </is>
      </c>
      <c r="E39" t="inlineStr">
        <is>
          <t>KNIVSTA</t>
        </is>
      </c>
      <c r="F39" t="inlineStr">
        <is>
          <t>Holmen skog AB</t>
        </is>
      </c>
      <c r="G39" t="n">
        <v>1.3</v>
      </c>
      <c r="H39" t="n">
        <v>0</v>
      </c>
      <c r="I39" t="n">
        <v>0</v>
      </c>
      <c r="J39" t="n">
        <v>0</v>
      </c>
      <c r="K39" t="n">
        <v>0</v>
      </c>
      <c r="L39" t="n">
        <v>0</v>
      </c>
      <c r="M39" t="n">
        <v>0</v>
      </c>
      <c r="N39" t="n">
        <v>0</v>
      </c>
      <c r="O39" t="n">
        <v>0</v>
      </c>
      <c r="P39" t="n">
        <v>0</v>
      </c>
      <c r="Q39" t="n">
        <v>0</v>
      </c>
      <c r="R39" s="2" t="inlineStr"/>
    </row>
    <row r="40" ht="15" customHeight="1">
      <c r="A40" t="inlineStr">
        <is>
          <t>A 66256-2021</t>
        </is>
      </c>
      <c r="B40" s="1" t="n">
        <v>44518</v>
      </c>
      <c r="C40" s="1" t="n">
        <v>45928</v>
      </c>
      <c r="D40" t="inlineStr">
        <is>
          <t>UPPSALA LÄN</t>
        </is>
      </c>
      <c r="E40" t="inlineStr">
        <is>
          <t>KNIVSTA</t>
        </is>
      </c>
      <c r="G40" t="n">
        <v>0.3</v>
      </c>
      <c r="H40" t="n">
        <v>0</v>
      </c>
      <c r="I40" t="n">
        <v>0</v>
      </c>
      <c r="J40" t="n">
        <v>0</v>
      </c>
      <c r="K40" t="n">
        <v>0</v>
      </c>
      <c r="L40" t="n">
        <v>0</v>
      </c>
      <c r="M40" t="n">
        <v>0</v>
      </c>
      <c r="N40" t="n">
        <v>0</v>
      </c>
      <c r="O40" t="n">
        <v>0</v>
      </c>
      <c r="P40" t="n">
        <v>0</v>
      </c>
      <c r="Q40" t="n">
        <v>0</v>
      </c>
      <c r="R40" s="2" t="inlineStr"/>
    </row>
    <row r="41" ht="15" customHeight="1">
      <c r="A41" t="inlineStr">
        <is>
          <t>A 34859-2025</t>
        </is>
      </c>
      <c r="B41" s="1" t="n">
        <v>45849.43511574074</v>
      </c>
      <c r="C41" s="1" t="n">
        <v>45928</v>
      </c>
      <c r="D41" t="inlineStr">
        <is>
          <t>UPPSALA LÄN</t>
        </is>
      </c>
      <c r="E41" t="inlineStr">
        <is>
          <t>KNIVSTA</t>
        </is>
      </c>
      <c r="F41" t="inlineStr">
        <is>
          <t>Holmen skog AB</t>
        </is>
      </c>
      <c r="G41" t="n">
        <v>6.1</v>
      </c>
      <c r="H41" t="n">
        <v>0</v>
      </c>
      <c r="I41" t="n">
        <v>0</v>
      </c>
      <c r="J41" t="n">
        <v>0</v>
      </c>
      <c r="K41" t="n">
        <v>0</v>
      </c>
      <c r="L41" t="n">
        <v>0</v>
      </c>
      <c r="M41" t="n">
        <v>0</v>
      </c>
      <c r="N41" t="n">
        <v>0</v>
      </c>
      <c r="O41" t="n">
        <v>0</v>
      </c>
      <c r="P41" t="n">
        <v>0</v>
      </c>
      <c r="Q41" t="n">
        <v>0</v>
      </c>
      <c r="R41" s="2" t="inlineStr"/>
    </row>
    <row r="42" ht="15" customHeight="1">
      <c r="A42" t="inlineStr">
        <is>
          <t>A 34864-2025</t>
        </is>
      </c>
      <c r="B42" s="1" t="n">
        <v>45849.44028935185</v>
      </c>
      <c r="C42" s="1" t="n">
        <v>45928</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35318-2025</t>
        </is>
      </c>
      <c r="B43" s="1" t="n">
        <v>45854.47917824074</v>
      </c>
      <c r="C43" s="1" t="n">
        <v>45928</v>
      </c>
      <c r="D43" t="inlineStr">
        <is>
          <t>UPPSALA LÄN</t>
        </is>
      </c>
      <c r="E43" t="inlineStr">
        <is>
          <t>KNIVSTA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11841-2023</t>
        </is>
      </c>
      <c r="B44" s="1" t="n">
        <v>44995.3221412037</v>
      </c>
      <c r="C44" s="1" t="n">
        <v>45928</v>
      </c>
      <c r="D44" t="inlineStr">
        <is>
          <t>UPPSALA LÄN</t>
        </is>
      </c>
      <c r="E44" t="inlineStr">
        <is>
          <t>KNIVSTA</t>
        </is>
      </c>
      <c r="G44" t="n">
        <v>3.9</v>
      </c>
      <c r="H44" t="n">
        <v>0</v>
      </c>
      <c r="I44" t="n">
        <v>0</v>
      </c>
      <c r="J44" t="n">
        <v>0</v>
      </c>
      <c r="K44" t="n">
        <v>0</v>
      </c>
      <c r="L44" t="n">
        <v>0</v>
      </c>
      <c r="M44" t="n">
        <v>0</v>
      </c>
      <c r="N44" t="n">
        <v>0</v>
      </c>
      <c r="O44" t="n">
        <v>0</v>
      </c>
      <c r="P44" t="n">
        <v>0</v>
      </c>
      <c r="Q44" t="n">
        <v>0</v>
      </c>
      <c r="R44" s="2" t="inlineStr"/>
    </row>
    <row r="45" ht="15" customHeight="1">
      <c r="A45" t="inlineStr">
        <is>
          <t>A 30351-2022</t>
        </is>
      </c>
      <c r="B45" s="1" t="n">
        <v>44757</v>
      </c>
      <c r="C45" s="1" t="n">
        <v>45928</v>
      </c>
      <c r="D45" t="inlineStr">
        <is>
          <t>UPPSALA LÄN</t>
        </is>
      </c>
      <c r="E45" t="inlineStr">
        <is>
          <t>KNIVSTA</t>
        </is>
      </c>
      <c r="G45" t="n">
        <v>5.7</v>
      </c>
      <c r="H45" t="n">
        <v>0</v>
      </c>
      <c r="I45" t="n">
        <v>0</v>
      </c>
      <c r="J45" t="n">
        <v>0</v>
      </c>
      <c r="K45" t="n">
        <v>0</v>
      </c>
      <c r="L45" t="n">
        <v>0</v>
      </c>
      <c r="M45" t="n">
        <v>0</v>
      </c>
      <c r="N45" t="n">
        <v>0</v>
      </c>
      <c r="O45" t="n">
        <v>0</v>
      </c>
      <c r="P45" t="n">
        <v>0</v>
      </c>
      <c r="Q45" t="n">
        <v>0</v>
      </c>
      <c r="R45" s="2" t="inlineStr"/>
    </row>
    <row r="46" ht="15" customHeight="1">
      <c r="A46" t="inlineStr">
        <is>
          <t>A 11452-2023</t>
        </is>
      </c>
      <c r="B46" s="1" t="n">
        <v>44993</v>
      </c>
      <c r="C46" s="1" t="n">
        <v>45928</v>
      </c>
      <c r="D46" t="inlineStr">
        <is>
          <t>UPPSALA LÄN</t>
        </is>
      </c>
      <c r="E46" t="inlineStr">
        <is>
          <t>KNIVSTA</t>
        </is>
      </c>
      <c r="G46" t="n">
        <v>2.5</v>
      </c>
      <c r="H46" t="n">
        <v>0</v>
      </c>
      <c r="I46" t="n">
        <v>0</v>
      </c>
      <c r="J46" t="n">
        <v>0</v>
      </c>
      <c r="K46" t="n">
        <v>0</v>
      </c>
      <c r="L46" t="n">
        <v>0</v>
      </c>
      <c r="M46" t="n">
        <v>0</v>
      </c>
      <c r="N46" t="n">
        <v>0</v>
      </c>
      <c r="O46" t="n">
        <v>0</v>
      </c>
      <c r="P46" t="n">
        <v>0</v>
      </c>
      <c r="Q46" t="n">
        <v>0</v>
      </c>
      <c r="R46" s="2" t="inlineStr"/>
    </row>
    <row r="47" ht="15" customHeight="1">
      <c r="A47" t="inlineStr">
        <is>
          <t>A 11847-2023</t>
        </is>
      </c>
      <c r="B47" s="1" t="n">
        <v>44995.33957175926</v>
      </c>
      <c r="C47" s="1" t="n">
        <v>45928</v>
      </c>
      <c r="D47" t="inlineStr">
        <is>
          <t>UPPSALA LÄN</t>
        </is>
      </c>
      <c r="E47" t="inlineStr">
        <is>
          <t>KNIVSTA</t>
        </is>
      </c>
      <c r="G47" t="n">
        <v>2.1</v>
      </c>
      <c r="H47" t="n">
        <v>0</v>
      </c>
      <c r="I47" t="n">
        <v>0</v>
      </c>
      <c r="J47" t="n">
        <v>0</v>
      </c>
      <c r="K47" t="n">
        <v>0</v>
      </c>
      <c r="L47" t="n">
        <v>0</v>
      </c>
      <c r="M47" t="n">
        <v>0</v>
      </c>
      <c r="N47" t="n">
        <v>0</v>
      </c>
      <c r="O47" t="n">
        <v>0</v>
      </c>
      <c r="P47" t="n">
        <v>0</v>
      </c>
      <c r="Q47" t="n">
        <v>0</v>
      </c>
      <c r="R47" s="2" t="inlineStr"/>
    </row>
    <row r="48" ht="15" customHeight="1">
      <c r="A48" t="inlineStr">
        <is>
          <t>A 11450-2023</t>
        </is>
      </c>
      <c r="B48" s="1" t="n">
        <v>44993</v>
      </c>
      <c r="C48" s="1" t="n">
        <v>45928</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43908-2023</t>
        </is>
      </c>
      <c r="B49" s="1" t="n">
        <v>45187</v>
      </c>
      <c r="C49" s="1" t="n">
        <v>45928</v>
      </c>
      <c r="D49" t="inlineStr">
        <is>
          <t>UPPSALA LÄN</t>
        </is>
      </c>
      <c r="E49" t="inlineStr">
        <is>
          <t>KNIVSTA</t>
        </is>
      </c>
      <c r="F49" t="inlineStr">
        <is>
          <t>Kyrkan</t>
        </is>
      </c>
      <c r="G49" t="n">
        <v>1.7</v>
      </c>
      <c r="H49" t="n">
        <v>0</v>
      </c>
      <c r="I49" t="n">
        <v>0</v>
      </c>
      <c r="J49" t="n">
        <v>0</v>
      </c>
      <c r="K49" t="n">
        <v>0</v>
      </c>
      <c r="L49" t="n">
        <v>0</v>
      </c>
      <c r="M49" t="n">
        <v>0</v>
      </c>
      <c r="N49" t="n">
        <v>0</v>
      </c>
      <c r="O49" t="n">
        <v>0</v>
      </c>
      <c r="P49" t="n">
        <v>0</v>
      </c>
      <c r="Q49" t="n">
        <v>0</v>
      </c>
      <c r="R49" s="2" t="inlineStr"/>
    </row>
    <row r="50" ht="15" customHeight="1">
      <c r="A50" t="inlineStr">
        <is>
          <t>A 5402-2023</t>
        </is>
      </c>
      <c r="B50" s="1" t="n">
        <v>44959</v>
      </c>
      <c r="C50" s="1" t="n">
        <v>45928</v>
      </c>
      <c r="D50" t="inlineStr">
        <is>
          <t>UPPSALA LÄN</t>
        </is>
      </c>
      <c r="E50" t="inlineStr">
        <is>
          <t>KNIVSTA</t>
        </is>
      </c>
      <c r="G50" t="n">
        <v>4.3</v>
      </c>
      <c r="H50" t="n">
        <v>0</v>
      </c>
      <c r="I50" t="n">
        <v>0</v>
      </c>
      <c r="J50" t="n">
        <v>0</v>
      </c>
      <c r="K50" t="n">
        <v>0</v>
      </c>
      <c r="L50" t="n">
        <v>0</v>
      </c>
      <c r="M50" t="n">
        <v>0</v>
      </c>
      <c r="N50" t="n">
        <v>0</v>
      </c>
      <c r="O50" t="n">
        <v>0</v>
      </c>
      <c r="P50" t="n">
        <v>0</v>
      </c>
      <c r="Q50" t="n">
        <v>0</v>
      </c>
      <c r="R50" s="2" t="inlineStr"/>
    </row>
    <row r="51" ht="15" customHeight="1">
      <c r="A51" t="inlineStr">
        <is>
          <t>A 31875-2022</t>
        </is>
      </c>
      <c r="B51" s="1" t="n">
        <v>44777</v>
      </c>
      <c r="C51" s="1" t="n">
        <v>45928</v>
      </c>
      <c r="D51" t="inlineStr">
        <is>
          <t>UPPSALA LÄN</t>
        </is>
      </c>
      <c r="E51" t="inlineStr">
        <is>
          <t>KNIVSTA</t>
        </is>
      </c>
      <c r="G51" t="n">
        <v>0.7</v>
      </c>
      <c r="H51" t="n">
        <v>0</v>
      </c>
      <c r="I51" t="n">
        <v>0</v>
      </c>
      <c r="J51" t="n">
        <v>0</v>
      </c>
      <c r="K51" t="n">
        <v>0</v>
      </c>
      <c r="L51" t="n">
        <v>0</v>
      </c>
      <c r="M51" t="n">
        <v>0</v>
      </c>
      <c r="N51" t="n">
        <v>0</v>
      </c>
      <c r="O51" t="n">
        <v>0</v>
      </c>
      <c r="P51" t="n">
        <v>0</v>
      </c>
      <c r="Q51" t="n">
        <v>0</v>
      </c>
      <c r="R51" s="2" t="inlineStr"/>
    </row>
    <row r="52" ht="15" customHeight="1">
      <c r="A52" t="inlineStr">
        <is>
          <t>A 36470-2025</t>
        </is>
      </c>
      <c r="B52" s="1" t="n">
        <v>45869.47915509259</v>
      </c>
      <c r="C52" s="1" t="n">
        <v>45928</v>
      </c>
      <c r="D52" t="inlineStr">
        <is>
          <t>UPPSALA LÄN</t>
        </is>
      </c>
      <c r="E52" t="inlineStr">
        <is>
          <t>KNIVSTA</t>
        </is>
      </c>
      <c r="G52" t="n">
        <v>3.6</v>
      </c>
      <c r="H52" t="n">
        <v>0</v>
      </c>
      <c r="I52" t="n">
        <v>0</v>
      </c>
      <c r="J52" t="n">
        <v>0</v>
      </c>
      <c r="K52" t="n">
        <v>0</v>
      </c>
      <c r="L52" t="n">
        <v>0</v>
      </c>
      <c r="M52" t="n">
        <v>0</v>
      </c>
      <c r="N52" t="n">
        <v>0</v>
      </c>
      <c r="O52" t="n">
        <v>0</v>
      </c>
      <c r="P52" t="n">
        <v>0</v>
      </c>
      <c r="Q52" t="n">
        <v>0</v>
      </c>
      <c r="R52" s="2" t="inlineStr"/>
    </row>
    <row r="53" ht="15" customHeight="1">
      <c r="A53" t="inlineStr">
        <is>
          <t>A 34078-2022</t>
        </is>
      </c>
      <c r="B53" s="1" t="n">
        <v>44791</v>
      </c>
      <c r="C53" s="1" t="n">
        <v>45928</v>
      </c>
      <c r="D53" t="inlineStr">
        <is>
          <t>UPPSALA LÄN</t>
        </is>
      </c>
      <c r="E53" t="inlineStr">
        <is>
          <t>KNIVSTA</t>
        </is>
      </c>
      <c r="F53" t="inlineStr">
        <is>
          <t>Övriga statliga verk och myndigheter</t>
        </is>
      </c>
      <c r="G53" t="n">
        <v>1.8</v>
      </c>
      <c r="H53" t="n">
        <v>0</v>
      </c>
      <c r="I53" t="n">
        <v>0</v>
      </c>
      <c r="J53" t="n">
        <v>0</v>
      </c>
      <c r="K53" t="n">
        <v>0</v>
      </c>
      <c r="L53" t="n">
        <v>0</v>
      </c>
      <c r="M53" t="n">
        <v>0</v>
      </c>
      <c r="N53" t="n">
        <v>0</v>
      </c>
      <c r="O53" t="n">
        <v>0</v>
      </c>
      <c r="P53" t="n">
        <v>0</v>
      </c>
      <c r="Q53" t="n">
        <v>0</v>
      </c>
      <c r="R53" s="2" t="inlineStr"/>
    </row>
    <row r="54" ht="15" customHeight="1">
      <c r="A54" t="inlineStr">
        <is>
          <t>A 36472-2025</t>
        </is>
      </c>
      <c r="B54" s="1" t="n">
        <v>45869.48162037037</v>
      </c>
      <c r="C54" s="1" t="n">
        <v>45928</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36473-2025</t>
        </is>
      </c>
      <c r="B55" s="1" t="n">
        <v>45869.48333333333</v>
      </c>
      <c r="C55" s="1" t="n">
        <v>45928</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23239-2023</t>
        </is>
      </c>
      <c r="B56" s="1" t="n">
        <v>45075</v>
      </c>
      <c r="C56" s="1" t="n">
        <v>45928</v>
      </c>
      <c r="D56" t="inlineStr">
        <is>
          <t>UPPSALA LÄN</t>
        </is>
      </c>
      <c r="E56" t="inlineStr">
        <is>
          <t>KNIVSTA</t>
        </is>
      </c>
      <c r="G56" t="n">
        <v>1.8</v>
      </c>
      <c r="H56" t="n">
        <v>0</v>
      </c>
      <c r="I56" t="n">
        <v>0</v>
      </c>
      <c r="J56" t="n">
        <v>0</v>
      </c>
      <c r="K56" t="n">
        <v>0</v>
      </c>
      <c r="L56" t="n">
        <v>0</v>
      </c>
      <c r="M56" t="n">
        <v>0</v>
      </c>
      <c r="N56" t="n">
        <v>0</v>
      </c>
      <c r="O56" t="n">
        <v>0</v>
      </c>
      <c r="P56" t="n">
        <v>0</v>
      </c>
      <c r="Q56" t="n">
        <v>0</v>
      </c>
      <c r="R56" s="2" t="inlineStr"/>
    </row>
    <row r="57" ht="15" customHeight="1">
      <c r="A57" t="inlineStr">
        <is>
          <t>A 44869-2025</t>
        </is>
      </c>
      <c r="B57" s="1" t="n">
        <v>45918.46758101852</v>
      </c>
      <c r="C57" s="1" t="n">
        <v>45928</v>
      </c>
      <c r="D57" t="inlineStr">
        <is>
          <t>UPPSALA LÄN</t>
        </is>
      </c>
      <c r="E57" t="inlineStr">
        <is>
          <t>KNIVSTA</t>
        </is>
      </c>
      <c r="G57" t="n">
        <v>17.1</v>
      </c>
      <c r="H57" t="n">
        <v>0</v>
      </c>
      <c r="I57" t="n">
        <v>0</v>
      </c>
      <c r="J57" t="n">
        <v>0</v>
      </c>
      <c r="K57" t="n">
        <v>0</v>
      </c>
      <c r="L57" t="n">
        <v>0</v>
      </c>
      <c r="M57" t="n">
        <v>0</v>
      </c>
      <c r="N57" t="n">
        <v>0</v>
      </c>
      <c r="O57" t="n">
        <v>0</v>
      </c>
      <c r="P57" t="n">
        <v>0</v>
      </c>
      <c r="Q57" t="n">
        <v>0</v>
      </c>
      <c r="R57" s="2" t="inlineStr"/>
    </row>
    <row r="58" ht="15" customHeight="1">
      <c r="A58" t="inlineStr">
        <is>
          <t>A 45453-2025</t>
        </is>
      </c>
      <c r="B58" s="1" t="n">
        <v>45922.48702546296</v>
      </c>
      <c r="C58" s="1" t="n">
        <v>45928</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26182-2022</t>
        </is>
      </c>
      <c r="B59" s="1" t="n">
        <v>44735</v>
      </c>
      <c r="C59" s="1" t="n">
        <v>45928</v>
      </c>
      <c r="D59" t="inlineStr">
        <is>
          <t>UPPSALA LÄN</t>
        </is>
      </c>
      <c r="E59" t="inlineStr">
        <is>
          <t>KNIVSTA</t>
        </is>
      </c>
      <c r="G59" t="n">
        <v>3.8</v>
      </c>
      <c r="H59" t="n">
        <v>0</v>
      </c>
      <c r="I59" t="n">
        <v>0</v>
      </c>
      <c r="J59" t="n">
        <v>0</v>
      </c>
      <c r="K59" t="n">
        <v>0</v>
      </c>
      <c r="L59" t="n">
        <v>0</v>
      </c>
      <c r="M59" t="n">
        <v>0</v>
      </c>
      <c r="N59" t="n">
        <v>0</v>
      </c>
      <c r="O59" t="n">
        <v>0</v>
      </c>
      <c r="P59" t="n">
        <v>0</v>
      </c>
      <c r="Q59" t="n">
        <v>0</v>
      </c>
      <c r="R59" s="2" t="inlineStr"/>
    </row>
    <row r="60" ht="15" customHeight="1">
      <c r="A60" t="inlineStr">
        <is>
          <t>A 20505-2021</t>
        </is>
      </c>
      <c r="B60" s="1" t="n">
        <v>44313</v>
      </c>
      <c r="C60" s="1" t="n">
        <v>45928</v>
      </c>
      <c r="D60" t="inlineStr">
        <is>
          <t>UPPSALA LÄN</t>
        </is>
      </c>
      <c r="E60" t="inlineStr">
        <is>
          <t>KNIVSTA</t>
        </is>
      </c>
      <c r="G60" t="n">
        <v>2.9</v>
      </c>
      <c r="H60" t="n">
        <v>0</v>
      </c>
      <c r="I60" t="n">
        <v>0</v>
      </c>
      <c r="J60" t="n">
        <v>0</v>
      </c>
      <c r="K60" t="n">
        <v>0</v>
      </c>
      <c r="L60" t="n">
        <v>0</v>
      </c>
      <c r="M60" t="n">
        <v>0</v>
      </c>
      <c r="N60" t="n">
        <v>0</v>
      </c>
      <c r="O60" t="n">
        <v>0</v>
      </c>
      <c r="P60" t="n">
        <v>0</v>
      </c>
      <c r="Q60" t="n">
        <v>0</v>
      </c>
      <c r="R60" s="2" t="inlineStr"/>
    </row>
    <row r="61" ht="15" customHeight="1">
      <c r="A61" t="inlineStr">
        <is>
          <t>A 14267-2025</t>
        </is>
      </c>
      <c r="B61" s="1" t="n">
        <v>45740.63686342593</v>
      </c>
      <c r="C61" s="1" t="n">
        <v>45928</v>
      </c>
      <c r="D61" t="inlineStr">
        <is>
          <t>UPPSALA LÄN</t>
        </is>
      </c>
      <c r="E61" t="inlineStr">
        <is>
          <t>KNIVSTA</t>
        </is>
      </c>
      <c r="G61" t="n">
        <v>3.9</v>
      </c>
      <c r="H61" t="n">
        <v>0</v>
      </c>
      <c r="I61" t="n">
        <v>0</v>
      </c>
      <c r="J61" t="n">
        <v>0</v>
      </c>
      <c r="K61" t="n">
        <v>0</v>
      </c>
      <c r="L61" t="n">
        <v>0</v>
      </c>
      <c r="M61" t="n">
        <v>0</v>
      </c>
      <c r="N61" t="n">
        <v>0</v>
      </c>
      <c r="O61" t="n">
        <v>0</v>
      </c>
      <c r="P61" t="n">
        <v>0</v>
      </c>
      <c r="Q61" t="n">
        <v>0</v>
      </c>
      <c r="R61" s="2" t="inlineStr"/>
    </row>
    <row r="62" ht="15" customHeight="1">
      <c r="A62" t="inlineStr">
        <is>
          <t>A 2629-2025</t>
        </is>
      </c>
      <c r="B62" s="1" t="n">
        <v>45675.6953587963</v>
      </c>
      <c r="C62" s="1" t="n">
        <v>45928</v>
      </c>
      <c r="D62" t="inlineStr">
        <is>
          <t>UPPSALA LÄN</t>
        </is>
      </c>
      <c r="E62" t="inlineStr">
        <is>
          <t>KNIVSTA</t>
        </is>
      </c>
      <c r="G62" t="n">
        <v>1.1</v>
      </c>
      <c r="H62" t="n">
        <v>0</v>
      </c>
      <c r="I62" t="n">
        <v>0</v>
      </c>
      <c r="J62" t="n">
        <v>0</v>
      </c>
      <c r="K62" t="n">
        <v>0</v>
      </c>
      <c r="L62" t="n">
        <v>0</v>
      </c>
      <c r="M62" t="n">
        <v>0</v>
      </c>
      <c r="N62" t="n">
        <v>0</v>
      </c>
      <c r="O62" t="n">
        <v>0</v>
      </c>
      <c r="P62" t="n">
        <v>0</v>
      </c>
      <c r="Q62" t="n">
        <v>0</v>
      </c>
      <c r="R62" s="2" t="inlineStr"/>
    </row>
    <row r="63" ht="15" customHeight="1">
      <c r="A63" t="inlineStr">
        <is>
          <t>A 5320-2023</t>
        </is>
      </c>
      <c r="B63" s="1" t="n">
        <v>44959</v>
      </c>
      <c r="C63" s="1" t="n">
        <v>45928</v>
      </c>
      <c r="D63" t="inlineStr">
        <is>
          <t>UPPSALA LÄN</t>
        </is>
      </c>
      <c r="E63" t="inlineStr">
        <is>
          <t>KNIVSTA</t>
        </is>
      </c>
      <c r="G63" t="n">
        <v>1.5</v>
      </c>
      <c r="H63" t="n">
        <v>0</v>
      </c>
      <c r="I63" t="n">
        <v>0</v>
      </c>
      <c r="J63" t="n">
        <v>0</v>
      </c>
      <c r="K63" t="n">
        <v>0</v>
      </c>
      <c r="L63" t="n">
        <v>0</v>
      </c>
      <c r="M63" t="n">
        <v>0</v>
      </c>
      <c r="N63" t="n">
        <v>0</v>
      </c>
      <c r="O63" t="n">
        <v>0</v>
      </c>
      <c r="P63" t="n">
        <v>0</v>
      </c>
      <c r="Q63" t="n">
        <v>0</v>
      </c>
      <c r="R63" s="2" t="inlineStr"/>
    </row>
    <row r="64" ht="15" customHeight="1">
      <c r="A64" t="inlineStr">
        <is>
          <t>A 5455-2025</t>
        </is>
      </c>
      <c r="B64" s="1" t="n">
        <v>45693</v>
      </c>
      <c r="C64" s="1" t="n">
        <v>45928</v>
      </c>
      <c r="D64" t="inlineStr">
        <is>
          <t>UPPSALA LÄN</t>
        </is>
      </c>
      <c r="E64" t="inlineStr">
        <is>
          <t>KNIVSTA</t>
        </is>
      </c>
      <c r="G64" t="n">
        <v>17.1</v>
      </c>
      <c r="H64" t="n">
        <v>0</v>
      </c>
      <c r="I64" t="n">
        <v>0</v>
      </c>
      <c r="J64" t="n">
        <v>0</v>
      </c>
      <c r="K64" t="n">
        <v>0</v>
      </c>
      <c r="L64" t="n">
        <v>0</v>
      </c>
      <c r="M64" t="n">
        <v>0</v>
      </c>
      <c r="N64" t="n">
        <v>0</v>
      </c>
      <c r="O64" t="n">
        <v>0</v>
      </c>
      <c r="P64" t="n">
        <v>0</v>
      </c>
      <c r="Q64" t="n">
        <v>0</v>
      </c>
      <c r="R64" s="2" t="inlineStr"/>
    </row>
    <row r="65" ht="15" customHeight="1">
      <c r="A65" t="inlineStr">
        <is>
          <t>A 45916-2022</t>
        </is>
      </c>
      <c r="B65" s="1" t="n">
        <v>44846</v>
      </c>
      <c r="C65" s="1" t="n">
        <v>45928</v>
      </c>
      <c r="D65" t="inlineStr">
        <is>
          <t>UPPSALA LÄN</t>
        </is>
      </c>
      <c r="E65" t="inlineStr">
        <is>
          <t>KNIVSTA</t>
        </is>
      </c>
      <c r="G65" t="n">
        <v>3.8</v>
      </c>
      <c r="H65" t="n">
        <v>0</v>
      </c>
      <c r="I65" t="n">
        <v>0</v>
      </c>
      <c r="J65" t="n">
        <v>0</v>
      </c>
      <c r="K65" t="n">
        <v>0</v>
      </c>
      <c r="L65" t="n">
        <v>0</v>
      </c>
      <c r="M65" t="n">
        <v>0</v>
      </c>
      <c r="N65" t="n">
        <v>0</v>
      </c>
      <c r="O65" t="n">
        <v>0</v>
      </c>
      <c r="P65" t="n">
        <v>0</v>
      </c>
      <c r="Q65" t="n">
        <v>0</v>
      </c>
      <c r="R65" s="2" t="inlineStr"/>
    </row>
    <row r="66" ht="15" customHeight="1">
      <c r="A66" t="inlineStr">
        <is>
          <t>A 16396-2025</t>
        </is>
      </c>
      <c r="B66" s="1" t="n">
        <v>45751.44219907407</v>
      </c>
      <c r="C66" s="1" t="n">
        <v>45928</v>
      </c>
      <c r="D66" t="inlineStr">
        <is>
          <t>UPPSALA LÄN</t>
        </is>
      </c>
      <c r="E66" t="inlineStr">
        <is>
          <t>KNIVSTA</t>
        </is>
      </c>
      <c r="G66" t="n">
        <v>5.1</v>
      </c>
      <c r="H66" t="n">
        <v>0</v>
      </c>
      <c r="I66" t="n">
        <v>0</v>
      </c>
      <c r="J66" t="n">
        <v>0</v>
      </c>
      <c r="K66" t="n">
        <v>0</v>
      </c>
      <c r="L66" t="n">
        <v>0</v>
      </c>
      <c r="M66" t="n">
        <v>0</v>
      </c>
      <c r="N66" t="n">
        <v>0</v>
      </c>
      <c r="O66" t="n">
        <v>0</v>
      </c>
      <c r="P66" t="n">
        <v>0</v>
      </c>
      <c r="Q66" t="n">
        <v>0</v>
      </c>
      <c r="R66" s="2" t="inlineStr"/>
    </row>
    <row r="67" ht="15" customHeight="1">
      <c r="A67" t="inlineStr">
        <is>
          <t>A 66293-2021</t>
        </is>
      </c>
      <c r="B67" s="1" t="n">
        <v>44518</v>
      </c>
      <c r="C67" s="1" t="n">
        <v>45928</v>
      </c>
      <c r="D67" t="inlineStr">
        <is>
          <t>UPPSALA LÄN</t>
        </is>
      </c>
      <c r="E67" t="inlineStr">
        <is>
          <t>KNIVSTA</t>
        </is>
      </c>
      <c r="G67" t="n">
        <v>2.6</v>
      </c>
      <c r="H67" t="n">
        <v>0</v>
      </c>
      <c r="I67" t="n">
        <v>0</v>
      </c>
      <c r="J67" t="n">
        <v>0</v>
      </c>
      <c r="K67" t="n">
        <v>0</v>
      </c>
      <c r="L67" t="n">
        <v>0</v>
      </c>
      <c r="M67" t="n">
        <v>0</v>
      </c>
      <c r="N67" t="n">
        <v>0</v>
      </c>
      <c r="O67" t="n">
        <v>0</v>
      </c>
      <c r="P67" t="n">
        <v>0</v>
      </c>
      <c r="Q67" t="n">
        <v>0</v>
      </c>
      <c r="R67" s="2" t="inlineStr"/>
    </row>
    <row r="68" ht="15" customHeight="1">
      <c r="A68" t="inlineStr">
        <is>
          <t>A 17091-2023</t>
        </is>
      </c>
      <c r="B68" s="1" t="n">
        <v>45034.53554398148</v>
      </c>
      <c r="C68" s="1" t="n">
        <v>45928</v>
      </c>
      <c r="D68" t="inlineStr">
        <is>
          <t>UPPSALA LÄN</t>
        </is>
      </c>
      <c r="E68" t="inlineStr">
        <is>
          <t>KNIVSTA</t>
        </is>
      </c>
      <c r="G68" t="n">
        <v>0.8</v>
      </c>
      <c r="H68" t="n">
        <v>0</v>
      </c>
      <c r="I68" t="n">
        <v>0</v>
      </c>
      <c r="J68" t="n">
        <v>0</v>
      </c>
      <c r="K68" t="n">
        <v>0</v>
      </c>
      <c r="L68" t="n">
        <v>0</v>
      </c>
      <c r="M68" t="n">
        <v>0</v>
      </c>
      <c r="N68" t="n">
        <v>0</v>
      </c>
      <c r="O68" t="n">
        <v>0</v>
      </c>
      <c r="P68" t="n">
        <v>0</v>
      </c>
      <c r="Q68" t="n">
        <v>0</v>
      </c>
      <c r="R68" s="2" t="inlineStr"/>
    </row>
    <row r="69" ht="15" customHeight="1">
      <c r="A69" t="inlineStr">
        <is>
          <t>A 13040-2025</t>
        </is>
      </c>
      <c r="B69" s="1" t="n">
        <v>45734.58258101852</v>
      </c>
      <c r="C69" s="1" t="n">
        <v>45928</v>
      </c>
      <c r="D69" t="inlineStr">
        <is>
          <t>UPPSALA LÄN</t>
        </is>
      </c>
      <c r="E69" t="inlineStr">
        <is>
          <t>KNIVSTA</t>
        </is>
      </c>
      <c r="F69" t="inlineStr">
        <is>
          <t>Allmännings- och besparingsskogar</t>
        </is>
      </c>
      <c r="G69" t="n">
        <v>1.6</v>
      </c>
      <c r="H69" t="n">
        <v>0</v>
      </c>
      <c r="I69" t="n">
        <v>0</v>
      </c>
      <c r="J69" t="n">
        <v>0</v>
      </c>
      <c r="K69" t="n">
        <v>0</v>
      </c>
      <c r="L69" t="n">
        <v>0</v>
      </c>
      <c r="M69" t="n">
        <v>0</v>
      </c>
      <c r="N69" t="n">
        <v>0</v>
      </c>
      <c r="O69" t="n">
        <v>0</v>
      </c>
      <c r="P69" t="n">
        <v>0</v>
      </c>
      <c r="Q69" t="n">
        <v>0</v>
      </c>
      <c r="R69" s="2" t="inlineStr"/>
    </row>
    <row r="70" ht="15" customHeight="1">
      <c r="A70" t="inlineStr">
        <is>
          <t>A 2171-2024</t>
        </is>
      </c>
      <c r="B70" s="1" t="n">
        <v>45309</v>
      </c>
      <c r="C70" s="1" t="n">
        <v>45928</v>
      </c>
      <c r="D70" t="inlineStr">
        <is>
          <t>UPPSALA LÄN</t>
        </is>
      </c>
      <c r="E70" t="inlineStr">
        <is>
          <t>KNIVSTA</t>
        </is>
      </c>
      <c r="F70" t="inlineStr">
        <is>
          <t>Holmen skog AB</t>
        </is>
      </c>
      <c r="G70" t="n">
        <v>3.3</v>
      </c>
      <c r="H70" t="n">
        <v>0</v>
      </c>
      <c r="I70" t="n">
        <v>0</v>
      </c>
      <c r="J70" t="n">
        <v>0</v>
      </c>
      <c r="K70" t="n">
        <v>0</v>
      </c>
      <c r="L70" t="n">
        <v>0</v>
      </c>
      <c r="M70" t="n">
        <v>0</v>
      </c>
      <c r="N70" t="n">
        <v>0</v>
      </c>
      <c r="O70" t="n">
        <v>0</v>
      </c>
      <c r="P70" t="n">
        <v>0</v>
      </c>
      <c r="Q70" t="n">
        <v>0</v>
      </c>
      <c r="R70" s="2" t="inlineStr"/>
    </row>
    <row r="71" ht="15" customHeight="1">
      <c r="A71" t="inlineStr">
        <is>
          <t>A 21130-2025</t>
        </is>
      </c>
      <c r="B71" s="1" t="n">
        <v>45778.35857638889</v>
      </c>
      <c r="C71" s="1" t="n">
        <v>45928</v>
      </c>
      <c r="D71" t="inlineStr">
        <is>
          <t>UPPSALA LÄN</t>
        </is>
      </c>
      <c r="E71" t="inlineStr">
        <is>
          <t>KNIVSTA</t>
        </is>
      </c>
      <c r="G71" t="n">
        <v>2.2</v>
      </c>
      <c r="H71" t="n">
        <v>0</v>
      </c>
      <c r="I71" t="n">
        <v>0</v>
      </c>
      <c r="J71" t="n">
        <v>0</v>
      </c>
      <c r="K71" t="n">
        <v>0</v>
      </c>
      <c r="L71" t="n">
        <v>0</v>
      </c>
      <c r="M71" t="n">
        <v>0</v>
      </c>
      <c r="N71" t="n">
        <v>0</v>
      </c>
      <c r="O71" t="n">
        <v>0</v>
      </c>
      <c r="P71" t="n">
        <v>0</v>
      </c>
      <c r="Q71" t="n">
        <v>0</v>
      </c>
      <c r="R71" s="2" t="inlineStr"/>
    </row>
    <row r="72" ht="15" customHeight="1">
      <c r="A72" t="inlineStr">
        <is>
          <t>A 794-2024</t>
        </is>
      </c>
      <c r="B72" s="1" t="n">
        <v>45300.58149305556</v>
      </c>
      <c r="C72" s="1" t="n">
        <v>45928</v>
      </c>
      <c r="D72" t="inlineStr">
        <is>
          <t>UPPSALA LÄN</t>
        </is>
      </c>
      <c r="E72" t="inlineStr">
        <is>
          <t>KNIVSTA</t>
        </is>
      </c>
      <c r="G72" t="n">
        <v>1.6</v>
      </c>
      <c r="H72" t="n">
        <v>0</v>
      </c>
      <c r="I72" t="n">
        <v>0</v>
      </c>
      <c r="J72" t="n">
        <v>0</v>
      </c>
      <c r="K72" t="n">
        <v>0</v>
      </c>
      <c r="L72" t="n">
        <v>0</v>
      </c>
      <c r="M72" t="n">
        <v>0</v>
      </c>
      <c r="N72" t="n">
        <v>0</v>
      </c>
      <c r="O72" t="n">
        <v>0</v>
      </c>
      <c r="P72" t="n">
        <v>0</v>
      </c>
      <c r="Q72" t="n">
        <v>0</v>
      </c>
      <c r="R72" s="2" t="inlineStr"/>
    </row>
    <row r="73" ht="15" customHeight="1">
      <c r="A73" t="inlineStr">
        <is>
          <t>A 68257-2020</t>
        </is>
      </c>
      <c r="B73" s="1" t="n">
        <v>44182</v>
      </c>
      <c r="C73" s="1" t="n">
        <v>45928</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66284-2021</t>
        </is>
      </c>
      <c r="B74" s="1" t="n">
        <v>44518</v>
      </c>
      <c r="C74" s="1" t="n">
        <v>45928</v>
      </c>
      <c r="D74" t="inlineStr">
        <is>
          <t>UPPSALA LÄN</t>
        </is>
      </c>
      <c r="E74" t="inlineStr">
        <is>
          <t>KNIVSTA</t>
        </is>
      </c>
      <c r="G74" t="n">
        <v>6.9</v>
      </c>
      <c r="H74" t="n">
        <v>0</v>
      </c>
      <c r="I74" t="n">
        <v>0</v>
      </c>
      <c r="J74" t="n">
        <v>0</v>
      </c>
      <c r="K74" t="n">
        <v>0</v>
      </c>
      <c r="L74" t="n">
        <v>0</v>
      </c>
      <c r="M74" t="n">
        <v>0</v>
      </c>
      <c r="N74" t="n">
        <v>0</v>
      </c>
      <c r="O74" t="n">
        <v>0</v>
      </c>
      <c r="P74" t="n">
        <v>0</v>
      </c>
      <c r="Q74" t="n">
        <v>0</v>
      </c>
      <c r="R74" s="2" t="inlineStr"/>
    </row>
    <row r="75" ht="15" customHeight="1">
      <c r="A75" t="inlineStr">
        <is>
          <t>A 19676-2025</t>
        </is>
      </c>
      <c r="B75" s="1" t="n">
        <v>45770</v>
      </c>
      <c r="C75" s="1" t="n">
        <v>45928</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8343-2024</t>
        </is>
      </c>
      <c r="B76" s="1" t="n">
        <v>45352</v>
      </c>
      <c r="C76" s="1" t="n">
        <v>45928</v>
      </c>
      <c r="D76" t="inlineStr">
        <is>
          <t>UPPSALA LÄN</t>
        </is>
      </c>
      <c r="E76" t="inlineStr">
        <is>
          <t>KNIVSTA</t>
        </is>
      </c>
      <c r="F76" t="inlineStr">
        <is>
          <t>Holmen skog AB</t>
        </is>
      </c>
      <c r="G76" t="n">
        <v>1.4</v>
      </c>
      <c r="H76" t="n">
        <v>0</v>
      </c>
      <c r="I76" t="n">
        <v>0</v>
      </c>
      <c r="J76" t="n">
        <v>0</v>
      </c>
      <c r="K76" t="n">
        <v>0</v>
      </c>
      <c r="L76" t="n">
        <v>0</v>
      </c>
      <c r="M76" t="n">
        <v>0</v>
      </c>
      <c r="N76" t="n">
        <v>0</v>
      </c>
      <c r="O76" t="n">
        <v>0</v>
      </c>
      <c r="P76" t="n">
        <v>0</v>
      </c>
      <c r="Q76" t="n">
        <v>0</v>
      </c>
      <c r="R76" s="2" t="inlineStr"/>
    </row>
    <row r="77" ht="15" customHeight="1">
      <c r="A77" t="inlineStr">
        <is>
          <t>A 30627-2023</t>
        </is>
      </c>
      <c r="B77" s="1" t="n">
        <v>45112</v>
      </c>
      <c r="C77" s="1" t="n">
        <v>45928</v>
      </c>
      <c r="D77" t="inlineStr">
        <is>
          <t>UPPSALA LÄN</t>
        </is>
      </c>
      <c r="E77" t="inlineStr">
        <is>
          <t>KNIVSTA</t>
        </is>
      </c>
      <c r="F77" t="inlineStr">
        <is>
          <t>Holmen skog AB</t>
        </is>
      </c>
      <c r="G77" t="n">
        <v>1.6</v>
      </c>
      <c r="H77" t="n">
        <v>0</v>
      </c>
      <c r="I77" t="n">
        <v>0</v>
      </c>
      <c r="J77" t="n">
        <v>0</v>
      </c>
      <c r="K77" t="n">
        <v>0</v>
      </c>
      <c r="L77" t="n">
        <v>0</v>
      </c>
      <c r="M77" t="n">
        <v>0</v>
      </c>
      <c r="N77" t="n">
        <v>0</v>
      </c>
      <c r="O77" t="n">
        <v>0</v>
      </c>
      <c r="P77" t="n">
        <v>0</v>
      </c>
      <c r="Q77" t="n">
        <v>0</v>
      </c>
      <c r="R77" s="2" t="inlineStr"/>
    </row>
    <row r="78" ht="15" customHeight="1">
      <c r="A78" t="inlineStr">
        <is>
          <t>A 1629-2024</t>
        </is>
      </c>
      <c r="B78" s="1" t="n">
        <v>45306</v>
      </c>
      <c r="C78" s="1" t="n">
        <v>45928</v>
      </c>
      <c r="D78" t="inlineStr">
        <is>
          <t>UPPSALA LÄN</t>
        </is>
      </c>
      <c r="E78" t="inlineStr">
        <is>
          <t>KNIVSTA</t>
        </is>
      </c>
      <c r="F78" t="inlineStr">
        <is>
          <t>Holmen skog AB</t>
        </is>
      </c>
      <c r="G78" t="n">
        <v>3.6</v>
      </c>
      <c r="H78" t="n">
        <v>0</v>
      </c>
      <c r="I78" t="n">
        <v>0</v>
      </c>
      <c r="J78" t="n">
        <v>0</v>
      </c>
      <c r="K78" t="n">
        <v>0</v>
      </c>
      <c r="L78" t="n">
        <v>0</v>
      </c>
      <c r="M78" t="n">
        <v>0</v>
      </c>
      <c r="N78" t="n">
        <v>0</v>
      </c>
      <c r="O78" t="n">
        <v>0</v>
      </c>
      <c r="P78" t="n">
        <v>0</v>
      </c>
      <c r="Q78" t="n">
        <v>0</v>
      </c>
      <c r="R78" s="2" t="inlineStr"/>
    </row>
    <row r="79" ht="15" customHeight="1">
      <c r="A79" t="inlineStr">
        <is>
          <t>A 20902-2024</t>
        </is>
      </c>
      <c r="B79" s="1" t="n">
        <v>45439.48104166667</v>
      </c>
      <c r="C79" s="1" t="n">
        <v>45928</v>
      </c>
      <c r="D79" t="inlineStr">
        <is>
          <t>UPPSALA LÄN</t>
        </is>
      </c>
      <c r="E79" t="inlineStr">
        <is>
          <t>KNIVSTA</t>
        </is>
      </c>
      <c r="G79" t="n">
        <v>1</v>
      </c>
      <c r="H79" t="n">
        <v>0</v>
      </c>
      <c r="I79" t="n">
        <v>0</v>
      </c>
      <c r="J79" t="n">
        <v>0</v>
      </c>
      <c r="K79" t="n">
        <v>0</v>
      </c>
      <c r="L79" t="n">
        <v>0</v>
      </c>
      <c r="M79" t="n">
        <v>0</v>
      </c>
      <c r="N79" t="n">
        <v>0</v>
      </c>
      <c r="O79" t="n">
        <v>0</v>
      </c>
      <c r="P79" t="n">
        <v>0</v>
      </c>
      <c r="Q79" t="n">
        <v>0</v>
      </c>
      <c r="R79" s="2" t="inlineStr"/>
    </row>
    <row r="80" ht="15" customHeight="1">
      <c r="A80" t="inlineStr">
        <is>
          <t>A 26226-2025</t>
        </is>
      </c>
      <c r="B80" s="1" t="n">
        <v>45805.55829861111</v>
      </c>
      <c r="C80" s="1" t="n">
        <v>45928</v>
      </c>
      <c r="D80" t="inlineStr">
        <is>
          <t>UPPSALA LÄN</t>
        </is>
      </c>
      <c r="E80" t="inlineStr">
        <is>
          <t>KNIVSTA</t>
        </is>
      </c>
      <c r="G80" t="n">
        <v>9.1</v>
      </c>
      <c r="H80" t="n">
        <v>0</v>
      </c>
      <c r="I80" t="n">
        <v>0</v>
      </c>
      <c r="J80" t="n">
        <v>0</v>
      </c>
      <c r="K80" t="n">
        <v>0</v>
      </c>
      <c r="L80" t="n">
        <v>0</v>
      </c>
      <c r="M80" t="n">
        <v>0</v>
      </c>
      <c r="N80" t="n">
        <v>0</v>
      </c>
      <c r="O80" t="n">
        <v>0</v>
      </c>
      <c r="P80" t="n">
        <v>0</v>
      </c>
      <c r="Q80" t="n">
        <v>0</v>
      </c>
      <c r="R80" s="2" t="inlineStr"/>
    </row>
    <row r="81" ht="15" customHeight="1">
      <c r="A81" t="inlineStr">
        <is>
          <t>A 60885-2021</t>
        </is>
      </c>
      <c r="B81" s="1" t="n">
        <v>44497</v>
      </c>
      <c r="C81" s="1" t="n">
        <v>45928</v>
      </c>
      <c r="D81" t="inlineStr">
        <is>
          <t>UPPSALA LÄN</t>
        </is>
      </c>
      <c r="E81" t="inlineStr">
        <is>
          <t>KNIVSTA</t>
        </is>
      </c>
      <c r="G81" t="n">
        <v>1.5</v>
      </c>
      <c r="H81" t="n">
        <v>0</v>
      </c>
      <c r="I81" t="n">
        <v>0</v>
      </c>
      <c r="J81" t="n">
        <v>0</v>
      </c>
      <c r="K81" t="n">
        <v>0</v>
      </c>
      <c r="L81" t="n">
        <v>0</v>
      </c>
      <c r="M81" t="n">
        <v>0</v>
      </c>
      <c r="N81" t="n">
        <v>0</v>
      </c>
      <c r="O81" t="n">
        <v>0</v>
      </c>
      <c r="P81" t="n">
        <v>0</v>
      </c>
      <c r="Q81" t="n">
        <v>0</v>
      </c>
      <c r="R81" s="2" t="inlineStr"/>
    </row>
    <row r="82" ht="15" customHeight="1">
      <c r="A82" t="inlineStr">
        <is>
          <t>A 28189-2025</t>
        </is>
      </c>
      <c r="B82" s="1" t="n">
        <v>45818.41357638889</v>
      </c>
      <c r="C82" s="1" t="n">
        <v>45928</v>
      </c>
      <c r="D82" t="inlineStr">
        <is>
          <t>UPPSALA LÄN</t>
        </is>
      </c>
      <c r="E82" t="inlineStr">
        <is>
          <t>KNIVSTA</t>
        </is>
      </c>
      <c r="G82" t="n">
        <v>7.6</v>
      </c>
      <c r="H82" t="n">
        <v>0</v>
      </c>
      <c r="I82" t="n">
        <v>0</v>
      </c>
      <c r="J82" t="n">
        <v>0</v>
      </c>
      <c r="K82" t="n">
        <v>0</v>
      </c>
      <c r="L82" t="n">
        <v>0</v>
      </c>
      <c r="M82" t="n">
        <v>0</v>
      </c>
      <c r="N82" t="n">
        <v>0</v>
      </c>
      <c r="O82" t="n">
        <v>0</v>
      </c>
      <c r="P82" t="n">
        <v>0</v>
      </c>
      <c r="Q82" t="n">
        <v>0</v>
      </c>
      <c r="R82" s="2" t="inlineStr"/>
    </row>
    <row r="83" ht="15" customHeight="1">
      <c r="A83" t="inlineStr">
        <is>
          <t>A 3191-2024</t>
        </is>
      </c>
      <c r="B83" s="1" t="n">
        <v>45316.67186342592</v>
      </c>
      <c r="C83" s="1" t="n">
        <v>45928</v>
      </c>
      <c r="D83" t="inlineStr">
        <is>
          <t>UPPSALA LÄN</t>
        </is>
      </c>
      <c r="E83" t="inlineStr">
        <is>
          <t>KNIVSTA</t>
        </is>
      </c>
      <c r="G83" t="n">
        <v>0.6</v>
      </c>
      <c r="H83" t="n">
        <v>0</v>
      </c>
      <c r="I83" t="n">
        <v>0</v>
      </c>
      <c r="J83" t="n">
        <v>0</v>
      </c>
      <c r="K83" t="n">
        <v>0</v>
      </c>
      <c r="L83" t="n">
        <v>0</v>
      </c>
      <c r="M83" t="n">
        <v>0</v>
      </c>
      <c r="N83" t="n">
        <v>0</v>
      </c>
      <c r="O83" t="n">
        <v>0</v>
      </c>
      <c r="P83" t="n">
        <v>0</v>
      </c>
      <c r="Q83" t="n">
        <v>0</v>
      </c>
      <c r="R83" s="2" t="inlineStr"/>
    </row>
    <row r="84" ht="15" customHeight="1">
      <c r="A84" t="inlineStr">
        <is>
          <t>A 33975-2025</t>
        </is>
      </c>
      <c r="B84" s="1" t="n">
        <v>45843.30805555556</v>
      </c>
      <c r="C84" s="1" t="n">
        <v>45928</v>
      </c>
      <c r="D84" t="inlineStr">
        <is>
          <t>UPPSALA LÄN</t>
        </is>
      </c>
      <c r="E84" t="inlineStr">
        <is>
          <t>KNIVSTA</t>
        </is>
      </c>
      <c r="G84" t="n">
        <v>1.5</v>
      </c>
      <c r="H84" t="n">
        <v>0</v>
      </c>
      <c r="I84" t="n">
        <v>0</v>
      </c>
      <c r="J84" t="n">
        <v>0</v>
      </c>
      <c r="K84" t="n">
        <v>0</v>
      </c>
      <c r="L84" t="n">
        <v>0</v>
      </c>
      <c r="M84" t="n">
        <v>0</v>
      </c>
      <c r="N84" t="n">
        <v>0</v>
      </c>
      <c r="O84" t="n">
        <v>0</v>
      </c>
      <c r="P84" t="n">
        <v>0</v>
      </c>
      <c r="Q84" t="n">
        <v>0</v>
      </c>
      <c r="R84" s="2" t="inlineStr"/>
    </row>
    <row r="85" ht="15" customHeight="1">
      <c r="A85" t="inlineStr">
        <is>
          <t>A 33974-2025</t>
        </is>
      </c>
      <c r="B85" s="1" t="n">
        <v>45843.305625</v>
      </c>
      <c r="C85" s="1" t="n">
        <v>45928</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33976-2025</t>
        </is>
      </c>
      <c r="B86" s="1" t="n">
        <v>45843</v>
      </c>
      <c r="C86" s="1" t="n">
        <v>45928</v>
      </c>
      <c r="D86" t="inlineStr">
        <is>
          <t>UPPSALA LÄN</t>
        </is>
      </c>
      <c r="E86" t="inlineStr">
        <is>
          <t>KNIVSTA</t>
        </is>
      </c>
      <c r="G86" t="n">
        <v>6.1</v>
      </c>
      <c r="H86" t="n">
        <v>0</v>
      </c>
      <c r="I86" t="n">
        <v>0</v>
      </c>
      <c r="J86" t="n">
        <v>0</v>
      </c>
      <c r="K86" t="n">
        <v>0</v>
      </c>
      <c r="L86" t="n">
        <v>0</v>
      </c>
      <c r="M86" t="n">
        <v>0</v>
      </c>
      <c r="N86" t="n">
        <v>0</v>
      </c>
      <c r="O86" t="n">
        <v>0</v>
      </c>
      <c r="P86" t="n">
        <v>0</v>
      </c>
      <c r="Q86" t="n">
        <v>0</v>
      </c>
      <c r="R86" s="2" t="inlineStr"/>
    </row>
    <row r="87" ht="15" customHeight="1">
      <c r="A87" t="inlineStr">
        <is>
          <t>A 45525-2023</t>
        </is>
      </c>
      <c r="B87" s="1" t="n">
        <v>45194</v>
      </c>
      <c r="C87" s="1" t="n">
        <v>45928</v>
      </c>
      <c r="D87" t="inlineStr">
        <is>
          <t>UPPSALA LÄN</t>
        </is>
      </c>
      <c r="E87" t="inlineStr">
        <is>
          <t>KNIVSTA</t>
        </is>
      </c>
      <c r="G87" t="n">
        <v>0.7</v>
      </c>
      <c r="H87" t="n">
        <v>0</v>
      </c>
      <c r="I87" t="n">
        <v>0</v>
      </c>
      <c r="J87" t="n">
        <v>0</v>
      </c>
      <c r="K87" t="n">
        <v>0</v>
      </c>
      <c r="L87" t="n">
        <v>0</v>
      </c>
      <c r="M87" t="n">
        <v>0</v>
      </c>
      <c r="N87" t="n">
        <v>0</v>
      </c>
      <c r="O87" t="n">
        <v>0</v>
      </c>
      <c r="P87" t="n">
        <v>0</v>
      </c>
      <c r="Q87" t="n">
        <v>0</v>
      </c>
      <c r="R87" s="2" t="inlineStr"/>
    </row>
    <row r="88" ht="15" customHeight="1">
      <c r="A88" t="inlineStr">
        <is>
          <t>A 16773-2022</t>
        </is>
      </c>
      <c r="B88" s="1" t="n">
        <v>44673</v>
      </c>
      <c r="C88" s="1" t="n">
        <v>45928</v>
      </c>
      <c r="D88" t="inlineStr">
        <is>
          <t>UPPSALA LÄN</t>
        </is>
      </c>
      <c r="E88" t="inlineStr">
        <is>
          <t>KNIVSTA</t>
        </is>
      </c>
      <c r="G88" t="n">
        <v>1.9</v>
      </c>
      <c r="H88" t="n">
        <v>0</v>
      </c>
      <c r="I88" t="n">
        <v>0</v>
      </c>
      <c r="J88" t="n">
        <v>0</v>
      </c>
      <c r="K88" t="n">
        <v>0</v>
      </c>
      <c r="L88" t="n">
        <v>0</v>
      </c>
      <c r="M88" t="n">
        <v>0</v>
      </c>
      <c r="N88" t="n">
        <v>0</v>
      </c>
      <c r="O88" t="n">
        <v>0</v>
      </c>
      <c r="P88" t="n">
        <v>0</v>
      </c>
      <c r="Q88" t="n">
        <v>0</v>
      </c>
      <c r="R88" s="2" t="inlineStr"/>
    </row>
    <row r="89" ht="15" customHeight="1">
      <c r="A89" t="inlineStr">
        <is>
          <t>A 30764-2023</t>
        </is>
      </c>
      <c r="B89" s="1" t="n">
        <v>45112</v>
      </c>
      <c r="C89" s="1" t="n">
        <v>45928</v>
      </c>
      <c r="D89" t="inlineStr">
        <is>
          <t>UPPSALA LÄN</t>
        </is>
      </c>
      <c r="E89" t="inlineStr">
        <is>
          <t>KNIVSTA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51849-2023</t>
        </is>
      </c>
      <c r="B90" s="1" t="n">
        <v>45223.34391203704</v>
      </c>
      <c r="C90" s="1" t="n">
        <v>45928</v>
      </c>
      <c r="D90" t="inlineStr">
        <is>
          <t>UPPSALA LÄN</t>
        </is>
      </c>
      <c r="E90" t="inlineStr">
        <is>
          <t>KNIVSTA</t>
        </is>
      </c>
      <c r="G90" t="n">
        <v>16.3</v>
      </c>
      <c r="H90" t="n">
        <v>0</v>
      </c>
      <c r="I90" t="n">
        <v>0</v>
      </c>
      <c r="J90" t="n">
        <v>0</v>
      </c>
      <c r="K90" t="n">
        <v>0</v>
      </c>
      <c r="L90" t="n">
        <v>0</v>
      </c>
      <c r="M90" t="n">
        <v>0</v>
      </c>
      <c r="N90" t="n">
        <v>0</v>
      </c>
      <c r="O90" t="n">
        <v>0</v>
      </c>
      <c r="P90" t="n">
        <v>0</v>
      </c>
      <c r="Q90" t="n">
        <v>0</v>
      </c>
      <c r="R90" s="2" t="inlineStr"/>
    </row>
    <row r="91" ht="15" customHeight="1">
      <c r="A91" t="inlineStr">
        <is>
          <t>A 60018-2024</t>
        </is>
      </c>
      <c r="B91" s="1" t="n">
        <v>45642</v>
      </c>
      <c r="C91" s="1" t="n">
        <v>45928</v>
      </c>
      <c r="D91" t="inlineStr">
        <is>
          <t>UPPSALA LÄN</t>
        </is>
      </c>
      <c r="E91" t="inlineStr">
        <is>
          <t>KNIVSTA</t>
        </is>
      </c>
      <c r="G91" t="n">
        <v>4.1</v>
      </c>
      <c r="H91" t="n">
        <v>0</v>
      </c>
      <c r="I91" t="n">
        <v>0</v>
      </c>
      <c r="J91" t="n">
        <v>0</v>
      </c>
      <c r="K91" t="n">
        <v>0</v>
      </c>
      <c r="L91" t="n">
        <v>0</v>
      </c>
      <c r="M91" t="n">
        <v>0</v>
      </c>
      <c r="N91" t="n">
        <v>0</v>
      </c>
      <c r="O91" t="n">
        <v>0</v>
      </c>
      <c r="P91" t="n">
        <v>0</v>
      </c>
      <c r="Q91" t="n">
        <v>0</v>
      </c>
      <c r="R91" s="2" t="inlineStr"/>
    </row>
    <row r="92" ht="15" customHeight="1">
      <c r="A92" t="inlineStr">
        <is>
          <t>A 17333-2024</t>
        </is>
      </c>
      <c r="B92" s="1" t="n">
        <v>45414.5625462963</v>
      </c>
      <c r="C92" s="1" t="n">
        <v>45928</v>
      </c>
      <c r="D92" t="inlineStr">
        <is>
          <t>UPPSALA LÄN</t>
        </is>
      </c>
      <c r="E92" t="inlineStr">
        <is>
          <t>KNIVSTA</t>
        </is>
      </c>
      <c r="G92" t="n">
        <v>0.9</v>
      </c>
      <c r="H92" t="n">
        <v>0</v>
      </c>
      <c r="I92" t="n">
        <v>0</v>
      </c>
      <c r="J92" t="n">
        <v>0</v>
      </c>
      <c r="K92" t="n">
        <v>0</v>
      </c>
      <c r="L92" t="n">
        <v>0</v>
      </c>
      <c r="M92" t="n">
        <v>0</v>
      </c>
      <c r="N92" t="n">
        <v>0</v>
      </c>
      <c r="O92" t="n">
        <v>0</v>
      </c>
      <c r="P92" t="n">
        <v>0</v>
      </c>
      <c r="Q92" t="n">
        <v>0</v>
      </c>
      <c r="R92" s="2" t="inlineStr"/>
    </row>
    <row r="93" ht="15" customHeight="1">
      <c r="A93" t="inlineStr">
        <is>
          <t>A 1791-2024</t>
        </is>
      </c>
      <c r="B93" s="1" t="n">
        <v>45307.574375</v>
      </c>
      <c r="C93" s="1" t="n">
        <v>45928</v>
      </c>
      <c r="D93" t="inlineStr">
        <is>
          <t>UPPSALA LÄN</t>
        </is>
      </c>
      <c r="E93" t="inlineStr">
        <is>
          <t>KNIVSTA</t>
        </is>
      </c>
      <c r="G93" t="n">
        <v>1.4</v>
      </c>
      <c r="H93" t="n">
        <v>0</v>
      </c>
      <c r="I93" t="n">
        <v>0</v>
      </c>
      <c r="J93" t="n">
        <v>0</v>
      </c>
      <c r="K93" t="n">
        <v>0</v>
      </c>
      <c r="L93" t="n">
        <v>0</v>
      </c>
      <c r="M93" t="n">
        <v>0</v>
      </c>
      <c r="N93" t="n">
        <v>0</v>
      </c>
      <c r="O93" t="n">
        <v>0</v>
      </c>
      <c r="P93" t="n">
        <v>0</v>
      </c>
      <c r="Q93" t="n">
        <v>0</v>
      </c>
      <c r="R93" s="2" t="inlineStr"/>
    </row>
    <row r="94" ht="15" customHeight="1">
      <c r="A94" t="inlineStr">
        <is>
          <t>A 66305-2021</t>
        </is>
      </c>
      <c r="B94" s="1" t="n">
        <v>44518</v>
      </c>
      <c r="C94" s="1" t="n">
        <v>45928</v>
      </c>
      <c r="D94" t="inlineStr">
        <is>
          <t>UPPSALA LÄN</t>
        </is>
      </c>
      <c r="E94" t="inlineStr">
        <is>
          <t>KNIVSTA</t>
        </is>
      </c>
      <c r="G94" t="n">
        <v>8.300000000000001</v>
      </c>
      <c r="H94" t="n">
        <v>0</v>
      </c>
      <c r="I94" t="n">
        <v>0</v>
      </c>
      <c r="J94" t="n">
        <v>0</v>
      </c>
      <c r="K94" t="n">
        <v>0</v>
      </c>
      <c r="L94" t="n">
        <v>0</v>
      </c>
      <c r="M94" t="n">
        <v>0</v>
      </c>
      <c r="N94" t="n">
        <v>0</v>
      </c>
      <c r="O94" t="n">
        <v>0</v>
      </c>
      <c r="P94" t="n">
        <v>0</v>
      </c>
      <c r="Q94" t="n">
        <v>0</v>
      </c>
      <c r="R94" s="2" t="inlineStr"/>
    </row>
    <row r="95">
      <c r="A95" t="inlineStr">
        <is>
          <t>A 2628-2025</t>
        </is>
      </c>
      <c r="B95" s="1" t="n">
        <v>45675.68435185185</v>
      </c>
      <c r="C95" s="1" t="n">
        <v>45928</v>
      </c>
      <c r="D95" t="inlineStr">
        <is>
          <t>UPPSALA LÄN</t>
        </is>
      </c>
      <c r="E95" t="inlineStr">
        <is>
          <t>KNIVSTA</t>
        </is>
      </c>
      <c r="G95" t="n">
        <v>2.9</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2025-09-28T12:17:19Z</dcterms:created>
  <dcterms:modified xmlns:dcterms="http://purl.org/dc/terms/" xmlns:xsi="http://www.w3.org/2001/XMLSchema-instance" xsi:type="dcterms:W3CDTF">2025-09-28T12:17:20Z</dcterms:modified>
</cp:coreProperties>
</file>