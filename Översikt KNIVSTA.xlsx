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46317</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46317</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46317</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46317</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46317</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46317</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46317</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46317</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46317</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61768-2025</t>
        </is>
      </c>
      <c r="B19" t="inlineStr">
        <is>
          <t>avverkningsanmälan</t>
        </is>
      </c>
      <c r="C19" t="inlineStr">
        <is>
          <t>Föryngringsavverkning</t>
        </is>
      </c>
      <c r="D19" s="1" t="n">
        <v>46002</v>
      </c>
      <c r="E19" s="1" t="n">
        <v>46317</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A 13004-2026</t>
        </is>
      </c>
      <c r="B20" t="inlineStr">
        <is>
          <t>avverkningsanmälan</t>
        </is>
      </c>
      <c r="C20" t="inlineStr">
        <is>
          <t>Föryngringsavverkning</t>
        </is>
      </c>
      <c r="D20" s="1" t="n">
        <v>46092</v>
      </c>
      <c r="E20" s="1" t="n">
        <v>46317</v>
      </c>
      <c r="F20" t="inlineStr">
        <is>
          <t>UPPSALA LÄN</t>
        </is>
      </c>
      <c r="G20" t="inlineStr">
        <is>
          <t>KNIVSTA</t>
        </is>
      </c>
      <c r="H20" t="inlineStr">
        <is>
          <t>Holmen skog AB</t>
        </is>
      </c>
      <c r="I20" t="n">
        <v>7.8</v>
      </c>
      <c r="J20" t="n">
        <v>2</v>
      </c>
      <c r="K20" t="n">
        <v>0</v>
      </c>
      <c r="L20" t="n">
        <v>0</v>
      </c>
      <c r="M20" t="n">
        <v>1</v>
      </c>
      <c r="N20" t="n">
        <v>0</v>
      </c>
      <c r="O20" t="n">
        <v>0</v>
      </c>
      <c r="P20" t="n">
        <v>0</v>
      </c>
      <c r="Q20" t="n">
        <v>1</v>
      </c>
      <c r="R20" t="n">
        <v>1</v>
      </c>
      <c r="S20" t="n">
        <v>2</v>
      </c>
      <c r="T20" t="n">
        <v>2</v>
      </c>
      <c r="U20" t="n">
        <v>2</v>
      </c>
      <c r="V20" s="2" t="inlineStr">
        <is>
          <t>Knärot
Spillkråka</t>
        </is>
      </c>
      <c r="W20">
        <f>HYPERLINK("https://klasma.github.io/Logging_0330/artfynd/A 13004-2026 artfynd.xlsx", "A 13004-2026")</f>
        <v/>
      </c>
      <c r="X20">
        <f>HYPERLINK("https://klasma.github.io/Logging_0330/kartor/A 13004-2026 karta.png", "A 13004-2026")</f>
        <v/>
      </c>
      <c r="Y20">
        <f>HYPERLINK("https://klasma.github.io/Logging_0330/kartor_geotiff/A 13004-2026 georefererad karta.tif", "A 13004-2026")</f>
        <v/>
      </c>
      <c r="Z20">
        <f>HYPERLINK("https://klasma.github.io/Logging_0330/knärot/A 13004-2026 karta knärot.png", "A 13004-2026")</f>
        <v/>
      </c>
      <c r="AA20">
        <f>HYPERLINK("https://klasma.github.io/Logging_0330/klagomål/A 13004-2026 FSC-klagomål.docx", "A 13004-2026")</f>
        <v/>
      </c>
      <c r="AB20">
        <f>HYPERLINK("https://klasma.github.io/Logging_0330/klagomålsmail/A 13004-2026 FSC-klagomål mail.docx", "A 13004-2026")</f>
        <v/>
      </c>
      <c r="AC20">
        <f>HYPERLINK("https://klasma.github.io/Logging_0330/tillsyn/A 13004-2026 tillsynsbegäran.docx", "A 13004-2026")</f>
        <v/>
      </c>
      <c r="AD20">
        <f>HYPERLINK("https://klasma.github.io/Logging_0330/tillsynsmail/A 13004-2026 tillsynsbegäran mail.docx", "A 13004-2026")</f>
        <v/>
      </c>
      <c r="AE20">
        <f>HYPERLINK("https://klasma.github.io/Logging_0330/fåglar/A 13004-2026 prioriterade fågelarter.docx", "A 13004-2026")</f>
        <v/>
      </c>
    </row>
    <row r="21" ht="15" customHeight="1">
      <c r="A21" t="inlineStr">
        <is>
          <t>A 18576-2026</t>
        </is>
      </c>
      <c r="B21" t="inlineStr">
        <is>
          <t>avverkningsanmälan</t>
        </is>
      </c>
      <c r="C21" t="inlineStr">
        <is>
          <t>Föryngringsavverkning</t>
        </is>
      </c>
      <c r="D21" s="1" t="n">
        <v>46127</v>
      </c>
      <c r="E21" s="1" t="n">
        <v>46317</v>
      </c>
      <c r="F21" t="inlineStr">
        <is>
          <t>UPPSALA LÄN</t>
        </is>
      </c>
      <c r="G21" t="inlineStr">
        <is>
          <t>KNIVSTA</t>
        </is>
      </c>
      <c r="I21" t="n">
        <v>4.8</v>
      </c>
      <c r="J21" t="n">
        <v>1</v>
      </c>
      <c r="K21" t="n">
        <v>0</v>
      </c>
      <c r="L21" t="n">
        <v>0</v>
      </c>
      <c r="M21" t="n">
        <v>0</v>
      </c>
      <c r="N21" t="n">
        <v>0</v>
      </c>
      <c r="O21" t="n">
        <v>0</v>
      </c>
      <c r="P21" t="n">
        <v>0</v>
      </c>
      <c r="Q21" t="n">
        <v>0</v>
      </c>
      <c r="R21" t="n">
        <v>0</v>
      </c>
      <c r="S21" t="n">
        <v>2</v>
      </c>
      <c r="T21" t="n">
        <v>7</v>
      </c>
      <c r="U21" t="n">
        <v>7</v>
      </c>
      <c r="V21" s="2" t="inlineStr">
        <is>
          <t>Blåsippa
Kransmossa</t>
        </is>
      </c>
      <c r="W21">
        <f>HYPERLINK("https://klasma.github.io/Logging_0330/artfynd/A 18576-2026 artfynd.xlsx", "A 18576-2026")</f>
        <v/>
      </c>
      <c r="X21">
        <f>HYPERLINK("https://klasma.github.io/Logging_0330/kartor/A 18576-2026 karta.png", "A 18576-2026")</f>
        <v/>
      </c>
      <c r="Y21">
        <f>HYPERLINK("https://klasma.github.io/Logging_0330/kartor_geotiff/A 18576-2026 georefererad karta.tif", "A 18576-2026")</f>
        <v/>
      </c>
      <c r="AA21">
        <f>HYPERLINK("https://klasma.github.io/Logging_0330/klagomål/A 18576-2026 FSC-klagomål.docx", "A 18576-2026")</f>
        <v/>
      </c>
      <c r="AB21">
        <f>HYPERLINK("https://klasma.github.io/Logging_0330/klagomålsmail/A 18576-2026 FSC-klagomål mail.docx", "A 18576-2026")</f>
        <v/>
      </c>
      <c r="AC21">
        <f>HYPERLINK("https://klasma.github.io/Logging_0330/tillsyn/A 18576-2026 tillsynsbegäran.docx", "A 18576-2026")</f>
        <v/>
      </c>
      <c r="AD21">
        <f>HYPERLINK("https://klasma.github.io/Logging_0330/tillsynsmail/A 18576-2026 tillsynsbegäran mail.docx", "A 18576-2026")</f>
        <v/>
      </c>
    </row>
    <row r="22" ht="15" customHeight="1">
      <c r="A22" t="inlineStr">
        <is>
          <t>A 37356-2026</t>
        </is>
      </c>
      <c r="B22" t="inlineStr">
        <is>
          <t>avverkningsanmälan</t>
        </is>
      </c>
      <c r="C22" t="inlineStr">
        <is>
          <t>Föryngringsavverkning</t>
        </is>
      </c>
      <c r="D22" s="1" t="n">
        <v>46275</v>
      </c>
      <c r="E22" s="1" t="n">
        <v>46317</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46317</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5402-2023</t>
        </is>
      </c>
      <c r="B24" t="inlineStr">
        <is>
          <t>avverkningsanmälan</t>
        </is>
      </c>
      <c r="C24" t="inlineStr">
        <is>
          <t>Föryngringsavverkning</t>
        </is>
      </c>
      <c r="D24" s="1" t="n">
        <v>44959</v>
      </c>
      <c r="E24" s="1" t="n">
        <v>46317</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46317</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46317</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11405-2025</t>
        </is>
      </c>
      <c r="B27" t="inlineStr">
        <is>
          <t>avverkningsanmälan</t>
        </is>
      </c>
      <c r="C27" t="inlineStr">
        <is>
          <t>Föryngringsavverkning</t>
        </is>
      </c>
      <c r="D27" s="1" t="n">
        <v>45726</v>
      </c>
      <c r="E27" s="1" t="n">
        <v>46317</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9561-2026</t>
        </is>
      </c>
      <c r="B28" t="inlineStr">
        <is>
          <t>avverkningsanmälan</t>
        </is>
      </c>
      <c r="C28" t="inlineStr">
        <is>
          <t>Föryngringsavverkning</t>
        </is>
      </c>
      <c r="D28" s="1" t="n">
        <v>46071</v>
      </c>
      <c r="E28" s="1" t="n">
        <v>46317</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12991-2026</t>
        </is>
      </c>
      <c r="B29" t="inlineStr">
        <is>
          <t>avverkningsanmälan</t>
        </is>
      </c>
      <c r="C29" t="inlineStr">
        <is>
          <t>Föryngringsavverkning</t>
        </is>
      </c>
      <c r="D29" s="1" t="n">
        <v>46092</v>
      </c>
      <c r="E29" s="1" t="n">
        <v>46317</v>
      </c>
      <c r="F29" t="inlineStr">
        <is>
          <t>UPPSALA LÄN</t>
        </is>
      </c>
      <c r="G29" t="inlineStr">
        <is>
          <t>KNIVSTA</t>
        </is>
      </c>
      <c r="H29" t="inlineStr">
        <is>
          <t>Holmen skog AB</t>
        </is>
      </c>
      <c r="I29" t="n">
        <v>4.6</v>
      </c>
      <c r="J29" t="n">
        <v>1</v>
      </c>
      <c r="K29" t="n">
        <v>0</v>
      </c>
      <c r="L29" t="n">
        <v>0</v>
      </c>
      <c r="M29" t="n">
        <v>0</v>
      </c>
      <c r="N29" t="n">
        <v>0</v>
      </c>
      <c r="O29" t="n">
        <v>0</v>
      </c>
      <c r="P29" t="n">
        <v>0</v>
      </c>
      <c r="Q29" t="n">
        <v>0</v>
      </c>
      <c r="R29" t="n">
        <v>0</v>
      </c>
      <c r="S29" t="n">
        <v>1</v>
      </c>
      <c r="T29" t="n">
        <v>1</v>
      </c>
      <c r="U29" t="n">
        <v>1</v>
      </c>
      <c r="V29" s="2" t="inlineStr">
        <is>
          <t>Tjäder</t>
        </is>
      </c>
      <c r="W29">
        <f>HYPERLINK("https://klasma.github.io/Logging_0330/artfynd/A 12991-2026 artfynd.xlsx", "A 12991-2026")</f>
        <v/>
      </c>
      <c r="X29">
        <f>HYPERLINK("https://klasma.github.io/Logging_0330/kartor/A 12991-2026 karta.png", "A 12991-2026")</f>
        <v/>
      </c>
      <c r="Y29">
        <f>HYPERLINK("https://klasma.github.io/Logging_0330/kartor_geotiff/A 12991-2026 georefererad karta.tif", "A 12991-2026")</f>
        <v/>
      </c>
      <c r="AA29">
        <f>HYPERLINK("https://klasma.github.io/Logging_0330/klagomål/A 12991-2026 FSC-klagomål.docx", "A 12991-2026")</f>
        <v/>
      </c>
      <c r="AB29">
        <f>HYPERLINK("https://klasma.github.io/Logging_0330/klagomålsmail/A 12991-2026 FSC-klagomål mail.docx", "A 12991-2026")</f>
        <v/>
      </c>
      <c r="AC29">
        <f>HYPERLINK("https://klasma.github.io/Logging_0330/tillsyn/A 12991-2026 tillsynsbegäran.docx", "A 12991-2026")</f>
        <v/>
      </c>
      <c r="AD29">
        <f>HYPERLINK("https://klasma.github.io/Logging_0330/tillsynsmail/A 12991-2026 tillsynsbegäran mail.docx", "A 12991-2026")</f>
        <v/>
      </c>
      <c r="AE29">
        <f>HYPERLINK("https://klasma.github.io/Logging_0330/fåglar/A 12991-2026 prioriterade fågelarter.docx", "A 12991-2026")</f>
        <v/>
      </c>
    </row>
    <row r="30" ht="15" customHeight="1">
      <c r="A30" t="inlineStr">
        <is>
          <t>A 33770-2023</t>
        </is>
      </c>
      <c r="B30" t="inlineStr">
        <is>
          <t>avverkningsanmälan</t>
        </is>
      </c>
      <c r="C30" t="inlineStr">
        <is>
          <t>Föryngringsavverkning</t>
        </is>
      </c>
      <c r="D30" s="1" t="n">
        <v>45133</v>
      </c>
      <c r="E30" s="1" t="n">
        <v>46317</v>
      </c>
      <c r="F30" t="inlineStr">
        <is>
          <t>UPPSALA LÄN</t>
        </is>
      </c>
      <c r="G30" t="inlineStr">
        <is>
          <t>KNIVSTA</t>
        </is>
      </c>
      <c r="H30" t="inlineStr">
        <is>
          <t>Holmen skog AB</t>
        </is>
      </c>
      <c r="I30" t="n">
        <v>4</v>
      </c>
      <c r="J30" t="n">
        <v>1</v>
      </c>
      <c r="K30" t="n">
        <v>0</v>
      </c>
      <c r="L30" t="n">
        <v>0</v>
      </c>
      <c r="M30" t="n">
        <v>0</v>
      </c>
      <c r="N30" t="n">
        <v>0</v>
      </c>
      <c r="O30" t="n">
        <v>0</v>
      </c>
      <c r="P30" t="n">
        <v>0</v>
      </c>
      <c r="Q30" t="n">
        <v>0</v>
      </c>
      <c r="R30" t="n">
        <v>0</v>
      </c>
      <c r="S30" t="n">
        <v>1</v>
      </c>
      <c r="T30" t="n">
        <v>1</v>
      </c>
      <c r="U30" t="n">
        <v>0</v>
      </c>
      <c r="V30" s="2" t="inlineStr">
        <is>
          <t>Slaguggla</t>
        </is>
      </c>
      <c r="W30">
        <f>HYPERLINK("https://klasma.github.io/Logging_0330/artfynd/A 33770-2023 artfynd.xlsx", "A 33770-2023")</f>
        <v/>
      </c>
      <c r="X30">
        <f>HYPERLINK("https://klasma.github.io/Logging_0330/kartor/A 33770-2023 karta.png", "A 33770-2023")</f>
        <v/>
      </c>
      <c r="Y30">
        <f>HYPERLINK("https://klasma.github.io/Logging_0330/kartor_geotiff/A 33770-2023 georefererad karta.tif", "A 33770-2023")</f>
        <v/>
      </c>
      <c r="AA30">
        <f>HYPERLINK("https://klasma.github.io/Logging_0330/klagomål/A 33770-2023 FSC-klagomål.docx", "A 33770-2023")</f>
        <v/>
      </c>
      <c r="AB30">
        <f>HYPERLINK("https://klasma.github.io/Logging_0330/klagomålsmail/A 33770-2023 FSC-klagomål mail.docx", "A 33770-2023")</f>
        <v/>
      </c>
      <c r="AC30">
        <f>HYPERLINK("https://klasma.github.io/Logging_0330/tillsyn/A 33770-2023 tillsynsbegäran.docx", "A 33770-2023")</f>
        <v/>
      </c>
      <c r="AD30">
        <f>HYPERLINK("https://klasma.github.io/Logging_0330/tillsynsmail/A 33770-2023 tillsynsbegäran mail.docx", "A 33770-2023")</f>
        <v/>
      </c>
      <c r="AE30">
        <f>HYPERLINK("https://klasma.github.io/Logging_0330/fåglar/A 33770-2023 prioriterade fågelarter.docx", "A 33770-2023")</f>
        <v/>
      </c>
    </row>
    <row r="31" ht="15" customHeight="1">
      <c r="A31" t="inlineStr">
        <is>
          <t>A 13002-2026</t>
        </is>
      </c>
      <c r="B31" t="inlineStr">
        <is>
          <t>avverkningsanmälan</t>
        </is>
      </c>
      <c r="C31" t="inlineStr">
        <is>
          <t>Föryngringsavverkning</t>
        </is>
      </c>
      <c r="D31" s="1" t="n">
        <v>46092</v>
      </c>
      <c r="E31" s="1" t="n">
        <v>46317</v>
      </c>
      <c r="F31" t="inlineStr">
        <is>
          <t>UPPSALA LÄN</t>
        </is>
      </c>
      <c r="G31" t="inlineStr">
        <is>
          <t>KNIVSTA</t>
        </is>
      </c>
      <c r="H31" t="inlineStr">
        <is>
          <t>Holmen skog AB</t>
        </is>
      </c>
      <c r="I31" t="n">
        <v>0.7</v>
      </c>
      <c r="J31" t="n">
        <v>1</v>
      </c>
      <c r="K31" t="n">
        <v>0</v>
      </c>
      <c r="L31" t="n">
        <v>0</v>
      </c>
      <c r="M31" t="n">
        <v>1</v>
      </c>
      <c r="N31" t="n">
        <v>0</v>
      </c>
      <c r="O31" t="n">
        <v>0</v>
      </c>
      <c r="P31" t="n">
        <v>0</v>
      </c>
      <c r="Q31" t="n">
        <v>1</v>
      </c>
      <c r="R31" t="n">
        <v>1</v>
      </c>
      <c r="S31" t="n">
        <v>1</v>
      </c>
      <c r="T31" t="n">
        <v>1</v>
      </c>
      <c r="U31" t="n">
        <v>1</v>
      </c>
      <c r="V31" s="2" t="inlineStr">
        <is>
          <t>Knärot</t>
        </is>
      </c>
      <c r="W31">
        <f>HYPERLINK("https://klasma.github.io/Logging_0330/artfynd/A 13002-2026 artfynd.xlsx", "A 13002-2026")</f>
        <v/>
      </c>
      <c r="X31">
        <f>HYPERLINK("https://klasma.github.io/Logging_0330/kartor/A 13002-2026 karta.png", "A 13002-2026")</f>
        <v/>
      </c>
      <c r="Y31">
        <f>HYPERLINK("https://klasma.github.io/Logging_0330/kartor_geotiff/A 13002-2026 georefererad karta.tif", "A 13002-2026")</f>
        <v/>
      </c>
      <c r="Z31">
        <f>HYPERLINK("https://klasma.github.io/Logging_0330/knärot/A 13002-2026 karta knärot.png", "A 13002-2026")</f>
        <v/>
      </c>
      <c r="AA31">
        <f>HYPERLINK("https://klasma.github.io/Logging_0330/klagomål/A 13002-2026 FSC-klagomål.docx", "A 13002-2026")</f>
        <v/>
      </c>
      <c r="AB31">
        <f>HYPERLINK("https://klasma.github.io/Logging_0330/klagomålsmail/A 13002-2026 FSC-klagomål mail.docx", "A 13002-2026")</f>
        <v/>
      </c>
      <c r="AC31">
        <f>HYPERLINK("https://klasma.github.io/Logging_0330/tillsyn/A 13002-2026 tillsynsbegäran.docx", "A 13002-2026")</f>
        <v/>
      </c>
      <c r="AD31">
        <f>HYPERLINK("https://klasma.github.io/Logging_0330/tillsynsmail/A 13002-2026 tillsynsbegäran mail.docx", "A 13002-2026")</f>
        <v/>
      </c>
    </row>
    <row r="32" ht="15" customHeight="1">
      <c r="A32" t="inlineStr">
        <is>
          <t>A 13380-2026</t>
        </is>
      </c>
      <c r="B32" t="inlineStr">
        <is>
          <t>avverkningsanmälan</t>
        </is>
      </c>
      <c r="C32" t="inlineStr">
        <is>
          <t>Föryngringsavverkning</t>
        </is>
      </c>
      <c r="D32" s="1" t="n">
        <v>46094</v>
      </c>
      <c r="E32" s="1" t="n">
        <v>46317</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A 60885-2021</t>
        </is>
      </c>
      <c r="B33" t="inlineStr">
        <is>
          <t>avverkningsanmälan</t>
        </is>
      </c>
      <c r="C33" t="inlineStr">
        <is>
          <t>Föryngringsavverkning</t>
        </is>
      </c>
      <c r="D33" s="1" t="n">
        <v>44497</v>
      </c>
      <c r="E33" s="1" t="n">
        <v>46317</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46317</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46317</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A 43575-2026</t>
        </is>
      </c>
      <c r="B36" t="inlineStr">
        <is>
          <t>avverkningsanmälan</t>
        </is>
      </c>
      <c r="C36" t="inlineStr">
        <is>
          <t>Föryngringsavverkning</t>
        </is>
      </c>
      <c r="D36" s="1" t="n">
        <v>46315</v>
      </c>
      <c r="E36" s="1" t="n">
        <v>46317</v>
      </c>
      <c r="F36" t="inlineStr">
        <is>
          <t>UPPSALA LÄN</t>
        </is>
      </c>
      <c r="G36" t="inlineStr">
        <is>
          <t>KNIVSTA</t>
        </is>
      </c>
      <c r="I36" t="n">
        <v>6.9</v>
      </c>
      <c r="J36" t="n">
        <v>0</v>
      </c>
      <c r="K36" t="n">
        <v>1</v>
      </c>
      <c r="L36" t="n">
        <v>0</v>
      </c>
      <c r="M36" t="n">
        <v>0</v>
      </c>
      <c r="N36" t="n">
        <v>0</v>
      </c>
      <c r="O36" t="n">
        <v>0</v>
      </c>
      <c r="P36" t="n">
        <v>0</v>
      </c>
      <c r="Q36" t="n">
        <v>0</v>
      </c>
      <c r="R36" t="n">
        <v>0</v>
      </c>
      <c r="S36" t="n">
        <v>1</v>
      </c>
      <c r="T36" t="n">
        <v>1</v>
      </c>
      <c r="U36" t="n">
        <v>0</v>
      </c>
      <c r="V36" s="2" t="inlineStr">
        <is>
          <t>Sotlav</t>
        </is>
      </c>
      <c r="W36">
        <f>HYPERLINK("https://klasma.github.io/Logging_0330/artfynd/A 43575-2026 artfynd.xlsx", "A 43575-2026")</f>
        <v/>
      </c>
      <c r="X36">
        <f>HYPERLINK("https://klasma.github.io/Logging_0330/kartor/A 43575-2026 karta.png", "A 43575-2026")</f>
        <v/>
      </c>
      <c r="Y36">
        <f>HYPERLINK("https://klasma.github.io/Logging_0330/kartor_geotiff/A 43575-2026 georefererad karta.tif", "A 43575-2026")</f>
        <v/>
      </c>
      <c r="AA36">
        <f>HYPERLINK("https://klasma.github.io/Logging_0330/klagomål/A 43575-2026 FSC-klagomål.docx", "A 43575-2026")</f>
        <v/>
      </c>
      <c r="AB36">
        <f>HYPERLINK("https://klasma.github.io/Logging_0330/klagomålsmail/A 43575-2026 FSC-klagomål mail.docx", "A 43575-2026")</f>
        <v/>
      </c>
      <c r="AC36">
        <f>HYPERLINK("https://klasma.github.io/Logging_0330/tillsyn/A 43575-2026 tillsynsbegäran.docx", "A 43575-2026")</f>
        <v/>
      </c>
      <c r="AD36">
        <f>HYPERLINK("https://klasma.github.io/Logging_0330/tillsynsmail/A 43575-2026 tillsynsbegäran mail.docx", "A 43575-2026")</f>
        <v/>
      </c>
    </row>
    <row r="37" ht="15" customHeight="1">
      <c r="A37" t="inlineStr">
        <is>
          <t>S 1786-2022</t>
        </is>
      </c>
      <c r="B37" t="inlineStr">
        <is>
          <t>samrådsanmälan</t>
        </is>
      </c>
      <c r="C37" t="inlineStr">
        <is>
          <t>Åtgärd i nyckelbiotop</t>
        </is>
      </c>
      <c r="D37" s="1" t="n">
        <v>44655</v>
      </c>
      <c r="E37" s="1" t="n">
        <v>46317</v>
      </c>
      <c r="F37" t="inlineStr">
        <is>
          <t>UPPSALA LÄN</t>
        </is>
      </c>
      <c r="G37" t="inlineStr">
        <is>
          <t>KNIVSTA</t>
        </is>
      </c>
      <c r="H37" t="inlineStr">
        <is>
          <t>Kyrkan</t>
        </is>
      </c>
      <c r="I37" t="n">
        <v>4.3</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HYPERLINK("https://klasma.github.io/Logging_0330/artfynd/S 1786-2022 artfynd.xlsx", "S 1786-2022")</f>
        <v/>
      </c>
      <c r="X37">
        <f>HYPERLINK("https://klasma.github.io/Logging_0330/kartor/S 1786-2022 karta.png", "S 1786-2022")</f>
        <v/>
      </c>
      <c r="Y37">
        <f>HYPERLINK("https://klasma.github.io/Logging_0330/kartor_geotiff/S 1786-2022 georefererad karta.tif", "S 1786-2022")</f>
        <v/>
      </c>
      <c r="AA37">
        <f>HYPERLINK("https://klasma.github.io/Logging_0330/klagomål/S 1786-2022 FSC-klagomål.docx", "S 1786-2022")</f>
        <v/>
      </c>
      <c r="AB37">
        <f>HYPERLINK("https://klasma.github.io/Logging_0330/klagomålsmail/S 1786-2022 FSC-klagomål mail.docx", "S 1786-2022")</f>
        <v/>
      </c>
      <c r="AC37">
        <f>HYPERLINK("https://klasma.github.io/Logging_0330/tillsyn/S 1786-2022 tillsynsbegäran.docx", "S 1786-2022")</f>
        <v/>
      </c>
      <c r="AD37">
        <f>HYPERLINK("https://klasma.github.io/Logging_0330/tillsynsmail/S 1786-2022 tillsynsbegäran mail.docx", "S 1786-2022")</f>
        <v/>
      </c>
    </row>
    <row r="38" ht="15" customHeight="1">
      <c r="A38" t="inlineStr">
        <is>
          <t>A 66298-2021</t>
        </is>
      </c>
      <c r="B38" t="inlineStr">
        <is>
          <t>avverkningsanmälan</t>
        </is>
      </c>
      <c r="C38" t="inlineStr">
        <is>
          <t>Föryngringsavverkning</t>
        </is>
      </c>
      <c r="D38" s="1" t="n">
        <v>44518</v>
      </c>
      <c r="E38" s="1" t="n">
        <v>46317</v>
      </c>
      <c r="F38" t="inlineStr">
        <is>
          <t>UPPSALA LÄN</t>
        </is>
      </c>
      <c r="G38" t="inlineStr">
        <is>
          <t>KNIVSTA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46149-2022</t>
        </is>
      </c>
      <c r="B39" t="inlineStr">
        <is>
          <t>avverkningsanmälan</t>
        </is>
      </c>
      <c r="C39" t="inlineStr">
        <is>
          <t>Föryngringsavverkning</t>
        </is>
      </c>
      <c r="D39" s="1" t="n">
        <v>44847</v>
      </c>
      <c r="E39" s="1" t="n">
        <v>46317</v>
      </c>
      <c r="F39" t="inlineStr">
        <is>
          <t>UPPSALA LÄN</t>
        </is>
      </c>
      <c r="G39" t="inlineStr">
        <is>
          <t>KNIVSTA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46317</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62451-2021</t>
        </is>
      </c>
      <c r="B41" t="inlineStr">
        <is>
          <t>avverkningsanmälan</t>
        </is>
      </c>
      <c r="C41" t="inlineStr">
        <is>
          <t>Föryngringsavverkning</t>
        </is>
      </c>
      <c r="D41" s="1" t="n">
        <v>44509</v>
      </c>
      <c r="E41" s="1" t="n">
        <v>46317</v>
      </c>
      <c r="F41" t="inlineStr">
        <is>
          <t>UPPSALA LÄN</t>
        </is>
      </c>
      <c r="G41" t="inlineStr">
        <is>
          <t>KNIVSTA</t>
        </is>
      </c>
      <c r="I41" t="n">
        <v>2.5</v>
      </c>
      <c r="J41" t="n">
        <v>0</v>
      </c>
      <c r="K41" t="n">
        <v>0</v>
      </c>
      <c r="L41" t="n">
        <v>0</v>
      </c>
      <c r="M41" t="n">
        <v>0</v>
      </c>
      <c r="N41" t="n">
        <v>0</v>
      </c>
      <c r="O41" t="n">
        <v>0</v>
      </c>
      <c r="P41" t="n">
        <v>0</v>
      </c>
      <c r="Q41" t="n">
        <v>0</v>
      </c>
      <c r="R41" t="n">
        <v>0</v>
      </c>
      <c r="S41" t="n">
        <v>0</v>
      </c>
      <c r="T41" t="n">
        <v>0</v>
      </c>
      <c r="U41" t="n">
        <v>0</v>
      </c>
      <c r="V41" s="2" t="inlineStr"/>
    </row>
    <row r="42" ht="15" customHeight="1">
      <c r="A42" t="inlineStr">
        <is>
          <t>A 64044-2021</t>
        </is>
      </c>
      <c r="B42" t="inlineStr">
        <is>
          <t>avverkningsanmälan</t>
        </is>
      </c>
      <c r="C42" t="inlineStr">
        <is>
          <t>Föryngringsavverkning</t>
        </is>
      </c>
      <c r="D42" s="1" t="n">
        <v>44510</v>
      </c>
      <c r="E42" s="1" t="n">
        <v>46317</v>
      </c>
      <c r="F42" t="inlineStr">
        <is>
          <t>UPPSALA LÄN</t>
        </is>
      </c>
      <c r="G42" t="inlineStr">
        <is>
          <t>KNIVSTA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70275-2021</t>
        </is>
      </c>
      <c r="B43" t="inlineStr">
        <is>
          <t>avverkningsanmälan</t>
        </is>
      </c>
      <c r="C43" t="inlineStr">
        <is>
          <t>Föryngringsavverkning</t>
        </is>
      </c>
      <c r="D43" s="1" t="n">
        <v>44536</v>
      </c>
      <c r="E43" s="1" t="n">
        <v>46317</v>
      </c>
      <c r="F43" t="inlineStr">
        <is>
          <t>UPPSALA LÄN</t>
        </is>
      </c>
      <c r="G43" t="inlineStr">
        <is>
          <t>KNIVSTA</t>
        </is>
      </c>
      <c r="H43" t="inlineStr">
        <is>
          <t>Holmen skog AB</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66256-2021</t>
        </is>
      </c>
      <c r="B44" t="inlineStr">
        <is>
          <t>avverkningsanmälan</t>
        </is>
      </c>
      <c r="C44" t="inlineStr">
        <is>
          <t>Föryngringsavverkning</t>
        </is>
      </c>
      <c r="D44" s="1" t="n">
        <v>44518</v>
      </c>
      <c r="E44" s="1" t="n">
        <v>46317</v>
      </c>
      <c r="F44" t="inlineStr">
        <is>
          <t>UPPSALA LÄN</t>
        </is>
      </c>
      <c r="G44" t="inlineStr">
        <is>
          <t>KNIVSTA</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18820-2022</t>
        </is>
      </c>
      <c r="B45" t="inlineStr">
        <is>
          <t>avverkningsanmälan</t>
        </is>
      </c>
      <c r="C45" t="inlineStr">
        <is>
          <t>Föryngringsavverkning</t>
        </is>
      </c>
      <c r="D45" s="1" t="n">
        <v>44690</v>
      </c>
      <c r="E45" s="1" t="n">
        <v>46317</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62441-2021</t>
        </is>
      </c>
      <c r="B46" t="inlineStr">
        <is>
          <t>avverkningsanmälan</t>
        </is>
      </c>
      <c r="C46" t="inlineStr">
        <is>
          <t>Föryngringsavverkning</t>
        </is>
      </c>
      <c r="D46" s="1" t="n">
        <v>44503</v>
      </c>
      <c r="E46" s="1" t="n">
        <v>46317</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72966-2021</t>
        </is>
      </c>
      <c r="B47" t="inlineStr">
        <is>
          <t>avverkningsanmälan</t>
        </is>
      </c>
      <c r="C47" t="inlineStr">
        <is>
          <t>Föryngringsavverkning</t>
        </is>
      </c>
      <c r="D47" s="1" t="n">
        <v>44548</v>
      </c>
      <c r="E47" s="1" t="n">
        <v>46317</v>
      </c>
      <c r="F47" t="inlineStr">
        <is>
          <t>UPPSALA LÄN</t>
        </is>
      </c>
      <c r="G47" t="inlineStr">
        <is>
          <t>KNIVSTA</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72967-2021</t>
        </is>
      </c>
      <c r="B48" t="inlineStr">
        <is>
          <t>avverkningsanmälan</t>
        </is>
      </c>
      <c r="C48" t="inlineStr">
        <is>
          <t>Föryngringsavverkning</t>
        </is>
      </c>
      <c r="D48" s="1" t="n">
        <v>44548</v>
      </c>
      <c r="E48" s="1" t="n">
        <v>46317</v>
      </c>
      <c r="F48" t="inlineStr">
        <is>
          <t>UPPSALA LÄN</t>
        </is>
      </c>
      <c r="G48" t="inlineStr">
        <is>
          <t>KNIVSTA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13697-2024</t>
        </is>
      </c>
      <c r="B49" t="inlineStr">
        <is>
          <t>avverkningsanmälan</t>
        </is>
      </c>
      <c r="C49" t="inlineStr">
        <is>
          <t>Föryngringsavverkning</t>
        </is>
      </c>
      <c r="D49" s="1" t="n">
        <v>45390</v>
      </c>
      <c r="E49" s="1" t="n">
        <v>46317</v>
      </c>
      <c r="F49" t="inlineStr">
        <is>
          <t>UPPSALA LÄN</t>
        </is>
      </c>
      <c r="G49" t="inlineStr">
        <is>
          <t>KNIVSTA</t>
        </is>
      </c>
      <c r="H49" t="inlineStr">
        <is>
          <t>Holmen skog AB</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46317</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45453-2025</t>
        </is>
      </c>
      <c r="B51" t="inlineStr">
        <is>
          <t>avverkningsanmälan</t>
        </is>
      </c>
      <c r="C51" t="inlineStr">
        <is>
          <t>Föryngringsavverkning</t>
        </is>
      </c>
      <c r="D51" s="1" t="n">
        <v>45922</v>
      </c>
      <c r="E51" s="1" t="n">
        <v>46317</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662-2026</t>
        </is>
      </c>
      <c r="B52" t="inlineStr">
        <is>
          <t>avverkningsanmälan</t>
        </is>
      </c>
      <c r="C52" t="inlineStr">
        <is>
          <t>Föryngringsavverkning</t>
        </is>
      </c>
      <c r="D52" s="1" t="n">
        <v>46029</v>
      </c>
      <c r="E52" s="1" t="n">
        <v>46317</v>
      </c>
      <c r="F52" t="inlineStr">
        <is>
          <t>UPPSALA LÄN</t>
        </is>
      </c>
      <c r="G52" t="inlineStr">
        <is>
          <t>KNIVSTA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47803-2025</t>
        </is>
      </c>
      <c r="B53" t="inlineStr">
        <is>
          <t>avverkningsanmälan</t>
        </is>
      </c>
      <c r="C53" t="inlineStr">
        <is>
          <t>Avverkning för annat ändamål</t>
        </is>
      </c>
      <c r="D53" s="1" t="n">
        <v>45931</v>
      </c>
      <c r="E53" s="1" t="n">
        <v>46317</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49090-2025</t>
        </is>
      </c>
      <c r="B54" t="inlineStr">
        <is>
          <t>avverkningsanmälan</t>
        </is>
      </c>
      <c r="C54" t="inlineStr">
        <is>
          <t>Föryngringsavverkning</t>
        </is>
      </c>
      <c r="D54" s="1" t="n">
        <v>45937</v>
      </c>
      <c r="E54" s="1" t="n">
        <v>46317</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34864-2025</t>
        </is>
      </c>
      <c r="B55" t="inlineStr">
        <is>
          <t>avverkningsanmälan</t>
        </is>
      </c>
      <c r="C55" t="inlineStr">
        <is>
          <t>Föryngringsavverkning</t>
        </is>
      </c>
      <c r="D55" s="1" t="n">
        <v>45849</v>
      </c>
      <c r="E55" s="1" t="n">
        <v>46317</v>
      </c>
      <c r="F55" t="inlineStr">
        <is>
          <t>UPPSALA LÄN</t>
        </is>
      </c>
      <c r="G55" t="inlineStr">
        <is>
          <t>KNIVSTA</t>
        </is>
      </c>
      <c r="H55" t="inlineStr">
        <is>
          <t>Holmen skog AB</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35318-2025</t>
        </is>
      </c>
      <c r="B56" t="inlineStr">
        <is>
          <t>avverkningsanmälan</t>
        </is>
      </c>
      <c r="C56" t="inlineStr">
        <is>
          <t>Föryngringsavverkning</t>
        </is>
      </c>
      <c r="D56" s="1" t="n">
        <v>45854</v>
      </c>
      <c r="E56" s="1" t="n">
        <v>46317</v>
      </c>
      <c r="F56" t="inlineStr">
        <is>
          <t>UPPSALA LÄN</t>
        </is>
      </c>
      <c r="G56" t="inlineStr">
        <is>
          <t>KNIVSTA</t>
        </is>
      </c>
      <c r="H56" t="inlineStr">
        <is>
          <t>Holmen skog AB</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11841-2023</t>
        </is>
      </c>
      <c r="B57" t="inlineStr">
        <is>
          <t>avverkningsanmälan</t>
        </is>
      </c>
      <c r="C57" t="inlineStr">
        <is>
          <t>Föryngringsavverkning</t>
        </is>
      </c>
      <c r="D57" s="1" t="n">
        <v>44995</v>
      </c>
      <c r="E57" s="1" t="n">
        <v>46317</v>
      </c>
      <c r="F57" t="inlineStr">
        <is>
          <t>UPPSALA LÄN</t>
        </is>
      </c>
      <c r="G57" t="inlineStr">
        <is>
          <t>KNIVSTA</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36473-2025</t>
        </is>
      </c>
      <c r="B58" t="inlineStr">
        <is>
          <t>avverkningsanmälan</t>
        </is>
      </c>
      <c r="C58" t="inlineStr">
        <is>
          <t>Föryngringsavverkning</t>
        </is>
      </c>
      <c r="D58" s="1" t="n">
        <v>45869</v>
      </c>
      <c r="E58" s="1" t="n">
        <v>46317</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30351-2022</t>
        </is>
      </c>
      <c r="B59" t="inlineStr">
        <is>
          <t>avverkningsanmälan</t>
        </is>
      </c>
      <c r="C59" t="inlineStr">
        <is>
          <t>Föryngringsavverkning</t>
        </is>
      </c>
      <c r="D59" s="1" t="n">
        <v>44757</v>
      </c>
      <c r="E59" s="1" t="n">
        <v>46317</v>
      </c>
      <c r="F59" t="inlineStr">
        <is>
          <t>UPPSALA LÄN</t>
        </is>
      </c>
      <c r="G59" t="inlineStr">
        <is>
          <t>KNIVSTA</t>
        </is>
      </c>
      <c r="I59" t="n">
        <v>5.7</v>
      </c>
      <c r="J59" t="n">
        <v>0</v>
      </c>
      <c r="K59" t="n">
        <v>0</v>
      </c>
      <c r="L59" t="n">
        <v>0</v>
      </c>
      <c r="M59" t="n">
        <v>0</v>
      </c>
      <c r="N59" t="n">
        <v>0</v>
      </c>
      <c r="O59" t="n">
        <v>0</v>
      </c>
      <c r="P59" t="n">
        <v>0</v>
      </c>
      <c r="Q59" t="n">
        <v>0</v>
      </c>
      <c r="R59" t="n">
        <v>0</v>
      </c>
      <c r="S59" t="n">
        <v>0</v>
      </c>
      <c r="T59" t="n">
        <v>0</v>
      </c>
      <c r="U59" t="n">
        <v>0</v>
      </c>
      <c r="V59" s="2" t="inlineStr"/>
    </row>
    <row r="60" ht="15" customHeight="1">
      <c r="A60" t="inlineStr">
        <is>
          <t>A 11847-2023</t>
        </is>
      </c>
      <c r="B60" t="inlineStr">
        <is>
          <t>avverkningsanmälan</t>
        </is>
      </c>
      <c r="C60" t="inlineStr">
        <is>
          <t>Föryngringsavverkning</t>
        </is>
      </c>
      <c r="D60" s="1" t="n">
        <v>44995</v>
      </c>
      <c r="E60" s="1" t="n">
        <v>46317</v>
      </c>
      <c r="F60" t="inlineStr">
        <is>
          <t>UPPSALA LÄN</t>
        </is>
      </c>
      <c r="G60" t="inlineStr">
        <is>
          <t>KNIVSTA</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11450-2023</t>
        </is>
      </c>
      <c r="B61" t="inlineStr">
        <is>
          <t>avverkningsanmälan</t>
        </is>
      </c>
      <c r="C61" t="inlineStr">
        <is>
          <t>Föryngringsavverkning</t>
        </is>
      </c>
      <c r="D61" s="1" t="n">
        <v>44993</v>
      </c>
      <c r="E61" s="1" t="n">
        <v>46317</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31875-2022</t>
        </is>
      </c>
      <c r="B62" t="inlineStr">
        <is>
          <t>avverkningsanmälan</t>
        </is>
      </c>
      <c r="C62" t="inlineStr">
        <is>
          <t>Föryngringsavverkning</t>
        </is>
      </c>
      <c r="D62" s="1" t="n">
        <v>44777</v>
      </c>
      <c r="E62" s="1" t="n">
        <v>46317</v>
      </c>
      <c r="F62" t="inlineStr">
        <is>
          <t>UPPSALA LÄN</t>
        </is>
      </c>
      <c r="G62" t="inlineStr">
        <is>
          <t>KNIVSTA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3375-2026</t>
        </is>
      </c>
      <c r="B63" t="inlineStr">
        <is>
          <t>avverkningsanmälan</t>
        </is>
      </c>
      <c r="C63" t="inlineStr">
        <is>
          <t>Föryngringsavverkning</t>
        </is>
      </c>
      <c r="D63" s="1" t="n">
        <v>46042</v>
      </c>
      <c r="E63" s="1" t="n">
        <v>46317</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3824-2026</t>
        </is>
      </c>
      <c r="B64" t="inlineStr">
        <is>
          <t>avverkningsanmälan</t>
        </is>
      </c>
      <c r="C64" t="inlineStr">
        <is>
          <t>Föryngringsavverkning</t>
        </is>
      </c>
      <c r="D64" s="1" t="n">
        <v>46043</v>
      </c>
      <c r="E64" s="1" t="n">
        <v>46317</v>
      </c>
      <c r="F64" t="inlineStr">
        <is>
          <t>UPPSALA LÄN</t>
        </is>
      </c>
      <c r="G64" t="inlineStr">
        <is>
          <t>KNIVSTA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23239-2023</t>
        </is>
      </c>
      <c r="B65" t="inlineStr">
        <is>
          <t>avverkningsanmälan</t>
        </is>
      </c>
      <c r="C65" t="inlineStr">
        <is>
          <t>Föryngringsavverkning</t>
        </is>
      </c>
      <c r="D65" s="1" t="n">
        <v>45075</v>
      </c>
      <c r="E65" s="1" t="n">
        <v>46317</v>
      </c>
      <c r="F65" t="inlineStr">
        <is>
          <t>UPPSALA LÄN</t>
        </is>
      </c>
      <c r="G65" t="inlineStr">
        <is>
          <t>KNIVSTA</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46317</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46317</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46317</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9744-2026</t>
        </is>
      </c>
      <c r="B69" t="inlineStr">
        <is>
          <t>avverkningsanmälan</t>
        </is>
      </c>
      <c r="C69" t="inlineStr">
        <is>
          <t>Föryngringsavverkning</t>
        </is>
      </c>
      <c r="D69" s="1" t="n">
        <v>46072</v>
      </c>
      <c r="E69" s="1" t="n">
        <v>46317</v>
      </c>
      <c r="F69" t="inlineStr">
        <is>
          <t>UPPSALA LÄN</t>
        </is>
      </c>
      <c r="G69" t="inlineStr">
        <is>
          <t>KNIVSTA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66293-2021</t>
        </is>
      </c>
      <c r="B70" t="inlineStr">
        <is>
          <t>avverkningsanmälan</t>
        </is>
      </c>
      <c r="C70" t="inlineStr">
        <is>
          <t>Föryngringsavverkning</t>
        </is>
      </c>
      <c r="D70" s="1" t="n">
        <v>44518</v>
      </c>
      <c r="E70" s="1" t="n">
        <v>46317</v>
      </c>
      <c r="F70" t="inlineStr">
        <is>
          <t>UPPSALA LÄN</t>
        </is>
      </c>
      <c r="G70" t="inlineStr">
        <is>
          <t>KNIVSTA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12027-2026</t>
        </is>
      </c>
      <c r="B71" t="inlineStr">
        <is>
          <t>avverkningsanmälan</t>
        </is>
      </c>
      <c r="C71" t="inlineStr">
        <is>
          <t>Avverkning för annat ändamål</t>
        </is>
      </c>
      <c r="D71" s="1" t="n">
        <v>46085</v>
      </c>
      <c r="E71" s="1" t="n">
        <v>46317</v>
      </c>
      <c r="F71" t="inlineStr">
        <is>
          <t>UPPSALA LÄN</t>
        </is>
      </c>
      <c r="G71" t="inlineStr">
        <is>
          <t>KNIVSTA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12774-2026</t>
        </is>
      </c>
      <c r="B72" t="inlineStr">
        <is>
          <t>avverkningsanmälan</t>
        </is>
      </c>
      <c r="C72" t="inlineStr">
        <is>
          <t>Föryngringsavverkning</t>
        </is>
      </c>
      <c r="D72" s="1" t="n">
        <v>46091</v>
      </c>
      <c r="E72" s="1" t="n">
        <v>46317</v>
      </c>
      <c r="F72" t="inlineStr">
        <is>
          <t>UPPSALA LÄN</t>
        </is>
      </c>
      <c r="G72" t="inlineStr">
        <is>
          <t>KNIVSTA</t>
        </is>
      </c>
      <c r="H72" t="inlineStr">
        <is>
          <t>Holmen skog AB</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13013-2026</t>
        </is>
      </c>
      <c r="B73" t="inlineStr">
        <is>
          <t>avverkningsanmälan</t>
        </is>
      </c>
      <c r="C73" t="inlineStr">
        <is>
          <t>Föryngringsavverkning</t>
        </is>
      </c>
      <c r="D73" s="1" t="n">
        <v>46092</v>
      </c>
      <c r="E73" s="1" t="n">
        <v>46317</v>
      </c>
      <c r="F73" t="inlineStr">
        <is>
          <t>UPPSALA LÄN</t>
        </is>
      </c>
      <c r="G73" t="inlineStr">
        <is>
          <t>KNIVSTA</t>
        </is>
      </c>
      <c r="H73" t="inlineStr">
        <is>
          <t>Holmen skog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13011-2026</t>
        </is>
      </c>
      <c r="B74" t="inlineStr">
        <is>
          <t>avverkningsanmälan</t>
        </is>
      </c>
      <c r="C74" t="inlineStr">
        <is>
          <t>Föryngringsavverkning</t>
        </is>
      </c>
      <c r="D74" s="1" t="n">
        <v>46092</v>
      </c>
      <c r="E74" s="1" t="n">
        <v>46317</v>
      </c>
      <c r="F74" t="inlineStr">
        <is>
          <t>UPPSALA LÄN</t>
        </is>
      </c>
      <c r="G74" t="inlineStr">
        <is>
          <t>KNIVSTA</t>
        </is>
      </c>
      <c r="H74" t="inlineStr">
        <is>
          <t>Holmen skog AB</t>
        </is>
      </c>
      <c r="I74" t="n">
        <v>1.9</v>
      </c>
      <c r="J74" t="n">
        <v>0</v>
      </c>
      <c r="K74" t="n">
        <v>0</v>
      </c>
      <c r="L74" t="n">
        <v>0</v>
      </c>
      <c r="M74" t="n">
        <v>0</v>
      </c>
      <c r="N74" t="n">
        <v>0</v>
      </c>
      <c r="O74" t="n">
        <v>0</v>
      </c>
      <c r="P74" t="n">
        <v>0</v>
      </c>
      <c r="Q74" t="n">
        <v>0</v>
      </c>
      <c r="R74" t="n">
        <v>0</v>
      </c>
      <c r="S74" t="n">
        <v>0</v>
      </c>
      <c r="T74" t="n">
        <v>0</v>
      </c>
      <c r="U74" t="n">
        <v>0</v>
      </c>
      <c r="V74" s="2" t="inlineStr"/>
      <c r="Z74">
        <f>HYPERLINK("https://klasma.github.io/Logging_0330/knärot/A 13011-2026 karta knärot.png", "A 13011-2026")</f>
        <v/>
      </c>
      <c r="AA74">
        <f>HYPERLINK("https://klasma.github.io/Logging_0330/klagomål/A 13011-2026 FSC-klagomål.docx", "A 13011-2026")</f>
        <v/>
      </c>
      <c r="AB74">
        <f>HYPERLINK("https://klasma.github.io/Logging_0330/klagomålsmail/A 13011-2026 FSC-klagomål mail.docx", "A 13011-2026")</f>
        <v/>
      </c>
      <c r="AC74">
        <f>HYPERLINK("https://klasma.github.io/Logging_0330/tillsyn/A 13011-2026 tillsynsbegäran.docx", "A 13011-2026")</f>
        <v/>
      </c>
      <c r="AD74">
        <f>HYPERLINK("https://klasma.github.io/Logging_0330/tillsynsmail/A 13011-2026 tillsynsbegäran mail.docx", "A 13011-2026")</f>
        <v/>
      </c>
    </row>
    <row r="75" ht="15" customHeight="1">
      <c r="A75" t="inlineStr">
        <is>
          <t>A 13016-2026</t>
        </is>
      </c>
      <c r="B75" t="inlineStr">
        <is>
          <t>avverkningsanmälan</t>
        </is>
      </c>
      <c r="C75" t="inlineStr">
        <is>
          <t>Föryngringsavverkning</t>
        </is>
      </c>
      <c r="D75" s="1" t="n">
        <v>46092</v>
      </c>
      <c r="E75" s="1" t="n">
        <v>46317</v>
      </c>
      <c r="F75" t="inlineStr">
        <is>
          <t>UPPSALA LÄN</t>
        </is>
      </c>
      <c r="G75" t="inlineStr">
        <is>
          <t>KNIVSTA</t>
        </is>
      </c>
      <c r="H75" t="inlineStr">
        <is>
          <t>Holmen skog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13001-2026</t>
        </is>
      </c>
      <c r="B76" t="inlineStr">
        <is>
          <t>avverkningsanmälan</t>
        </is>
      </c>
      <c r="C76" t="inlineStr">
        <is>
          <t>Föryngringsavverkning</t>
        </is>
      </c>
      <c r="D76" s="1" t="n">
        <v>46092</v>
      </c>
      <c r="E76" s="1" t="n">
        <v>46317</v>
      </c>
      <c r="F76" t="inlineStr">
        <is>
          <t>UPPSALA LÄN</t>
        </is>
      </c>
      <c r="G76" t="inlineStr">
        <is>
          <t>KNIVSTA</t>
        </is>
      </c>
      <c r="H76" t="inlineStr">
        <is>
          <t>Holmen skog AB</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13005-2026</t>
        </is>
      </c>
      <c r="B77" t="inlineStr">
        <is>
          <t>avverkningsanmälan</t>
        </is>
      </c>
      <c r="C77" t="inlineStr">
        <is>
          <t>Föryngringsavverkning</t>
        </is>
      </c>
      <c r="D77" s="1" t="n">
        <v>46092</v>
      </c>
      <c r="E77" s="1" t="n">
        <v>46317</v>
      </c>
      <c r="F77" t="inlineStr">
        <is>
          <t>UPPSALA LÄN</t>
        </is>
      </c>
      <c r="G77" t="inlineStr">
        <is>
          <t>KNIVSTA</t>
        </is>
      </c>
      <c r="H77" t="inlineStr">
        <is>
          <t>Holmen skog AB</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66284-2021</t>
        </is>
      </c>
      <c r="B78" t="inlineStr">
        <is>
          <t>avverkningsanmälan</t>
        </is>
      </c>
      <c r="C78" t="inlineStr">
        <is>
          <t>Föryngringsavverkning</t>
        </is>
      </c>
      <c r="D78" s="1" t="n">
        <v>44518</v>
      </c>
      <c r="E78" s="1" t="n">
        <v>46317</v>
      </c>
      <c r="F78" t="inlineStr">
        <is>
          <t>UPPSALA LÄN</t>
        </is>
      </c>
      <c r="G78" t="inlineStr">
        <is>
          <t>KNIVSTA</t>
        </is>
      </c>
      <c r="I78" t="n">
        <v>6.9</v>
      </c>
      <c r="J78" t="n">
        <v>0</v>
      </c>
      <c r="K78" t="n">
        <v>0</v>
      </c>
      <c r="L78" t="n">
        <v>0</v>
      </c>
      <c r="M78" t="n">
        <v>0</v>
      </c>
      <c r="N78" t="n">
        <v>0</v>
      </c>
      <c r="O78" t="n">
        <v>0</v>
      </c>
      <c r="P78" t="n">
        <v>0</v>
      </c>
      <c r="Q78" t="n">
        <v>0</v>
      </c>
      <c r="R78" t="n">
        <v>0</v>
      </c>
      <c r="S78" t="n">
        <v>0</v>
      </c>
      <c r="T78" t="n">
        <v>0</v>
      </c>
      <c r="U78" t="n">
        <v>0</v>
      </c>
      <c r="V78" s="2" t="inlineStr"/>
    </row>
    <row r="79" ht="15" customHeight="1">
      <c r="A79" t="inlineStr">
        <is>
          <t>A 19676-2025</t>
        </is>
      </c>
      <c r="B79" t="inlineStr">
        <is>
          <t>avverkningsanmälan</t>
        </is>
      </c>
      <c r="C79" t="inlineStr">
        <is>
          <t>Föryngringsavverkning</t>
        </is>
      </c>
      <c r="D79" s="1" t="n">
        <v>45770</v>
      </c>
      <c r="E79" s="1" t="n">
        <v>46317</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8343-2024</t>
        </is>
      </c>
      <c r="B80" t="inlineStr">
        <is>
          <t>avverkningsanmälan</t>
        </is>
      </c>
      <c r="C80" t="inlineStr">
        <is>
          <t>Föryngringsavverkning</t>
        </is>
      </c>
      <c r="D80" s="1" t="n">
        <v>45352</v>
      </c>
      <c r="E80" s="1" t="n">
        <v>46317</v>
      </c>
      <c r="F80" t="inlineStr">
        <is>
          <t>UPPSALA LÄN</t>
        </is>
      </c>
      <c r="G80" t="inlineStr">
        <is>
          <t>KNIVSTA</t>
        </is>
      </c>
      <c r="H80" t="inlineStr">
        <is>
          <t>Holmen skog AB</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19774-2026</t>
        </is>
      </c>
      <c r="B81" t="inlineStr">
        <is>
          <t>avverkningsanmälan</t>
        </is>
      </c>
      <c r="C81" t="inlineStr">
        <is>
          <t>Föryngringsavverkning</t>
        </is>
      </c>
      <c r="D81" s="1" t="n">
        <v>46135</v>
      </c>
      <c r="E81" s="1" t="n">
        <v>46317</v>
      </c>
      <c r="F81" t="inlineStr">
        <is>
          <t>UPPSALA LÄN</t>
        </is>
      </c>
      <c r="G81" t="inlineStr">
        <is>
          <t>KNIVSTA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46317</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1629-2024</t>
        </is>
      </c>
      <c r="B83" t="inlineStr">
        <is>
          <t>avverkningsanmälan</t>
        </is>
      </c>
      <c r="C83" t="inlineStr">
        <is>
          <t>Föryngringsavverkning</t>
        </is>
      </c>
      <c r="D83" s="1" t="n">
        <v>45306</v>
      </c>
      <c r="E83" s="1" t="n">
        <v>46317</v>
      </c>
      <c r="F83" t="inlineStr">
        <is>
          <t>UPPSALA LÄN</t>
        </is>
      </c>
      <c r="G83" t="inlineStr">
        <is>
          <t>KNIVSTA</t>
        </is>
      </c>
      <c r="H83" t="inlineStr">
        <is>
          <t>Holmen skog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52666-2025</t>
        </is>
      </c>
      <c r="B84" t="inlineStr">
        <is>
          <t>avverkningsanmälan</t>
        </is>
      </c>
      <c r="C84" t="inlineStr">
        <is>
          <t>Föryngringsavverkning</t>
        </is>
      </c>
      <c r="D84" s="1" t="n">
        <v>45955</v>
      </c>
      <c r="E84" s="1" t="n">
        <v>46317</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33974-2025</t>
        </is>
      </c>
      <c r="B85" t="inlineStr">
        <is>
          <t>avverkningsanmälan</t>
        </is>
      </c>
      <c r="C85" t="inlineStr">
        <is>
          <t>Föryngringsavverkning</t>
        </is>
      </c>
      <c r="D85" s="1" t="n">
        <v>45843</v>
      </c>
      <c r="E85" s="1" t="n">
        <v>46317</v>
      </c>
      <c r="F85" t="inlineStr">
        <is>
          <t>UPPSALA LÄN</t>
        </is>
      </c>
      <c r="G85" t="inlineStr">
        <is>
          <t>KNIVSTA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20528-2026</t>
        </is>
      </c>
      <c r="B86" t="inlineStr">
        <is>
          <t>avverkningsanmälan</t>
        </is>
      </c>
      <c r="C86" t="inlineStr">
        <is>
          <t>Föryngringsavverkning</t>
        </is>
      </c>
      <c r="D86" s="1" t="n">
        <v>46140</v>
      </c>
      <c r="E86" s="1" t="n">
        <v>46317</v>
      </c>
      <c r="F86" t="inlineStr">
        <is>
          <t>UPPSALA LÄN</t>
        </is>
      </c>
      <c r="G86" t="inlineStr">
        <is>
          <t>KNIVSTA</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45525-2023</t>
        </is>
      </c>
      <c r="B87" t="inlineStr">
        <is>
          <t>avverkningsanmälan</t>
        </is>
      </c>
      <c r="C87" t="inlineStr">
        <is>
          <t>Avverkning för annat ändamål</t>
        </is>
      </c>
      <c r="D87" s="1" t="n">
        <v>45194</v>
      </c>
      <c r="E87" s="1" t="n">
        <v>46317</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16773-2022</t>
        </is>
      </c>
      <c r="B88" t="inlineStr">
        <is>
          <t>avverkningsanmälan</t>
        </is>
      </c>
      <c r="C88" t="inlineStr">
        <is>
          <t>Avverkning för annat ändamål</t>
        </is>
      </c>
      <c r="D88" s="1" t="n">
        <v>44673</v>
      </c>
      <c r="E88" s="1" t="n">
        <v>46317</v>
      </c>
      <c r="F88" t="inlineStr">
        <is>
          <t>UPPSALA LÄN</t>
        </is>
      </c>
      <c r="G88" t="inlineStr">
        <is>
          <t>KNIVSTA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30764-2023</t>
        </is>
      </c>
      <c r="B89" t="inlineStr">
        <is>
          <t>avverkningsanmälan</t>
        </is>
      </c>
      <c r="C89" t="inlineStr">
        <is>
          <t>Föryngringsavverkning</t>
        </is>
      </c>
      <c r="D89" s="1" t="n">
        <v>45112</v>
      </c>
      <c r="E89" s="1" t="n">
        <v>46317</v>
      </c>
      <c r="F89" t="inlineStr">
        <is>
          <t>UPPSALA LÄN</t>
        </is>
      </c>
      <c r="G89" t="inlineStr">
        <is>
          <t>KNIVSTA</t>
        </is>
      </c>
      <c r="H89" t="inlineStr">
        <is>
          <t>Holmen skog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51849-2023</t>
        </is>
      </c>
      <c r="B90" t="inlineStr">
        <is>
          <t>avverkningsanmälan</t>
        </is>
      </c>
      <c r="C90" t="inlineStr">
        <is>
          <t>Föryngringsavverkning</t>
        </is>
      </c>
      <c r="D90" s="1" t="n">
        <v>45223</v>
      </c>
      <c r="E90" s="1" t="n">
        <v>46317</v>
      </c>
      <c r="F90" t="inlineStr">
        <is>
          <t>UPPSALA LÄN</t>
        </is>
      </c>
      <c r="G90" t="inlineStr">
        <is>
          <t>KNIVSTA</t>
        </is>
      </c>
      <c r="I90" t="n">
        <v>16.3</v>
      </c>
      <c r="J90" t="n">
        <v>0</v>
      </c>
      <c r="K90" t="n">
        <v>0</v>
      </c>
      <c r="L90" t="n">
        <v>0</v>
      </c>
      <c r="M90" t="n">
        <v>0</v>
      </c>
      <c r="N90" t="n">
        <v>0</v>
      </c>
      <c r="O90" t="n">
        <v>0</v>
      </c>
      <c r="P90" t="n">
        <v>0</v>
      </c>
      <c r="Q90" t="n">
        <v>0</v>
      </c>
      <c r="R90" t="n">
        <v>0</v>
      </c>
      <c r="S90" t="n">
        <v>0</v>
      </c>
      <c r="T90" t="n">
        <v>0</v>
      </c>
      <c r="U90" t="n">
        <v>0</v>
      </c>
      <c r="V90" s="2" t="inlineStr"/>
    </row>
    <row r="91" ht="15" customHeight="1">
      <c r="A91" t="inlineStr">
        <is>
          <t>A 60018-2024</t>
        </is>
      </c>
      <c r="B91" t="inlineStr">
        <is>
          <t>avverkningsanmälan</t>
        </is>
      </c>
      <c r="C91" t="inlineStr">
        <is>
          <t>Föryngringsavverkning</t>
        </is>
      </c>
      <c r="D91" s="1" t="n">
        <v>45642</v>
      </c>
      <c r="E91" s="1" t="n">
        <v>46317</v>
      </c>
      <c r="F91" t="inlineStr">
        <is>
          <t>UPPSALA LÄN</t>
        </is>
      </c>
      <c r="G91" t="inlineStr">
        <is>
          <t>KNIVSTA</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23969-2026</t>
        </is>
      </c>
      <c r="B92" t="inlineStr">
        <is>
          <t>avverkningsanmälan</t>
        </is>
      </c>
      <c r="C92" t="inlineStr">
        <is>
          <t>Föryngringsavverkning</t>
        </is>
      </c>
      <c r="D92" s="1" t="n">
        <v>46167</v>
      </c>
      <c r="E92" s="1" t="n">
        <v>46317</v>
      </c>
      <c r="F92" t="inlineStr">
        <is>
          <t>UPPSALA LÄN</t>
        </is>
      </c>
      <c r="G92" t="inlineStr">
        <is>
          <t>KNIVSTA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17333-2024</t>
        </is>
      </c>
      <c r="B93" t="inlineStr">
        <is>
          <t>avverkningsanmälan</t>
        </is>
      </c>
      <c r="C93" t="inlineStr">
        <is>
          <t>Föryngringsavverkning</t>
        </is>
      </c>
      <c r="D93" s="1" t="n">
        <v>45414</v>
      </c>
      <c r="E93" s="1" t="n">
        <v>46317</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1791-2024</t>
        </is>
      </c>
      <c r="B94" t="inlineStr">
        <is>
          <t>avverkningsanmälan</t>
        </is>
      </c>
      <c r="C94" t="inlineStr">
        <is>
          <t>Föryngringsavverkning</t>
        </is>
      </c>
      <c r="D94" s="1" t="n">
        <v>45307</v>
      </c>
      <c r="E94" s="1" t="n">
        <v>46317</v>
      </c>
      <c r="F94" t="inlineStr">
        <is>
          <t>UPPSALA LÄN</t>
        </is>
      </c>
      <c r="G94" t="inlineStr">
        <is>
          <t>KNIVSTA</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2628-2025</t>
        </is>
      </c>
      <c r="B95" t="inlineStr">
        <is>
          <t>avverkningsanmälan</t>
        </is>
      </c>
      <c r="C95" t="inlineStr">
        <is>
          <t>Föryngringsavverkning</t>
        </is>
      </c>
      <c r="D95" s="1" t="n">
        <v>45675</v>
      </c>
      <c r="E95" s="1" t="n">
        <v>46317</v>
      </c>
      <c r="F95" t="inlineStr">
        <is>
          <t>UPPSALA LÄN</t>
        </is>
      </c>
      <c r="G95" t="inlineStr">
        <is>
          <t>KNIVSTA</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46317</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43908-2023</t>
        </is>
      </c>
      <c r="B97" t="inlineStr">
        <is>
          <t>avverkningsanmälan</t>
        </is>
      </c>
      <c r="C97" t="inlineStr">
        <is>
          <t>Föryngringsavverkning</t>
        </is>
      </c>
      <c r="D97" s="1" t="n">
        <v>45187</v>
      </c>
      <c r="E97" s="1" t="n">
        <v>46317</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34078-2022</t>
        </is>
      </c>
      <c r="B98" t="inlineStr">
        <is>
          <t>avverkningsanmälan</t>
        </is>
      </c>
      <c r="C98" t="inlineStr">
        <is>
          <t>Föryngringsavverkning</t>
        </is>
      </c>
      <c r="D98" s="1" t="n">
        <v>44791</v>
      </c>
      <c r="E98" s="1" t="n">
        <v>46317</v>
      </c>
      <c r="F98" t="inlineStr">
        <is>
          <t>UPPSALA LÄN</t>
        </is>
      </c>
      <c r="G98" t="inlineStr">
        <is>
          <t>KNIVSTA</t>
        </is>
      </c>
      <c r="H98" t="inlineStr">
        <is>
          <t>Övriga statliga verk och myndigheter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28668-2026</t>
        </is>
      </c>
      <c r="B99" t="inlineStr">
        <is>
          <t>avverkningsanmälan</t>
        </is>
      </c>
      <c r="C99" t="inlineStr">
        <is>
          <t>Avverkning för annat ändamål</t>
        </is>
      </c>
      <c r="D99" s="1" t="n">
        <v>46193</v>
      </c>
      <c r="E99" s="1" t="n">
        <v>46317</v>
      </c>
      <c r="F99" t="inlineStr">
        <is>
          <t>UPPSALA LÄN</t>
        </is>
      </c>
      <c r="G99" t="inlineStr">
        <is>
          <t>KNIVSTA</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37413-2026</t>
        </is>
      </c>
      <c r="B100" t="inlineStr">
        <is>
          <t>avverkningsanmälan</t>
        </is>
      </c>
      <c r="C100" t="inlineStr">
        <is>
          <t>Föryngringsavverkning</t>
        </is>
      </c>
      <c r="D100" s="1" t="n">
        <v>46275</v>
      </c>
      <c r="E100" s="1" t="n">
        <v>46317</v>
      </c>
      <c r="F100" t="inlineStr">
        <is>
          <t>UPPSALA LÄN</t>
        </is>
      </c>
      <c r="G100" t="inlineStr">
        <is>
          <t>KNIVSTA</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37437-2026</t>
        </is>
      </c>
      <c r="B101" t="inlineStr">
        <is>
          <t>avverkningsanmälan</t>
        </is>
      </c>
      <c r="C101" t="inlineStr">
        <is>
          <t>Föryngringsavverkning</t>
        </is>
      </c>
      <c r="D101" s="1" t="n">
        <v>46275</v>
      </c>
      <c r="E101" s="1" t="n">
        <v>46317</v>
      </c>
      <c r="F101" t="inlineStr">
        <is>
          <t>UPPSALA LÄN</t>
        </is>
      </c>
      <c r="G101" t="inlineStr">
        <is>
          <t>KNIVSTA</t>
        </is>
      </c>
      <c r="H101" t="inlineStr">
        <is>
          <t>Holmen skog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26182-2022</t>
        </is>
      </c>
      <c r="B102" t="inlineStr">
        <is>
          <t>avverkningsanmälan</t>
        </is>
      </c>
      <c r="C102" t="inlineStr">
        <is>
          <t>Föryngringsavverkning</t>
        </is>
      </c>
      <c r="D102" s="1" t="n">
        <v>44735</v>
      </c>
      <c r="E102" s="1" t="n">
        <v>46317</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2629-2025</t>
        </is>
      </c>
      <c r="B103" t="inlineStr">
        <is>
          <t>avverkningsanmälan</t>
        </is>
      </c>
      <c r="C103" t="inlineStr">
        <is>
          <t>Föryngringsavverkning</t>
        </is>
      </c>
      <c r="D103" s="1" t="n">
        <v>45675</v>
      </c>
      <c r="E103" s="1" t="n">
        <v>46317</v>
      </c>
      <c r="F103" t="inlineStr">
        <is>
          <t>UPPSALA LÄN</t>
        </is>
      </c>
      <c r="G103" t="inlineStr">
        <is>
          <t>KNIVSTA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5320-2023</t>
        </is>
      </c>
      <c r="B104" t="inlineStr">
        <is>
          <t>avverkningsanmälan</t>
        </is>
      </c>
      <c r="C104" t="inlineStr">
        <is>
          <t>Föryngringsavverkning</t>
        </is>
      </c>
      <c r="D104" s="1" t="n">
        <v>44959</v>
      </c>
      <c r="E104" s="1" t="n">
        <v>46317</v>
      </c>
      <c r="F104" t="inlineStr">
        <is>
          <t>UPPSALA LÄN</t>
        </is>
      </c>
      <c r="G104" t="inlineStr">
        <is>
          <t>KNIVSTA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46317</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39978-2026</t>
        </is>
      </c>
      <c r="B106" t="inlineStr">
        <is>
          <t>avverkningsanmälan</t>
        </is>
      </c>
      <c r="C106" t="inlineStr">
        <is>
          <t>Föryngringsavverkning</t>
        </is>
      </c>
      <c r="D106" s="1" t="n">
        <v>46293</v>
      </c>
      <c r="E106" s="1" t="n">
        <v>46317</v>
      </c>
      <c r="F106" t="inlineStr">
        <is>
          <t>UPPSALA LÄN</t>
        </is>
      </c>
      <c r="G106" t="inlineStr">
        <is>
          <t>KNIVSTA</t>
        </is>
      </c>
      <c r="H106" t="inlineStr">
        <is>
          <t>Holmen skog AB</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17091-2023</t>
        </is>
      </c>
      <c r="B107" t="inlineStr">
        <is>
          <t>avverkningsanmälan</t>
        </is>
      </c>
      <c r="C107" t="inlineStr">
        <is>
          <t>Föryngringsavverkning</t>
        </is>
      </c>
      <c r="D107" s="1" t="n">
        <v>45034</v>
      </c>
      <c r="E107" s="1" t="n">
        <v>46317</v>
      </c>
      <c r="F107" t="inlineStr">
        <is>
          <t>UPPSALA LÄN</t>
        </is>
      </c>
      <c r="G107" t="inlineStr">
        <is>
          <t>KNIVSTA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794-2024</t>
        </is>
      </c>
      <c r="B108" t="inlineStr">
        <is>
          <t>avverkningsanmälan</t>
        </is>
      </c>
      <c r="C108" t="inlineStr">
        <is>
          <t>Föryngringsavverkning</t>
        </is>
      </c>
      <c r="D108" s="1" t="n">
        <v>45300</v>
      </c>
      <c r="E108" s="1" t="n">
        <v>46317</v>
      </c>
      <c r="F108" t="inlineStr">
        <is>
          <t>UPPSALA LÄN</t>
        </is>
      </c>
      <c r="G108" t="inlineStr">
        <is>
          <t>KNIVSTA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19777-2026</t>
        </is>
      </c>
      <c r="B109" t="inlineStr">
        <is>
          <t>avverkningsanmälan</t>
        </is>
      </c>
      <c r="C109" t="inlineStr">
        <is>
          <t>Föryngringsavverkning</t>
        </is>
      </c>
      <c r="D109" s="1" t="n">
        <v>46135</v>
      </c>
      <c r="E109" s="1" t="n">
        <v>46317</v>
      </c>
      <c r="F109" t="inlineStr">
        <is>
          <t>UPPSALA LÄN</t>
        </is>
      </c>
      <c r="G109" t="inlineStr">
        <is>
          <t>KNIVSTA</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43447-2026</t>
        </is>
      </c>
      <c r="B110" t="inlineStr">
        <is>
          <t>avverkningsanmälan</t>
        </is>
      </c>
      <c r="C110" t="inlineStr">
        <is>
          <t>Föryngringsavverkning</t>
        </is>
      </c>
      <c r="D110" s="1" t="n">
        <v>46314</v>
      </c>
      <c r="E110" s="1" t="n">
        <v>46317</v>
      </c>
      <c r="F110" t="inlineStr">
        <is>
          <t>UPPSALA LÄN</t>
        </is>
      </c>
      <c r="G110" t="inlineStr">
        <is>
          <t>KNIVSTA</t>
        </is>
      </c>
      <c r="I110" t="n">
        <v>9.699999999999999</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46317</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2026-10-22T01:59:36Z</dcterms:created>
  <dcterms:modified xmlns:dcterms="http://purl.org/dc/terms/" xmlns:xsi="http://www.w3.org/2001/XMLSchema-instance" xsi:type="dcterms:W3CDTF">2026-10-22T01:59:36Z</dcterms:modified>
</cp:coreProperties>
</file>