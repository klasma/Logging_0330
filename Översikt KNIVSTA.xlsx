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46127</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46127</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46127</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46127</v>
      </c>
      <c r="D5" t="inlineStr">
        <is>
          <t>UPPSALA LÄN</t>
        </is>
      </c>
      <c r="E5" t="inlineStr">
        <is>
          <t>KNIVSTA</t>
        </is>
      </c>
      <c r="G5" t="n">
        <v>17.8</v>
      </c>
      <c r="H5" t="n">
        <v>10</v>
      </c>
      <c r="I5" t="n">
        <v>1</v>
      </c>
      <c r="J5" t="n">
        <v>5</v>
      </c>
      <c r="K5" t="n">
        <v>0</v>
      </c>
      <c r="L5" t="n">
        <v>1</v>
      </c>
      <c r="M5" t="n">
        <v>0</v>
      </c>
      <c r="N5" t="n">
        <v>0</v>
      </c>
      <c r="O5" t="n">
        <v>6</v>
      </c>
      <c r="P5" t="n">
        <v>1</v>
      </c>
      <c r="Q5" t="n">
        <v>11</v>
      </c>
      <c r="R5" s="2" t="inlineStr">
        <is>
          <t>Grönfink
Granticka
Grönsångare
Gulsparv
Havsörn
Rödvingetrast
Grön sköldmossa
Grönsiska
Järnsparv
Kungsfågel
Blåsippa</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44867-2023</t>
        </is>
      </c>
      <c r="B6" s="1" t="n">
        <v>45190</v>
      </c>
      <c r="C6" s="1" t="n">
        <v>46127</v>
      </c>
      <c r="D6" t="inlineStr">
        <is>
          <t>UPPSALA LÄN</t>
        </is>
      </c>
      <c r="E6" t="inlineStr">
        <is>
          <t>KNIVSTA</t>
        </is>
      </c>
      <c r="G6" t="n">
        <v>7.8</v>
      </c>
      <c r="H6" t="n">
        <v>4</v>
      </c>
      <c r="I6" t="n">
        <v>3</v>
      </c>
      <c r="J6" t="n">
        <v>2</v>
      </c>
      <c r="K6" t="n">
        <v>1</v>
      </c>
      <c r="L6" t="n">
        <v>0</v>
      </c>
      <c r="M6" t="n">
        <v>0</v>
      </c>
      <c r="N6" t="n">
        <v>0</v>
      </c>
      <c r="O6" t="n">
        <v>3</v>
      </c>
      <c r="P6" t="n">
        <v>1</v>
      </c>
      <c r="Q6" t="n">
        <v>9</v>
      </c>
      <c r="R6" s="2" t="inlineStr">
        <is>
          <t>Bombmurkla
Granticka
Kandelabersvamp
Granbräken
Myskmadra
Stor aspticka
Enkelbeckasin
Trana
Gullviva</t>
        </is>
      </c>
      <c r="S6">
        <f>HYPERLINK("https://klasma.github.io/Logging_0330/artfynd/A 44867-2023 artfynd.xlsx", "A 44867-2023")</f>
        <v/>
      </c>
      <c r="T6">
        <f>HYPERLINK("https://klasma.github.io/Logging_0330/kartor/A 44867-2023 karta.png", "A 44867-2023")</f>
        <v/>
      </c>
      <c r="V6">
        <f>HYPERLINK("https://klasma.github.io/Logging_0330/klagomål/A 44867-2023 FSC-klagomål.docx", "A 44867-2023")</f>
        <v/>
      </c>
      <c r="W6">
        <f>HYPERLINK("https://klasma.github.io/Logging_0330/klagomålsmail/A 44867-2023 FSC-klagomål mail.docx", "A 44867-2023")</f>
        <v/>
      </c>
      <c r="X6">
        <f>HYPERLINK("https://klasma.github.io/Logging_0330/tillsyn/A 44867-2023 tillsynsbegäran.docx", "A 44867-2023")</f>
        <v/>
      </c>
      <c r="Y6">
        <f>HYPERLINK("https://klasma.github.io/Logging_0330/tillsynsmail/A 44867-2023 tillsynsbegäran mail.docx", "A 44867-2023")</f>
        <v/>
      </c>
      <c r="Z6">
        <f>HYPERLINK("https://klasma.github.io/Logging_0330/fåglar/A 44867-2023 prioriterade fågelarter.docx", "A 44867-2023")</f>
        <v/>
      </c>
    </row>
    <row r="7" ht="15" customHeight="1">
      <c r="A7" t="inlineStr">
        <is>
          <t>A 7444-2023</t>
        </is>
      </c>
      <c r="B7" s="1" t="n">
        <v>44971</v>
      </c>
      <c r="C7" s="1" t="n">
        <v>46127</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12958-2026</t>
        </is>
      </c>
      <c r="B8" s="1" t="n">
        <v>46092.63871527778</v>
      </c>
      <c r="C8" s="1" t="n">
        <v>46127</v>
      </c>
      <c r="D8" t="inlineStr">
        <is>
          <t>UPPSALA LÄN</t>
        </is>
      </c>
      <c r="E8" t="inlineStr">
        <is>
          <t>KNIVSTA</t>
        </is>
      </c>
      <c r="F8" t="inlineStr">
        <is>
          <t>Holmen skog AB</t>
        </is>
      </c>
      <c r="G8" t="n">
        <v>3.8</v>
      </c>
      <c r="H8" t="n">
        <v>1</v>
      </c>
      <c r="I8" t="n">
        <v>2</v>
      </c>
      <c r="J8" t="n">
        <v>2</v>
      </c>
      <c r="K8" t="n">
        <v>0</v>
      </c>
      <c r="L8" t="n">
        <v>0</v>
      </c>
      <c r="M8" t="n">
        <v>0</v>
      </c>
      <c r="N8" t="n">
        <v>0</v>
      </c>
      <c r="O8" t="n">
        <v>2</v>
      </c>
      <c r="P8" t="n">
        <v>0</v>
      </c>
      <c r="Q8" t="n">
        <v>5</v>
      </c>
      <c r="R8" s="2" t="inlineStr">
        <is>
          <t>Tallkötticka
Ullticka
Blodticka
Vågbandad barkbock
Tjäder</t>
        </is>
      </c>
      <c r="S8">
        <f>HYPERLINK("https://klasma.github.io/Logging_0330/artfynd/A 12958-2026 artfynd.xlsx", "A 12958-2026")</f>
        <v/>
      </c>
      <c r="T8">
        <f>HYPERLINK("https://klasma.github.io/Logging_0330/kartor/A 12958-2026 karta.png", "A 12958-2026")</f>
        <v/>
      </c>
      <c r="V8">
        <f>HYPERLINK("https://klasma.github.io/Logging_0330/klagomål/A 12958-2026 FSC-klagomål.docx", "A 12958-2026")</f>
        <v/>
      </c>
      <c r="W8">
        <f>HYPERLINK("https://klasma.github.io/Logging_0330/klagomålsmail/A 12958-2026 FSC-klagomål mail.docx", "A 12958-2026")</f>
        <v/>
      </c>
      <c r="X8">
        <f>HYPERLINK("https://klasma.github.io/Logging_0330/tillsyn/A 12958-2026 tillsynsbegäran.docx", "A 12958-2026")</f>
        <v/>
      </c>
      <c r="Y8">
        <f>HYPERLINK("https://klasma.github.io/Logging_0330/tillsynsmail/A 12958-2026 tillsynsbegäran mail.docx", "A 12958-2026")</f>
        <v/>
      </c>
      <c r="Z8">
        <f>HYPERLINK("https://klasma.github.io/Logging_0330/fåglar/A 12958-2026 prioriterade fågelarter.docx", "A 12958-2026")</f>
        <v/>
      </c>
    </row>
    <row r="9" ht="15" customHeight="1">
      <c r="A9" t="inlineStr">
        <is>
          <t>A 22258-2022</t>
        </is>
      </c>
      <c r="B9" s="1" t="n">
        <v>44712</v>
      </c>
      <c r="C9" s="1" t="n">
        <v>46127</v>
      </c>
      <c r="D9" t="inlineStr">
        <is>
          <t>UPPSALA LÄN</t>
        </is>
      </c>
      <c r="E9" t="inlineStr">
        <is>
          <t>KNIVSTA</t>
        </is>
      </c>
      <c r="G9" t="n">
        <v>1.4</v>
      </c>
      <c r="H9" t="n">
        <v>2</v>
      </c>
      <c r="I9" t="n">
        <v>2</v>
      </c>
      <c r="J9" t="n">
        <v>0</v>
      </c>
      <c r="K9" t="n">
        <v>1</v>
      </c>
      <c r="L9" t="n">
        <v>0</v>
      </c>
      <c r="M9" t="n">
        <v>0</v>
      </c>
      <c r="N9" t="n">
        <v>0</v>
      </c>
      <c r="O9" t="n">
        <v>1</v>
      </c>
      <c r="P9" t="n">
        <v>1</v>
      </c>
      <c r="Q9" t="n">
        <v>4</v>
      </c>
      <c r="R9" s="2" t="inlineStr">
        <is>
          <t>Bombmurkla
Kamjordstjärna
Svart trolldruva
Blåsippa</t>
        </is>
      </c>
      <c r="S9">
        <f>HYPERLINK("https://klasma.github.io/Logging_0330/artfynd/A 22258-2022 artfynd.xlsx", "A 22258-2022")</f>
        <v/>
      </c>
      <c r="T9">
        <f>HYPERLINK("https://klasma.github.io/Logging_0330/kartor/A 22258-2022 karta.png", "A 22258-2022")</f>
        <v/>
      </c>
      <c r="V9">
        <f>HYPERLINK("https://klasma.github.io/Logging_0330/klagomål/A 22258-2022 FSC-klagomål.docx", "A 22258-2022")</f>
        <v/>
      </c>
      <c r="W9">
        <f>HYPERLINK("https://klasma.github.io/Logging_0330/klagomålsmail/A 22258-2022 FSC-klagomål mail.docx", "A 22258-2022")</f>
        <v/>
      </c>
      <c r="X9">
        <f>HYPERLINK("https://klasma.github.io/Logging_0330/tillsyn/A 22258-2022 tillsynsbegäran.docx", "A 22258-2022")</f>
        <v/>
      </c>
      <c r="Y9">
        <f>HYPERLINK("https://klasma.github.io/Logging_0330/tillsynsmail/A 22258-2022 tillsynsbegäran mail.docx", "A 22258-2022")</f>
        <v/>
      </c>
    </row>
    <row r="10" ht="15" customHeight="1">
      <c r="A10" t="inlineStr">
        <is>
          <t>A 2214-2026</t>
        </is>
      </c>
      <c r="B10" s="1" t="n">
        <v>46036</v>
      </c>
      <c r="C10" s="1" t="n">
        <v>46127</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46127</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53813-2025</t>
        </is>
      </c>
      <c r="B12" s="1" t="n">
        <v>45960</v>
      </c>
      <c r="C12" s="1" t="n">
        <v>46127</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46127</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13002-2026</t>
        </is>
      </c>
      <c r="B14" s="1" t="n">
        <v>46092.68854166667</v>
      </c>
      <c r="C14" s="1" t="n">
        <v>46127</v>
      </c>
      <c r="D14" t="inlineStr">
        <is>
          <t>UPPSALA LÄN</t>
        </is>
      </c>
      <c r="E14" t="inlineStr">
        <is>
          <t>KNIVSTA</t>
        </is>
      </c>
      <c r="F14" t="inlineStr">
        <is>
          <t>Holmen skog AB</t>
        </is>
      </c>
      <c r="G14" t="n">
        <v>0.7</v>
      </c>
      <c r="H14" t="n">
        <v>1</v>
      </c>
      <c r="I14" t="n">
        <v>0</v>
      </c>
      <c r="J14" t="n">
        <v>0</v>
      </c>
      <c r="K14" t="n">
        <v>1</v>
      </c>
      <c r="L14" t="n">
        <v>0</v>
      </c>
      <c r="M14" t="n">
        <v>0</v>
      </c>
      <c r="N14" t="n">
        <v>0</v>
      </c>
      <c r="O14" t="n">
        <v>1</v>
      </c>
      <c r="P14" t="n">
        <v>1</v>
      </c>
      <c r="Q14" t="n">
        <v>1</v>
      </c>
      <c r="R14" s="2" t="inlineStr">
        <is>
          <t>Knärot</t>
        </is>
      </c>
      <c r="S14">
        <f>HYPERLINK("https://klasma.github.io/Logging_0330/artfynd/A 13002-2026 artfynd.xlsx", "A 13002-2026")</f>
        <v/>
      </c>
      <c r="T14">
        <f>HYPERLINK("https://klasma.github.io/Logging_0330/kartor/A 13002-2026 karta.png", "A 13002-2026")</f>
        <v/>
      </c>
      <c r="U14">
        <f>HYPERLINK("https://klasma.github.io/Logging_0330/knärot/A 13002-2026 karta knärot.png", "A 13002-2026")</f>
        <v/>
      </c>
      <c r="V14">
        <f>HYPERLINK("https://klasma.github.io/Logging_0330/klagomål/A 13002-2026 FSC-klagomål.docx", "A 13002-2026")</f>
        <v/>
      </c>
      <c r="W14">
        <f>HYPERLINK("https://klasma.github.io/Logging_0330/klagomålsmail/A 13002-2026 FSC-klagomål mail.docx", "A 13002-2026")</f>
        <v/>
      </c>
      <c r="X14">
        <f>HYPERLINK("https://klasma.github.io/Logging_0330/tillsyn/A 13002-2026 tillsynsbegäran.docx", "A 13002-2026")</f>
        <v/>
      </c>
      <c r="Y14">
        <f>HYPERLINK("https://klasma.github.io/Logging_0330/tillsynsmail/A 13002-2026 tillsynsbegäran mail.docx", "A 13002-2026")</f>
        <v/>
      </c>
    </row>
    <row r="15" ht="15" customHeight="1">
      <c r="A15" t="inlineStr">
        <is>
          <t>A 13004-2026</t>
        </is>
      </c>
      <c r="B15" s="1" t="n">
        <v>46092.68935185186</v>
      </c>
      <c r="C15" s="1" t="n">
        <v>46127</v>
      </c>
      <c r="D15" t="inlineStr">
        <is>
          <t>UPPSALA LÄN</t>
        </is>
      </c>
      <c r="E15" t="inlineStr">
        <is>
          <t>KNIVSTA</t>
        </is>
      </c>
      <c r="F15" t="inlineStr">
        <is>
          <t>Holmen skog AB</t>
        </is>
      </c>
      <c r="G15" t="n">
        <v>7.8</v>
      </c>
      <c r="H15" t="n">
        <v>1</v>
      </c>
      <c r="I15" t="n">
        <v>0</v>
      </c>
      <c r="J15" t="n">
        <v>1</v>
      </c>
      <c r="K15" t="n">
        <v>0</v>
      </c>
      <c r="L15" t="n">
        <v>0</v>
      </c>
      <c r="M15" t="n">
        <v>0</v>
      </c>
      <c r="N15" t="n">
        <v>0</v>
      </c>
      <c r="O15" t="n">
        <v>1</v>
      </c>
      <c r="P15" t="n">
        <v>0</v>
      </c>
      <c r="Q15" t="n">
        <v>1</v>
      </c>
      <c r="R15" s="2" t="inlineStr">
        <is>
          <t>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13380-2026</t>
        </is>
      </c>
      <c r="B16" s="1" t="n">
        <v>46094.42555555556</v>
      </c>
      <c r="C16" s="1" t="n">
        <v>46127</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33770-2023</t>
        </is>
      </c>
      <c r="B17" s="1" t="n">
        <v>45133</v>
      </c>
      <c r="C17" s="1" t="n">
        <v>46127</v>
      </c>
      <c r="D17" t="inlineStr">
        <is>
          <t>UPPSALA LÄN</t>
        </is>
      </c>
      <c r="E17" t="inlineStr">
        <is>
          <t>KNIVSTA</t>
        </is>
      </c>
      <c r="F17" t="inlineStr">
        <is>
          <t>Holmen skog AB</t>
        </is>
      </c>
      <c r="G17" t="n">
        <v>4</v>
      </c>
      <c r="H17" t="n">
        <v>1</v>
      </c>
      <c r="I17" t="n">
        <v>0</v>
      </c>
      <c r="J17" t="n">
        <v>1</v>
      </c>
      <c r="K17" t="n">
        <v>0</v>
      </c>
      <c r="L17" t="n">
        <v>0</v>
      </c>
      <c r="M17" t="n">
        <v>0</v>
      </c>
      <c r="N17" t="n">
        <v>0</v>
      </c>
      <c r="O17" t="n">
        <v>1</v>
      </c>
      <c r="P17" t="n">
        <v>0</v>
      </c>
      <c r="Q17" t="n">
        <v>1</v>
      </c>
      <c r="R17" s="2" t="inlineStr">
        <is>
          <t>Slaguggla</t>
        </is>
      </c>
      <c r="S17">
        <f>HYPERLINK("https://klasma.github.io/Logging_0330/artfynd/A 33770-2023 artfynd.xlsx", "A 33770-2023")</f>
        <v/>
      </c>
      <c r="T17">
        <f>HYPERLINK("https://klasma.github.io/Logging_0330/kartor/A 33770-2023 karta.png", "A 33770-2023")</f>
        <v/>
      </c>
      <c r="V17">
        <f>HYPERLINK("https://klasma.github.io/Logging_0330/klagomål/A 33770-2023 FSC-klagomål.docx", "A 33770-2023")</f>
        <v/>
      </c>
      <c r="W17">
        <f>HYPERLINK("https://klasma.github.io/Logging_0330/klagomålsmail/A 33770-2023 FSC-klagomål mail.docx", "A 33770-2023")</f>
        <v/>
      </c>
      <c r="X17">
        <f>HYPERLINK("https://klasma.github.io/Logging_0330/tillsyn/A 33770-2023 tillsynsbegäran.docx", "A 33770-2023")</f>
        <v/>
      </c>
      <c r="Y17">
        <f>HYPERLINK("https://klasma.github.io/Logging_0330/tillsynsmail/A 33770-2023 tillsynsbegäran mail.docx", "A 33770-2023")</f>
        <v/>
      </c>
      <c r="Z17">
        <f>HYPERLINK("https://klasma.github.io/Logging_0330/fåglar/A 33770-2023 prioriterade fågelarter.docx", "A 33770-2023")</f>
        <v/>
      </c>
    </row>
    <row r="18" ht="15" customHeight="1">
      <c r="A18" t="inlineStr">
        <is>
          <t>A 9553-2025</t>
        </is>
      </c>
      <c r="B18" s="1" t="n">
        <v>45715</v>
      </c>
      <c r="C18" s="1" t="n">
        <v>46127</v>
      </c>
      <c r="D18" t="inlineStr">
        <is>
          <t>UPPSALA LÄN</t>
        </is>
      </c>
      <c r="E18" t="inlineStr">
        <is>
          <t>KNIVSTA</t>
        </is>
      </c>
      <c r="G18" t="n">
        <v>3.5</v>
      </c>
      <c r="H18" t="n">
        <v>1</v>
      </c>
      <c r="I18" t="n">
        <v>0</v>
      </c>
      <c r="J18" t="n">
        <v>0</v>
      </c>
      <c r="K18" t="n">
        <v>0</v>
      </c>
      <c r="L18" t="n">
        <v>0</v>
      </c>
      <c r="M18" t="n">
        <v>0</v>
      </c>
      <c r="N18" t="n">
        <v>0</v>
      </c>
      <c r="O18" t="n">
        <v>0</v>
      </c>
      <c r="P18" t="n">
        <v>0</v>
      </c>
      <c r="Q18" t="n">
        <v>1</v>
      </c>
      <c r="R18" s="2" t="inlineStr">
        <is>
          <t>Nattviol</t>
        </is>
      </c>
      <c r="S18">
        <f>HYPERLINK("https://klasma.github.io/Logging_0330/artfynd/A 9553-2025 artfynd.xlsx", "A 9553-2025")</f>
        <v/>
      </c>
      <c r="T18">
        <f>HYPERLINK("https://klasma.github.io/Logging_0330/kartor/A 9553-2025 karta.png", "A 9553-2025")</f>
        <v/>
      </c>
      <c r="V18">
        <f>HYPERLINK("https://klasma.github.io/Logging_0330/klagomål/A 9553-2025 FSC-klagomål.docx", "A 9553-2025")</f>
        <v/>
      </c>
      <c r="W18">
        <f>HYPERLINK("https://klasma.github.io/Logging_0330/klagomålsmail/A 9553-2025 FSC-klagomål mail.docx", "A 9553-2025")</f>
        <v/>
      </c>
      <c r="X18">
        <f>HYPERLINK("https://klasma.github.io/Logging_0330/tillsyn/A 9553-2025 tillsynsbegäran.docx", "A 9553-2025")</f>
        <v/>
      </c>
      <c r="Y18">
        <f>HYPERLINK("https://klasma.github.io/Logging_0330/tillsynsmail/A 9553-2025 tillsynsbegäran mail.docx", "A 9553-2025")</f>
        <v/>
      </c>
    </row>
    <row r="19" ht="15" customHeight="1">
      <c r="A19" t="inlineStr">
        <is>
          <t>A 9561-2026</t>
        </is>
      </c>
      <c r="B19" s="1" t="n">
        <v>46071.64916666667</v>
      </c>
      <c r="C19" s="1" t="n">
        <v>46127</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11405-2025</t>
        </is>
      </c>
      <c r="B20" s="1" t="n">
        <v>45726</v>
      </c>
      <c r="C20" s="1" t="n">
        <v>46127</v>
      </c>
      <c r="D20" t="inlineStr">
        <is>
          <t>UPPSALA LÄN</t>
        </is>
      </c>
      <c r="E20" t="inlineStr">
        <is>
          <t>KNIVSTA</t>
        </is>
      </c>
      <c r="G20" t="n">
        <v>1.6</v>
      </c>
      <c r="H20" t="n">
        <v>0</v>
      </c>
      <c r="I20" t="n">
        <v>0</v>
      </c>
      <c r="J20" t="n">
        <v>0</v>
      </c>
      <c r="K20" t="n">
        <v>0</v>
      </c>
      <c r="L20" t="n">
        <v>1</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16407-2025</t>
        </is>
      </c>
      <c r="B21" s="1" t="n">
        <v>45751.45120370371</v>
      </c>
      <c r="C21" s="1" t="n">
        <v>46127</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21831-2024</t>
        </is>
      </c>
      <c r="B22" s="1" t="n">
        <v>45442</v>
      </c>
      <c r="C22" s="1" t="n">
        <v>46127</v>
      </c>
      <c r="D22" t="inlineStr">
        <is>
          <t>UPPSALA LÄN</t>
        </is>
      </c>
      <c r="E22" t="inlineStr">
        <is>
          <t>KNIVSTA</t>
        </is>
      </c>
      <c r="G22" t="n">
        <v>4.5</v>
      </c>
      <c r="H22" t="n">
        <v>1</v>
      </c>
      <c r="I22" t="n">
        <v>0</v>
      </c>
      <c r="J22" t="n">
        <v>0</v>
      </c>
      <c r="K22" t="n">
        <v>0</v>
      </c>
      <c r="L22" t="n">
        <v>0</v>
      </c>
      <c r="M22" t="n">
        <v>0</v>
      </c>
      <c r="N22" t="n">
        <v>0</v>
      </c>
      <c r="O22" t="n">
        <v>0</v>
      </c>
      <c r="P22" t="n">
        <v>0</v>
      </c>
      <c r="Q22" t="n">
        <v>1</v>
      </c>
      <c r="R22" s="2" t="inlineStr">
        <is>
          <t>Blåsippa</t>
        </is>
      </c>
      <c r="S22">
        <f>HYPERLINK("https://klasma.github.io/Logging_0330/artfynd/A 21831-2024 artfynd.xlsx", "A 21831-2024")</f>
        <v/>
      </c>
      <c r="T22">
        <f>HYPERLINK("https://klasma.github.io/Logging_0330/kartor/A 21831-2024 karta.png", "A 21831-2024")</f>
        <v/>
      </c>
      <c r="V22">
        <f>HYPERLINK("https://klasma.github.io/Logging_0330/klagomål/A 21831-2024 FSC-klagomål.docx", "A 21831-2024")</f>
        <v/>
      </c>
      <c r="W22">
        <f>HYPERLINK("https://klasma.github.io/Logging_0330/klagomålsmail/A 21831-2024 FSC-klagomål mail.docx", "A 21831-2024")</f>
        <v/>
      </c>
      <c r="X22">
        <f>HYPERLINK("https://klasma.github.io/Logging_0330/tillsyn/A 21831-2024 tillsynsbegäran.docx", "A 21831-2024")</f>
        <v/>
      </c>
      <c r="Y22">
        <f>HYPERLINK("https://klasma.github.io/Logging_0330/tillsynsmail/A 21831-2024 tillsynsbegäran mail.docx", "A 21831-2024")</f>
        <v/>
      </c>
    </row>
    <row r="23" ht="15" customHeight="1">
      <c r="A23" t="inlineStr">
        <is>
          <t>A 19796-2021</t>
        </is>
      </c>
      <c r="B23" s="1" t="n">
        <v>44313</v>
      </c>
      <c r="C23" s="1" t="n">
        <v>46127</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46127</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46127</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46127</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46127</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46127</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46127</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46127</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46127</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46127</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46127</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46127</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46127</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46127</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46127</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46127</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46127</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46127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46127</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46127</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46127</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46127</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46127</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46127</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46127</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46127</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46127</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46127</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46127</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46127</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46127</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57631-2025</t>
        </is>
      </c>
      <c r="B54" s="1" t="n">
        <v>45981.34748842593</v>
      </c>
      <c r="C54" s="1" t="n">
        <v>46127</v>
      </c>
      <c r="D54" t="inlineStr">
        <is>
          <t>UPPSALA LÄN</t>
        </is>
      </c>
      <c r="E54" t="inlineStr">
        <is>
          <t>KNIVSTA</t>
        </is>
      </c>
      <c r="G54" t="n">
        <v>3.4</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46127</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46127</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46127</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46127</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46127</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46127</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46127</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46127</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16396-2025</t>
        </is>
      </c>
      <c r="B63" s="1" t="n">
        <v>45751.44219907407</v>
      </c>
      <c r="C63" s="1" t="n">
        <v>46127</v>
      </c>
      <c r="D63" t="inlineStr">
        <is>
          <t>UPPSALA LÄN</t>
        </is>
      </c>
      <c r="E63" t="inlineStr">
        <is>
          <t>KNIVSTA</t>
        </is>
      </c>
      <c r="G63" t="n">
        <v>5.1</v>
      </c>
      <c r="H63" t="n">
        <v>0</v>
      </c>
      <c r="I63" t="n">
        <v>0</v>
      </c>
      <c r="J63" t="n">
        <v>0</v>
      </c>
      <c r="K63" t="n">
        <v>0</v>
      </c>
      <c r="L63" t="n">
        <v>0</v>
      </c>
      <c r="M63" t="n">
        <v>0</v>
      </c>
      <c r="N63" t="n">
        <v>0</v>
      </c>
      <c r="O63" t="n">
        <v>0</v>
      </c>
      <c r="P63" t="n">
        <v>0</v>
      </c>
      <c r="Q63" t="n">
        <v>0</v>
      </c>
      <c r="R63" s="2" t="inlineStr"/>
    </row>
    <row r="64" ht="15" customHeight="1">
      <c r="A64" t="inlineStr">
        <is>
          <t>A 33976-2025</t>
        </is>
      </c>
      <c r="B64" s="1" t="n">
        <v>45843</v>
      </c>
      <c r="C64" s="1" t="n">
        <v>46127</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46127</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33975-2025</t>
        </is>
      </c>
      <c r="B66" s="1" t="n">
        <v>45843.30805555556</v>
      </c>
      <c r="C66" s="1" t="n">
        <v>46127</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53812-2025</t>
        </is>
      </c>
      <c r="B67" s="1" t="n">
        <v>45960</v>
      </c>
      <c r="C67" s="1" t="n">
        <v>46127</v>
      </c>
      <c r="D67" t="inlineStr">
        <is>
          <t>UPPSALA LÄN</t>
        </is>
      </c>
      <c r="E67" t="inlineStr">
        <is>
          <t>KNIVSTA</t>
        </is>
      </c>
      <c r="G67" t="n">
        <v>5.8</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46127</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46127</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46127</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46127</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60243-2025</t>
        </is>
      </c>
      <c r="B72" s="1" t="n">
        <v>45994.58650462963</v>
      </c>
      <c r="C72" s="1" t="n">
        <v>46127</v>
      </c>
      <c r="D72" t="inlineStr">
        <is>
          <t>UPPSALA LÄN</t>
        </is>
      </c>
      <c r="E72" t="inlineStr">
        <is>
          <t>KNIVSTA</t>
        </is>
      </c>
      <c r="F72" t="inlineStr">
        <is>
          <t>Holmen skog AB</t>
        </is>
      </c>
      <c r="G72" t="n">
        <v>2.4</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46127</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46127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46127</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46127</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46127</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46127</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53898-2025</t>
        </is>
      </c>
      <c r="B79" s="1" t="n">
        <v>45961.43056712963</v>
      </c>
      <c r="C79" s="1" t="n">
        <v>46127</v>
      </c>
      <c r="D79" t="inlineStr">
        <is>
          <t>UPPSALA LÄN</t>
        </is>
      </c>
      <c r="E79" t="inlineStr">
        <is>
          <t>KNIVSTA</t>
        </is>
      </c>
      <c r="G79" t="n">
        <v>4.5</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46127</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5402-2023</t>
        </is>
      </c>
      <c r="B81" s="1" t="n">
        <v>44959</v>
      </c>
      <c r="C81" s="1" t="n">
        <v>46127</v>
      </c>
      <c r="D81" t="inlineStr">
        <is>
          <t>UPPSALA LÄN</t>
        </is>
      </c>
      <c r="E81" t="inlineStr">
        <is>
          <t>KNIVSTA</t>
        </is>
      </c>
      <c r="G81" t="n">
        <v>4.3</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46127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666-2026</t>
        </is>
      </c>
      <c r="B83" s="1" t="n">
        <v>46029.58832175926</v>
      </c>
      <c r="C83" s="1" t="n">
        <v>46127</v>
      </c>
      <c r="D83" t="inlineStr">
        <is>
          <t>UPPSALA LÄN</t>
        </is>
      </c>
      <c r="E83" t="inlineStr">
        <is>
          <t>KNIVSTA</t>
        </is>
      </c>
      <c r="G83" t="n">
        <v>1.8</v>
      </c>
      <c r="H83" t="n">
        <v>0</v>
      </c>
      <c r="I83" t="n">
        <v>0</v>
      </c>
      <c r="J83" t="n">
        <v>0</v>
      </c>
      <c r="K83" t="n">
        <v>0</v>
      </c>
      <c r="L83" t="n">
        <v>0</v>
      </c>
      <c r="M83" t="n">
        <v>0</v>
      </c>
      <c r="N83" t="n">
        <v>0</v>
      </c>
      <c r="O83" t="n">
        <v>0</v>
      </c>
      <c r="P83" t="n">
        <v>0</v>
      </c>
      <c r="Q83" t="n">
        <v>0</v>
      </c>
      <c r="R83" s="2" t="inlineStr"/>
    </row>
    <row r="84" ht="15" customHeight="1">
      <c r="A84" t="inlineStr">
        <is>
          <t>A 662-2026</t>
        </is>
      </c>
      <c r="B84" s="1" t="n">
        <v>46029.58549768518</v>
      </c>
      <c r="C84" s="1" t="n">
        <v>46127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32975-2021</t>
        </is>
      </c>
      <c r="B85" s="1" t="n">
        <v>44376</v>
      </c>
      <c r="C85" s="1" t="n">
        <v>46127</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2952-2026</t>
        </is>
      </c>
      <c r="B86" s="1" t="n">
        <v>46037</v>
      </c>
      <c r="C86" s="1" t="n">
        <v>46127</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5276-2026</t>
        </is>
      </c>
      <c r="B87" s="1" t="n">
        <v>46037</v>
      </c>
      <c r="C87" s="1" t="n">
        <v>46127</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2944-2026</t>
        </is>
      </c>
      <c r="B88" s="1" t="n">
        <v>46037</v>
      </c>
      <c r="C88" s="1" t="n">
        <v>46127</v>
      </c>
      <c r="D88" t="inlineStr">
        <is>
          <t>UPPSALA LÄN</t>
        </is>
      </c>
      <c r="E88" t="inlineStr">
        <is>
          <t>KNIVSTA</t>
        </is>
      </c>
      <c r="G88" t="n">
        <v>4.7</v>
      </c>
      <c r="H88" t="n">
        <v>0</v>
      </c>
      <c r="I88" t="n">
        <v>0</v>
      </c>
      <c r="J88" t="n">
        <v>0</v>
      </c>
      <c r="K88" t="n">
        <v>0</v>
      </c>
      <c r="L88" t="n">
        <v>0</v>
      </c>
      <c r="M88" t="n">
        <v>0</v>
      </c>
      <c r="N88" t="n">
        <v>0</v>
      </c>
      <c r="O88" t="n">
        <v>0</v>
      </c>
      <c r="P88" t="n">
        <v>0</v>
      </c>
      <c r="Q88" t="n">
        <v>0</v>
      </c>
      <c r="R88" s="2" t="inlineStr"/>
    </row>
    <row r="89" ht="15" customHeight="1">
      <c r="A89" t="inlineStr">
        <is>
          <t>A 3015-2026</t>
        </is>
      </c>
      <c r="B89" s="1" t="n">
        <v>46038</v>
      </c>
      <c r="C89" s="1" t="n">
        <v>46127</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3016-2026</t>
        </is>
      </c>
      <c r="B90" s="1" t="n">
        <v>46038</v>
      </c>
      <c r="C90" s="1" t="n">
        <v>46127</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3824-2026</t>
        </is>
      </c>
      <c r="B91" s="1" t="n">
        <v>46043.58570601852</v>
      </c>
      <c r="C91" s="1" t="n">
        <v>46127</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12027-2026</t>
        </is>
      </c>
      <c r="B92" s="1" t="n">
        <v>46085.84549768519</v>
      </c>
      <c r="C92" s="1" t="n">
        <v>46127</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3836-2026</t>
        </is>
      </c>
      <c r="B93" s="1" t="n">
        <v>46043.5925</v>
      </c>
      <c r="C93" s="1" t="n">
        <v>46127</v>
      </c>
      <c r="D93" t="inlineStr">
        <is>
          <t>UPPSALA LÄN</t>
        </is>
      </c>
      <c r="E93" t="inlineStr">
        <is>
          <t>KNIVSTA</t>
        </is>
      </c>
      <c r="G93" t="n">
        <v>3.7</v>
      </c>
      <c r="H93" t="n">
        <v>0</v>
      </c>
      <c r="I93" t="n">
        <v>0</v>
      </c>
      <c r="J93" t="n">
        <v>0</v>
      </c>
      <c r="K93" t="n">
        <v>0</v>
      </c>
      <c r="L93" t="n">
        <v>0</v>
      </c>
      <c r="M93" t="n">
        <v>0</v>
      </c>
      <c r="N93" t="n">
        <v>0</v>
      </c>
      <c r="O93" t="n">
        <v>0</v>
      </c>
      <c r="P93" t="n">
        <v>0</v>
      </c>
      <c r="Q93" t="n">
        <v>0</v>
      </c>
      <c r="R93" s="2" t="inlineStr"/>
    </row>
    <row r="94" ht="15" customHeight="1">
      <c r="A94" t="inlineStr">
        <is>
          <t>A 3375-2026</t>
        </is>
      </c>
      <c r="B94" s="1" t="n">
        <v>46042</v>
      </c>
      <c r="C94" s="1" t="n">
        <v>46127</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12774-2026</t>
        </is>
      </c>
      <c r="B95" s="1" t="n">
        <v>46091.70140046296</v>
      </c>
      <c r="C95" s="1" t="n">
        <v>46127</v>
      </c>
      <c r="D95" t="inlineStr">
        <is>
          <t>UPPSALA LÄN</t>
        </is>
      </c>
      <c r="E95" t="inlineStr">
        <is>
          <t>KNIVSTA</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11847-2023</t>
        </is>
      </c>
      <c r="B96" s="1" t="n">
        <v>44995.33957175926</v>
      </c>
      <c r="C96" s="1" t="n">
        <v>46127</v>
      </c>
      <c r="D96" t="inlineStr">
        <is>
          <t>UPPSALA LÄN</t>
        </is>
      </c>
      <c r="E96" t="inlineStr">
        <is>
          <t>KNIVSTA</t>
        </is>
      </c>
      <c r="G96" t="n">
        <v>2.1</v>
      </c>
      <c r="H96" t="n">
        <v>0</v>
      </c>
      <c r="I96" t="n">
        <v>0</v>
      </c>
      <c r="J96" t="n">
        <v>0</v>
      </c>
      <c r="K96" t="n">
        <v>0</v>
      </c>
      <c r="L96" t="n">
        <v>0</v>
      </c>
      <c r="M96" t="n">
        <v>0</v>
      </c>
      <c r="N96" t="n">
        <v>0</v>
      </c>
      <c r="O96" t="n">
        <v>0</v>
      </c>
      <c r="P96" t="n">
        <v>0</v>
      </c>
      <c r="Q96" t="n">
        <v>0</v>
      </c>
      <c r="R96" s="2" t="inlineStr"/>
    </row>
    <row r="97" ht="15" customHeight="1">
      <c r="A97" t="inlineStr">
        <is>
          <t>A 13001-2026</t>
        </is>
      </c>
      <c r="B97" s="1" t="n">
        <v>46092.68502314815</v>
      </c>
      <c r="C97" s="1" t="n">
        <v>46127</v>
      </c>
      <c r="D97" t="inlineStr">
        <is>
          <t>UPPSALA LÄN</t>
        </is>
      </c>
      <c r="E97" t="inlineStr">
        <is>
          <t>KNIVSTA</t>
        </is>
      </c>
      <c r="F97" t="inlineStr">
        <is>
          <t>Holmen skog AB</t>
        </is>
      </c>
      <c r="G97" t="n">
        <v>2.9</v>
      </c>
      <c r="H97" t="n">
        <v>0</v>
      </c>
      <c r="I97" t="n">
        <v>0</v>
      </c>
      <c r="J97" t="n">
        <v>0</v>
      </c>
      <c r="K97" t="n">
        <v>0</v>
      </c>
      <c r="L97" t="n">
        <v>0</v>
      </c>
      <c r="M97" t="n">
        <v>0</v>
      </c>
      <c r="N97" t="n">
        <v>0</v>
      </c>
      <c r="O97" t="n">
        <v>0</v>
      </c>
      <c r="P97" t="n">
        <v>0</v>
      </c>
      <c r="Q97" t="n">
        <v>0</v>
      </c>
      <c r="R97" s="2" t="inlineStr"/>
    </row>
    <row r="98" ht="15" customHeight="1">
      <c r="A98" t="inlineStr">
        <is>
          <t>A 12991-2026</t>
        </is>
      </c>
      <c r="B98" s="1" t="n">
        <v>46092.66820601852</v>
      </c>
      <c r="C98" s="1" t="n">
        <v>46127</v>
      </c>
      <c r="D98" t="inlineStr">
        <is>
          <t>UPPSALA LÄN</t>
        </is>
      </c>
      <c r="E98" t="inlineStr">
        <is>
          <t>KNIVSTA</t>
        </is>
      </c>
      <c r="F98" t="inlineStr">
        <is>
          <t>Holmen skog AB</t>
        </is>
      </c>
      <c r="G98" t="n">
        <v>4.6</v>
      </c>
      <c r="H98" t="n">
        <v>0</v>
      </c>
      <c r="I98" t="n">
        <v>0</v>
      </c>
      <c r="J98" t="n">
        <v>0</v>
      </c>
      <c r="K98" t="n">
        <v>0</v>
      </c>
      <c r="L98" t="n">
        <v>0</v>
      </c>
      <c r="M98" t="n">
        <v>0</v>
      </c>
      <c r="N98" t="n">
        <v>0</v>
      </c>
      <c r="O98" t="n">
        <v>0</v>
      </c>
      <c r="P98" t="n">
        <v>0</v>
      </c>
      <c r="Q98" t="n">
        <v>0</v>
      </c>
      <c r="R98" s="2" t="inlineStr"/>
    </row>
    <row r="99" ht="15" customHeight="1">
      <c r="A99" t="inlineStr">
        <is>
          <t>A 13011-2026</t>
        </is>
      </c>
      <c r="B99" s="1" t="n">
        <v>46092.71887731482</v>
      </c>
      <c r="C99" s="1" t="n">
        <v>46127</v>
      </c>
      <c r="D99" t="inlineStr">
        <is>
          <t>UPPSALA LÄN</t>
        </is>
      </c>
      <c r="E99" t="inlineStr">
        <is>
          <t>KNIVSTA</t>
        </is>
      </c>
      <c r="F99" t="inlineStr">
        <is>
          <t>Holmen skog AB</t>
        </is>
      </c>
      <c r="G99" t="n">
        <v>1.9</v>
      </c>
      <c r="H99" t="n">
        <v>0</v>
      </c>
      <c r="I99" t="n">
        <v>0</v>
      </c>
      <c r="J99" t="n">
        <v>0</v>
      </c>
      <c r="K99" t="n">
        <v>0</v>
      </c>
      <c r="L99" t="n">
        <v>0</v>
      </c>
      <c r="M99" t="n">
        <v>0</v>
      </c>
      <c r="N99" t="n">
        <v>0</v>
      </c>
      <c r="O99" t="n">
        <v>0</v>
      </c>
      <c r="P99" t="n">
        <v>0</v>
      </c>
      <c r="Q99" t="n">
        <v>0</v>
      </c>
      <c r="R99" s="2" t="inlineStr"/>
      <c r="U99">
        <f>HYPERLINK("https://klasma.github.io/Logging_0330/knärot/A 13011-2026 karta knärot.png", "A 13011-2026")</f>
        <v/>
      </c>
      <c r="V99">
        <f>HYPERLINK("https://klasma.github.io/Logging_0330/klagomål/A 13011-2026 FSC-klagomål.docx", "A 13011-2026")</f>
        <v/>
      </c>
      <c r="W99">
        <f>HYPERLINK("https://klasma.github.io/Logging_0330/klagomålsmail/A 13011-2026 FSC-klagomål mail.docx", "A 13011-2026")</f>
        <v/>
      </c>
      <c r="X99">
        <f>HYPERLINK("https://klasma.github.io/Logging_0330/tillsyn/A 13011-2026 tillsynsbegäran.docx", "A 13011-2026")</f>
        <v/>
      </c>
      <c r="Y99">
        <f>HYPERLINK("https://klasma.github.io/Logging_0330/tillsynsmail/A 13011-2026 tillsynsbegäran mail.docx", "A 13011-2026")</f>
        <v/>
      </c>
    </row>
    <row r="100" ht="15" customHeight="1">
      <c r="A100" t="inlineStr">
        <is>
          <t>A 13005-2026</t>
        </is>
      </c>
      <c r="B100" s="1" t="n">
        <v>46092.69429398148</v>
      </c>
      <c r="C100" s="1" t="n">
        <v>46127</v>
      </c>
      <c r="D100" t="inlineStr">
        <is>
          <t>UPPSALA LÄN</t>
        </is>
      </c>
      <c r="E100" t="inlineStr">
        <is>
          <t>KNIVSTA</t>
        </is>
      </c>
      <c r="F100" t="inlineStr">
        <is>
          <t>Holmen skog AB</t>
        </is>
      </c>
      <c r="G100" t="n">
        <v>3</v>
      </c>
      <c r="H100" t="n">
        <v>0</v>
      </c>
      <c r="I100" t="n">
        <v>0</v>
      </c>
      <c r="J100" t="n">
        <v>0</v>
      </c>
      <c r="K100" t="n">
        <v>0</v>
      </c>
      <c r="L100" t="n">
        <v>0</v>
      </c>
      <c r="M100" t="n">
        <v>0</v>
      </c>
      <c r="N100" t="n">
        <v>0</v>
      </c>
      <c r="O100" t="n">
        <v>0</v>
      </c>
      <c r="P100" t="n">
        <v>0</v>
      </c>
      <c r="Q100" t="n">
        <v>0</v>
      </c>
      <c r="R100" s="2" t="inlineStr"/>
    </row>
    <row r="101" ht="15" customHeight="1">
      <c r="A101" t="inlineStr">
        <is>
          <t>A 13016-2026</t>
        </is>
      </c>
      <c r="B101" s="1" t="n">
        <v>46092.73381944445</v>
      </c>
      <c r="C101" s="1" t="n">
        <v>46127</v>
      </c>
      <c r="D101" t="inlineStr">
        <is>
          <t>UPPSALA LÄN</t>
        </is>
      </c>
      <c r="E101" t="inlineStr">
        <is>
          <t>KNIVSTA</t>
        </is>
      </c>
      <c r="F101" t="inlineStr">
        <is>
          <t>Holmen skog AB</t>
        </is>
      </c>
      <c r="G101" t="n">
        <v>1.5</v>
      </c>
      <c r="H101" t="n">
        <v>0</v>
      </c>
      <c r="I101" t="n">
        <v>0</v>
      </c>
      <c r="J101" t="n">
        <v>0</v>
      </c>
      <c r="K101" t="n">
        <v>0</v>
      </c>
      <c r="L101" t="n">
        <v>0</v>
      </c>
      <c r="M101" t="n">
        <v>0</v>
      </c>
      <c r="N101" t="n">
        <v>0</v>
      </c>
      <c r="O101" t="n">
        <v>0</v>
      </c>
      <c r="P101" t="n">
        <v>0</v>
      </c>
      <c r="Q101" t="n">
        <v>0</v>
      </c>
      <c r="R101" s="2" t="inlineStr"/>
    </row>
    <row r="102" ht="15" customHeight="1">
      <c r="A102" t="inlineStr">
        <is>
          <t>A 13013-2026</t>
        </is>
      </c>
      <c r="B102" s="1" t="n">
        <v>46092.7271412037</v>
      </c>
      <c r="C102" s="1" t="n">
        <v>46127</v>
      </c>
      <c r="D102" t="inlineStr">
        <is>
          <t>UPPSALA LÄN</t>
        </is>
      </c>
      <c r="E102" t="inlineStr">
        <is>
          <t>KNIVSTA</t>
        </is>
      </c>
      <c r="F102" t="inlineStr">
        <is>
          <t>Holmen skog AB</t>
        </is>
      </c>
      <c r="G102" t="n">
        <v>4.6</v>
      </c>
      <c r="H102" t="n">
        <v>0</v>
      </c>
      <c r="I102" t="n">
        <v>0</v>
      </c>
      <c r="J102" t="n">
        <v>0</v>
      </c>
      <c r="K102" t="n">
        <v>0</v>
      </c>
      <c r="L102" t="n">
        <v>0</v>
      </c>
      <c r="M102" t="n">
        <v>0</v>
      </c>
      <c r="N102" t="n">
        <v>0</v>
      </c>
      <c r="O102" t="n">
        <v>0</v>
      </c>
      <c r="P102" t="n">
        <v>0</v>
      </c>
      <c r="Q102" t="n">
        <v>0</v>
      </c>
      <c r="R102" s="2" t="inlineStr"/>
    </row>
    <row r="103" ht="15" customHeight="1">
      <c r="A103" t="inlineStr">
        <is>
          <t>A 5908-2026</t>
        </is>
      </c>
      <c r="B103" s="1" t="n">
        <v>46052.44399305555</v>
      </c>
      <c r="C103" s="1" t="n">
        <v>46127</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5910-2026</t>
        </is>
      </c>
      <c r="B104" s="1" t="n">
        <v>46052.44677083333</v>
      </c>
      <c r="C104" s="1" t="n">
        <v>46127</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30351-2022</t>
        </is>
      </c>
      <c r="B105" s="1" t="n">
        <v>44757</v>
      </c>
      <c r="C105" s="1" t="n">
        <v>46127</v>
      </c>
      <c r="D105" t="inlineStr">
        <is>
          <t>UPPSALA LÄN</t>
        </is>
      </c>
      <c r="E105" t="inlineStr">
        <is>
          <t>KNIVSTA</t>
        </is>
      </c>
      <c r="G105" t="n">
        <v>5.7</v>
      </c>
      <c r="H105" t="n">
        <v>0</v>
      </c>
      <c r="I105" t="n">
        <v>0</v>
      </c>
      <c r="J105" t="n">
        <v>0</v>
      </c>
      <c r="K105" t="n">
        <v>0</v>
      </c>
      <c r="L105" t="n">
        <v>0</v>
      </c>
      <c r="M105" t="n">
        <v>0</v>
      </c>
      <c r="N105" t="n">
        <v>0</v>
      </c>
      <c r="O105" t="n">
        <v>0</v>
      </c>
      <c r="P105" t="n">
        <v>0</v>
      </c>
      <c r="Q105" t="n">
        <v>0</v>
      </c>
      <c r="R105" s="2" t="inlineStr"/>
    </row>
    <row r="106" ht="15" customHeight="1">
      <c r="A106" t="inlineStr">
        <is>
          <t>A 3191-2024</t>
        </is>
      </c>
      <c r="B106" s="1" t="n">
        <v>45316.67186342592</v>
      </c>
      <c r="C106" s="1" t="n">
        <v>46127</v>
      </c>
      <c r="D106" t="inlineStr">
        <is>
          <t>UPPSALA LÄN</t>
        </is>
      </c>
      <c r="E106" t="inlineStr">
        <is>
          <t>KNIVSTA</t>
        </is>
      </c>
      <c r="G106" t="n">
        <v>0.6</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46127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46127</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9744-2026</t>
        </is>
      </c>
      <c r="B109" s="1" t="n">
        <v>46072.51857638889</v>
      </c>
      <c r="C109" s="1" t="n">
        <v>46127</v>
      </c>
      <c r="D109" t="inlineStr">
        <is>
          <t>UPPSALA LÄN</t>
        </is>
      </c>
      <c r="E109" t="inlineStr">
        <is>
          <t>KNIVSTA</t>
        </is>
      </c>
      <c r="G109" t="n">
        <v>2.4</v>
      </c>
      <c r="H109" t="n">
        <v>0</v>
      </c>
      <c r="I109" t="n">
        <v>0</v>
      </c>
      <c r="J109" t="n">
        <v>0</v>
      </c>
      <c r="K109" t="n">
        <v>0</v>
      </c>
      <c r="L109" t="n">
        <v>0</v>
      </c>
      <c r="M109" t="n">
        <v>0</v>
      </c>
      <c r="N109" t="n">
        <v>0</v>
      </c>
      <c r="O109" t="n">
        <v>0</v>
      </c>
      <c r="P109" t="n">
        <v>0</v>
      </c>
      <c r="Q109" t="n">
        <v>0</v>
      </c>
      <c r="R109" s="2" t="inlineStr"/>
    </row>
    <row r="110" ht="15" customHeight="1">
      <c r="A110" t="inlineStr">
        <is>
          <t>A 66293-2021</t>
        </is>
      </c>
      <c r="B110" s="1" t="n">
        <v>44518</v>
      </c>
      <c r="C110" s="1" t="n">
        <v>46127</v>
      </c>
      <c r="D110" t="inlineStr">
        <is>
          <t>UPPSALA LÄN</t>
        </is>
      </c>
      <c r="E110" t="inlineStr">
        <is>
          <t>KNIVSTA</t>
        </is>
      </c>
      <c r="G110" t="n">
        <v>2.6</v>
      </c>
      <c r="H110" t="n">
        <v>0</v>
      </c>
      <c r="I110" t="n">
        <v>0</v>
      </c>
      <c r="J110" t="n">
        <v>0</v>
      </c>
      <c r="K110" t="n">
        <v>0</v>
      </c>
      <c r="L110" t="n">
        <v>0</v>
      </c>
      <c r="M110" t="n">
        <v>0</v>
      </c>
      <c r="N110" t="n">
        <v>0</v>
      </c>
      <c r="O110" t="n">
        <v>0</v>
      </c>
      <c r="P110" t="n">
        <v>0</v>
      </c>
      <c r="Q110" t="n">
        <v>0</v>
      </c>
      <c r="R110" s="2" t="inlineStr"/>
    </row>
    <row r="111" ht="15" customHeight="1">
      <c r="A111" t="inlineStr">
        <is>
          <t>A 45916-2022</t>
        </is>
      </c>
      <c r="B111" s="1" t="n">
        <v>44846</v>
      </c>
      <c r="C111" s="1" t="n">
        <v>46127</v>
      </c>
      <c r="D111" t="inlineStr">
        <is>
          <t>UPPSALA LÄN</t>
        </is>
      </c>
      <c r="E111" t="inlineStr">
        <is>
          <t>KNIVSTA</t>
        </is>
      </c>
      <c r="G111" t="n">
        <v>3.8</v>
      </c>
      <c r="H111" t="n">
        <v>0</v>
      </c>
      <c r="I111" t="n">
        <v>0</v>
      </c>
      <c r="J111" t="n">
        <v>0</v>
      </c>
      <c r="K111" t="n">
        <v>0</v>
      </c>
      <c r="L111" t="n">
        <v>0</v>
      </c>
      <c r="M111" t="n">
        <v>0</v>
      </c>
      <c r="N111" t="n">
        <v>0</v>
      </c>
      <c r="O111" t="n">
        <v>0</v>
      </c>
      <c r="P111" t="n">
        <v>0</v>
      </c>
      <c r="Q111" t="n">
        <v>0</v>
      </c>
      <c r="R111" s="2" t="inlineStr"/>
    </row>
    <row r="112" ht="15" customHeight="1">
      <c r="A112" t="inlineStr">
        <is>
          <t>A 2629-2025</t>
        </is>
      </c>
      <c r="B112" s="1" t="n">
        <v>45675.6953587963</v>
      </c>
      <c r="C112" s="1" t="n">
        <v>46127</v>
      </c>
      <c r="D112" t="inlineStr">
        <is>
          <t>UPPSALA LÄN</t>
        </is>
      </c>
      <c r="E112" t="inlineStr">
        <is>
          <t>KNIVSTA</t>
        </is>
      </c>
      <c r="G112" t="n">
        <v>1.1</v>
      </c>
      <c r="H112" t="n">
        <v>0</v>
      </c>
      <c r="I112" t="n">
        <v>0</v>
      </c>
      <c r="J112" t="n">
        <v>0</v>
      </c>
      <c r="K112" t="n">
        <v>0</v>
      </c>
      <c r="L112" t="n">
        <v>0</v>
      </c>
      <c r="M112" t="n">
        <v>0</v>
      </c>
      <c r="N112" t="n">
        <v>0</v>
      </c>
      <c r="O112" t="n">
        <v>0</v>
      </c>
      <c r="P112" t="n">
        <v>0</v>
      </c>
      <c r="Q112" t="n">
        <v>0</v>
      </c>
      <c r="R112" s="2" t="inlineStr"/>
    </row>
    <row r="113" ht="15" customHeight="1">
      <c r="A113" t="inlineStr">
        <is>
          <t>A 5320-2023</t>
        </is>
      </c>
      <c r="B113" s="1" t="n">
        <v>44959</v>
      </c>
      <c r="C113" s="1" t="n">
        <v>46127</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11452-2023</t>
        </is>
      </c>
      <c r="B114" s="1" t="n">
        <v>44993</v>
      </c>
      <c r="C114" s="1" t="n">
        <v>46127</v>
      </c>
      <c r="D114" t="inlineStr">
        <is>
          <t>UPPSALA LÄN</t>
        </is>
      </c>
      <c r="E114" t="inlineStr">
        <is>
          <t>KNIVSTA</t>
        </is>
      </c>
      <c r="G114" t="n">
        <v>2.5</v>
      </c>
      <c r="H114" t="n">
        <v>0</v>
      </c>
      <c r="I114" t="n">
        <v>0</v>
      </c>
      <c r="J114" t="n">
        <v>0</v>
      </c>
      <c r="K114" t="n">
        <v>0</v>
      </c>
      <c r="L114" t="n">
        <v>0</v>
      </c>
      <c r="M114" t="n">
        <v>0</v>
      </c>
      <c r="N114" t="n">
        <v>0</v>
      </c>
      <c r="O114" t="n">
        <v>0</v>
      </c>
      <c r="P114" t="n">
        <v>0</v>
      </c>
      <c r="Q114" t="n">
        <v>0</v>
      </c>
      <c r="R114" s="2" t="inlineStr"/>
    </row>
    <row r="115" ht="15" customHeight="1">
      <c r="A115" t="inlineStr">
        <is>
          <t>A 30627-2023</t>
        </is>
      </c>
      <c r="B115" s="1" t="n">
        <v>45112</v>
      </c>
      <c r="C115" s="1" t="n">
        <v>46127</v>
      </c>
      <c r="D115" t="inlineStr">
        <is>
          <t>UPPSALA LÄN</t>
        </is>
      </c>
      <c r="E115" t="inlineStr">
        <is>
          <t>KNIVSTA</t>
        </is>
      </c>
      <c r="F115" t="inlineStr">
        <is>
          <t>Holmen skog AB</t>
        </is>
      </c>
      <c r="G115" t="n">
        <v>1.6</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46127</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8343-2024</t>
        </is>
      </c>
      <c r="B117" s="1" t="n">
        <v>45352</v>
      </c>
      <c r="C117" s="1" t="n">
        <v>46127</v>
      </c>
      <c r="D117" t="inlineStr">
        <is>
          <t>UPPSALA LÄN</t>
        </is>
      </c>
      <c r="E117" t="inlineStr">
        <is>
          <t>KNIVSTA</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60885-2021</t>
        </is>
      </c>
      <c r="B118" s="1" t="n">
        <v>44497</v>
      </c>
      <c r="C118" s="1" t="n">
        <v>46127</v>
      </c>
      <c r="D118" t="inlineStr">
        <is>
          <t>UPPSALA LÄN</t>
        </is>
      </c>
      <c r="E118" t="inlineStr">
        <is>
          <t>KNIVSTA</t>
        </is>
      </c>
      <c r="G118" t="n">
        <v>1.5</v>
      </c>
      <c r="H118" t="n">
        <v>0</v>
      </c>
      <c r="I118" t="n">
        <v>0</v>
      </c>
      <c r="J118" t="n">
        <v>0</v>
      </c>
      <c r="K118" t="n">
        <v>0</v>
      </c>
      <c r="L118" t="n">
        <v>0</v>
      </c>
      <c r="M118" t="n">
        <v>0</v>
      </c>
      <c r="N118" t="n">
        <v>0</v>
      </c>
      <c r="O118" t="n">
        <v>0</v>
      </c>
      <c r="P118" t="n">
        <v>0</v>
      </c>
      <c r="Q118" t="n">
        <v>0</v>
      </c>
      <c r="R118" s="2" t="inlineStr"/>
    </row>
    <row r="119" ht="15" customHeight="1">
      <c r="A119" t="inlineStr">
        <is>
          <t>A 19676-2025</t>
        </is>
      </c>
      <c r="B119" s="1" t="n">
        <v>45770</v>
      </c>
      <c r="C119" s="1" t="n">
        <v>46127</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14267-2025</t>
        </is>
      </c>
      <c r="B120" s="1" t="n">
        <v>45740.63686342593</v>
      </c>
      <c r="C120" s="1" t="n">
        <v>46127</v>
      </c>
      <c r="D120" t="inlineStr">
        <is>
          <t>UPPSALA LÄN</t>
        </is>
      </c>
      <c r="E120" t="inlineStr">
        <is>
          <t>KNIVSTA</t>
        </is>
      </c>
      <c r="G120" t="n">
        <v>3.9</v>
      </c>
      <c r="H120" t="n">
        <v>0</v>
      </c>
      <c r="I120" t="n">
        <v>0</v>
      </c>
      <c r="J120" t="n">
        <v>0</v>
      </c>
      <c r="K120" t="n">
        <v>0</v>
      </c>
      <c r="L120" t="n">
        <v>0</v>
      </c>
      <c r="M120" t="n">
        <v>0</v>
      </c>
      <c r="N120" t="n">
        <v>0</v>
      </c>
      <c r="O120" t="n">
        <v>0</v>
      </c>
      <c r="P120" t="n">
        <v>0</v>
      </c>
      <c r="Q120" t="n">
        <v>0</v>
      </c>
      <c r="R120" s="2" t="inlineStr"/>
    </row>
    <row r="121" ht="15" customHeight="1">
      <c r="A121" t="inlineStr">
        <is>
          <t>A 13697-2024</t>
        </is>
      </c>
      <c r="B121" s="1" t="n">
        <v>45390</v>
      </c>
      <c r="C121" s="1" t="n">
        <v>46127</v>
      </c>
      <c r="D121" t="inlineStr">
        <is>
          <t>UPPSALA LÄN</t>
        </is>
      </c>
      <c r="E121" t="inlineStr">
        <is>
          <t>KNIVSTA</t>
        </is>
      </c>
      <c r="F121" t="inlineStr">
        <is>
          <t>Holmen skog AB</t>
        </is>
      </c>
      <c r="G121" t="n">
        <v>1.3</v>
      </c>
      <c r="H121" t="n">
        <v>0</v>
      </c>
      <c r="I121" t="n">
        <v>0</v>
      </c>
      <c r="J121" t="n">
        <v>0</v>
      </c>
      <c r="K121" t="n">
        <v>0</v>
      </c>
      <c r="L121" t="n">
        <v>0</v>
      </c>
      <c r="M121" t="n">
        <v>0</v>
      </c>
      <c r="N121" t="n">
        <v>0</v>
      </c>
      <c r="O121" t="n">
        <v>0</v>
      </c>
      <c r="P121" t="n">
        <v>0</v>
      </c>
      <c r="Q121" t="n">
        <v>0</v>
      </c>
      <c r="R121" s="2" t="inlineStr"/>
    </row>
    <row r="122" ht="15" customHeight="1">
      <c r="A122" t="inlineStr">
        <is>
          <t>A 66305-2021</t>
        </is>
      </c>
      <c r="B122" s="1" t="n">
        <v>44518</v>
      </c>
      <c r="C122" s="1" t="n">
        <v>46127</v>
      </c>
      <c r="D122" t="inlineStr">
        <is>
          <t>UPPSALA LÄN</t>
        </is>
      </c>
      <c r="E122" t="inlineStr">
        <is>
          <t>KNIVSTA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1629-2024</t>
        </is>
      </c>
      <c r="B123" s="1" t="n">
        <v>45306</v>
      </c>
      <c r="C123" s="1" t="n">
        <v>46127</v>
      </c>
      <c r="D123" t="inlineStr">
        <is>
          <t>UPPSALA LÄN</t>
        </is>
      </c>
      <c r="E123" t="inlineStr">
        <is>
          <t>KNIVSTA</t>
        </is>
      </c>
      <c r="F123" t="inlineStr">
        <is>
          <t>Holmen skog AB</t>
        </is>
      </c>
      <c r="G123" t="n">
        <v>3.6</v>
      </c>
      <c r="H123" t="n">
        <v>0</v>
      </c>
      <c r="I123" t="n">
        <v>0</v>
      </c>
      <c r="J123" t="n">
        <v>0</v>
      </c>
      <c r="K123" t="n">
        <v>0</v>
      </c>
      <c r="L123" t="n">
        <v>0</v>
      </c>
      <c r="M123" t="n">
        <v>0</v>
      </c>
      <c r="N123" t="n">
        <v>0</v>
      </c>
      <c r="O123" t="n">
        <v>0</v>
      </c>
      <c r="P123" t="n">
        <v>0</v>
      </c>
      <c r="Q123" t="n">
        <v>0</v>
      </c>
      <c r="R123" s="2" t="inlineStr"/>
    </row>
    <row r="124" ht="15" customHeight="1">
      <c r="A124" t="inlineStr">
        <is>
          <t>A 30764-2023</t>
        </is>
      </c>
      <c r="B124" s="1" t="n">
        <v>45112</v>
      </c>
      <c r="C124" s="1" t="n">
        <v>46127</v>
      </c>
      <c r="D124" t="inlineStr">
        <is>
          <t>UPPSALA LÄN</t>
        </is>
      </c>
      <c r="E124" t="inlineStr">
        <is>
          <t>KNIVSTA</t>
        </is>
      </c>
      <c r="F124" t="inlineStr">
        <is>
          <t>Holmen skog AB</t>
        </is>
      </c>
      <c r="G124" t="n">
        <v>0.9</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46127</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c r="A126" t="inlineStr">
        <is>
          <t>A 21130-2025</t>
        </is>
      </c>
      <c r="B126" s="1" t="n">
        <v>45778.35857638889</v>
      </c>
      <c r="C126" s="1" t="n">
        <v>46127</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2026-04-15T14:31:26Z</dcterms:created>
  <dcterms:modified xmlns:dcterms="http://purl.org/dc/terms/" xmlns:xsi="http://www.w3.org/2001/XMLSchema-instance" xsi:type="dcterms:W3CDTF">2026-04-15T14:31:26Z</dcterms:modified>
</cp:coreProperties>
</file>