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46292</v>
      </c>
      <c r="F2" t="inlineStr">
        <is>
          <t>UPPSALA LÄN</t>
        </is>
      </c>
      <c r="G2" t="inlineStr">
        <is>
          <t>KNIVSTA</t>
        </is>
      </c>
      <c r="I2" t="n">
        <v>14.4</v>
      </c>
      <c r="J2" t="n">
        <v>8</v>
      </c>
      <c r="K2" t="n">
        <v>12</v>
      </c>
      <c r="L2" t="n">
        <v>15</v>
      </c>
      <c r="M2" t="n">
        <v>4</v>
      </c>
      <c r="N2" t="n">
        <v>3</v>
      </c>
      <c r="O2" t="n">
        <v>0</v>
      </c>
      <c r="P2" t="n">
        <v>0</v>
      </c>
      <c r="Q2" t="n">
        <v>22</v>
      </c>
      <c r="R2" t="n">
        <v>7</v>
      </c>
      <c r="S2" t="n">
        <v>39</v>
      </c>
      <c r="T2" t="n">
        <v>119</v>
      </c>
      <c r="U2" t="n">
        <v>112</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46292</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46292</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46292</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46292</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46292</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46292</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46292</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46292</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46292</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46292</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46292</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46292</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46292</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13004-2026</t>
        </is>
      </c>
      <c r="B16" t="inlineStr">
        <is>
          <t>avverkningsanmälan</t>
        </is>
      </c>
      <c r="C16" t="inlineStr">
        <is>
          <t>Föryngringsavverkning</t>
        </is>
      </c>
      <c r="D16" s="1" t="n">
        <v>46092</v>
      </c>
      <c r="E16" s="1" t="n">
        <v>46292</v>
      </c>
      <c r="F16" t="inlineStr">
        <is>
          <t>UPPSALA LÄN</t>
        </is>
      </c>
      <c r="G16" t="inlineStr">
        <is>
          <t>KNIVSTA</t>
        </is>
      </c>
      <c r="H16" t="inlineStr">
        <is>
          <t>Holmen skog AB</t>
        </is>
      </c>
      <c r="I16" t="n">
        <v>7.8</v>
      </c>
      <c r="J16" t="n">
        <v>2</v>
      </c>
      <c r="K16" t="n">
        <v>0</v>
      </c>
      <c r="L16" t="n">
        <v>0</v>
      </c>
      <c r="M16" t="n">
        <v>1</v>
      </c>
      <c r="N16" t="n">
        <v>0</v>
      </c>
      <c r="O16" t="n">
        <v>0</v>
      </c>
      <c r="P16" t="n">
        <v>0</v>
      </c>
      <c r="Q16" t="n">
        <v>1</v>
      </c>
      <c r="R16" t="n">
        <v>1</v>
      </c>
      <c r="S16" t="n">
        <v>2</v>
      </c>
      <c r="T16" t="n">
        <v>2</v>
      </c>
      <c r="U16" t="n">
        <v>2</v>
      </c>
      <c r="V16" s="2" t="inlineStr">
        <is>
          <t>Knärot
Spillkråka</t>
        </is>
      </c>
      <c r="W16">
        <f>HYPERLINK("https://klasma.github.io/Logging_0330/artfynd/A 13004-2026 artfynd.xlsx", "A 13004-2026")</f>
        <v/>
      </c>
      <c r="X16">
        <f>HYPERLINK("https://klasma.github.io/Logging_0330/kartor/A 13004-2026 karta.png", "A 13004-2026")</f>
        <v/>
      </c>
      <c r="Y16">
        <f>HYPERLINK("https://klasma.github.io/Logging_0330/kartor_geotiff/A 13004-2026 georefererad karta.tif", "A 13004-2026")</f>
        <v/>
      </c>
      <c r="Z16">
        <f>HYPERLINK("https://klasma.github.io/Logging_0330/knärot/A 13004-2026 karta knärot.png", "A 13004-2026")</f>
        <v/>
      </c>
      <c r="AA16">
        <f>HYPERLINK("https://klasma.github.io/Logging_0330/klagomål/A 13004-2026 FSC-klagomål.docx", "A 13004-2026")</f>
        <v/>
      </c>
      <c r="AB16">
        <f>HYPERLINK("https://klasma.github.io/Logging_0330/klagomålsmail/A 13004-2026 FSC-klagomål mail.docx", "A 13004-2026")</f>
        <v/>
      </c>
      <c r="AC16">
        <f>HYPERLINK("https://klasma.github.io/Logging_0330/tillsyn/A 13004-2026 tillsynsbegäran.docx", "A 13004-2026")</f>
        <v/>
      </c>
      <c r="AD16">
        <f>HYPERLINK("https://klasma.github.io/Logging_0330/tillsynsmail/A 13004-2026 tillsynsbegäran mail.docx", "A 13004-2026")</f>
        <v/>
      </c>
      <c r="AE16">
        <f>HYPERLINK("https://klasma.github.io/Logging_0330/fåglar/A 13004-2026 prioriterade fågelarter.docx", "A 13004-2026")</f>
        <v/>
      </c>
    </row>
    <row r="17" ht="15" customHeight="1">
      <c r="A17" t="inlineStr">
        <is>
          <t>A 18576-2026</t>
        </is>
      </c>
      <c r="B17" t="inlineStr">
        <is>
          <t>avverkningsanmälan</t>
        </is>
      </c>
      <c r="C17" t="inlineStr">
        <is>
          <t>Föryngringsavverkning</t>
        </is>
      </c>
      <c r="D17" s="1" t="n">
        <v>46127</v>
      </c>
      <c r="E17" s="1" t="n">
        <v>46292</v>
      </c>
      <c r="F17" t="inlineStr">
        <is>
          <t>UPPSALA LÄN</t>
        </is>
      </c>
      <c r="G17" t="inlineStr">
        <is>
          <t>KNIVSTA</t>
        </is>
      </c>
      <c r="I17" t="n">
        <v>4.8</v>
      </c>
      <c r="J17" t="n">
        <v>1</v>
      </c>
      <c r="K17" t="n">
        <v>0</v>
      </c>
      <c r="L17" t="n">
        <v>0</v>
      </c>
      <c r="M17" t="n">
        <v>0</v>
      </c>
      <c r="N17" t="n">
        <v>0</v>
      </c>
      <c r="O17" t="n">
        <v>0</v>
      </c>
      <c r="P17" t="n">
        <v>0</v>
      </c>
      <c r="Q17" t="n">
        <v>0</v>
      </c>
      <c r="R17" t="n">
        <v>0</v>
      </c>
      <c r="S17" t="n">
        <v>2</v>
      </c>
      <c r="T17" t="n">
        <v>7</v>
      </c>
      <c r="U17" t="n">
        <v>7</v>
      </c>
      <c r="V17" s="2" t="inlineStr">
        <is>
          <t>Blåsippa
Kransmossa</t>
        </is>
      </c>
      <c r="W17">
        <f>HYPERLINK("https://klasma.github.io/Logging_0330/artfynd/A 18576-2026 artfynd.xlsx", "A 18576-2026")</f>
        <v/>
      </c>
      <c r="X17">
        <f>HYPERLINK("https://klasma.github.io/Logging_0330/kartor/A 18576-2026 karta.png", "A 18576-2026")</f>
        <v/>
      </c>
      <c r="Y17">
        <f>HYPERLINK("https://klasma.github.io/Logging_0330/kartor_geotiff/A 18576-2026 georefererad karta.tif", "A 18576-2026")</f>
        <v/>
      </c>
      <c r="AA17">
        <f>HYPERLINK("https://klasma.github.io/Logging_0330/klagomål/A 18576-2026 FSC-klagomål.docx", "A 18576-2026")</f>
        <v/>
      </c>
      <c r="AB17">
        <f>HYPERLINK("https://klasma.github.io/Logging_0330/klagomålsmail/A 18576-2026 FSC-klagomål mail.docx", "A 18576-2026")</f>
        <v/>
      </c>
      <c r="AC17">
        <f>HYPERLINK("https://klasma.github.io/Logging_0330/tillsyn/A 18576-2026 tillsynsbegäran.docx", "A 18576-2026")</f>
        <v/>
      </c>
      <c r="AD17">
        <f>HYPERLINK("https://klasma.github.io/Logging_0330/tillsynsmail/A 18576-2026 tillsynsbegäran mail.docx", "A 18576-2026")</f>
        <v/>
      </c>
    </row>
    <row r="18" ht="15" customHeight="1">
      <c r="A18" t="inlineStr">
        <is>
          <t>A 61768-2025</t>
        </is>
      </c>
      <c r="B18" t="inlineStr">
        <is>
          <t>avverkningsanmälan</t>
        </is>
      </c>
      <c r="C18" t="inlineStr">
        <is>
          <t>Föryngringsavverkning</t>
        </is>
      </c>
      <c r="D18" s="1" t="n">
        <v>46002</v>
      </c>
      <c r="E18" s="1" t="n">
        <v>46292</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t="n">
        <v>0</v>
      </c>
      <c r="V18" s="2" t="inlineStr">
        <is>
          <t>Gullpudra
Kamjordstjärna</t>
        </is>
      </c>
      <c r="W18">
        <f>HYPERLINK("https://klasma.github.io/Logging_0330/artfynd/A 61768-2025 artfynd.xlsx", "A 61768-2025")</f>
        <v/>
      </c>
      <c r="X18">
        <f>HYPERLINK("https://klasma.github.io/Logging_0330/kartor/A 61768-2025 karta.png", "A 61768-2025")</f>
        <v/>
      </c>
      <c r="Y18">
        <f>HYPERLINK("https://klasma.github.io/Logging_0330/kartor_geotiff/A 61768-2025 georefererad karta.tif", "A 61768-2025")</f>
        <v/>
      </c>
      <c r="AA18">
        <f>HYPERLINK("https://klasma.github.io/Logging_0330/klagomål/A 61768-2025 FSC-klagomål.docx", "A 61768-2025")</f>
        <v/>
      </c>
      <c r="AB18">
        <f>HYPERLINK("https://klasma.github.io/Logging_0330/klagomålsmail/A 61768-2025 FSC-klagomål mail.docx", "A 61768-2025")</f>
        <v/>
      </c>
      <c r="AC18">
        <f>HYPERLINK("https://klasma.github.io/Logging_0330/tillsyn/A 61768-2025 tillsynsbegäran.docx", "A 61768-2025")</f>
        <v/>
      </c>
      <c r="AD18">
        <f>HYPERLINK("https://klasma.github.io/Logging_0330/tillsynsmail/A 61768-2025 tillsynsbegäran mail.docx", "A 61768-2025")</f>
        <v/>
      </c>
    </row>
    <row r="19" ht="15" customHeight="1">
      <c r="A19" t="inlineStr">
        <is>
          <t>A 34859-2025</t>
        </is>
      </c>
      <c r="B19" t="inlineStr">
        <is>
          <t>avverkningsanmälan</t>
        </is>
      </c>
      <c r="C19" t="inlineStr">
        <is>
          <t>Föryngringsavverkning</t>
        </is>
      </c>
      <c r="D19" s="1" t="n">
        <v>45849</v>
      </c>
      <c r="E19" s="1" t="n">
        <v>46292</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46292</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666-2026</t>
        </is>
      </c>
      <c r="B21" t="inlineStr">
        <is>
          <t>avverkningsanmälan</t>
        </is>
      </c>
      <c r="C21" t="inlineStr">
        <is>
          <t>Föryngringsavverkning</t>
        </is>
      </c>
      <c r="D21" s="1" t="n">
        <v>46029</v>
      </c>
      <c r="E21" s="1" t="n">
        <v>46292</v>
      </c>
      <c r="F21" t="inlineStr">
        <is>
          <t>UPPSALA LÄN</t>
        </is>
      </c>
      <c r="G21" t="inlineStr">
        <is>
          <t>KNIVSTA</t>
        </is>
      </c>
      <c r="I21" t="n">
        <v>1.8</v>
      </c>
      <c r="J21" t="n">
        <v>1</v>
      </c>
      <c r="K21" t="n">
        <v>0</v>
      </c>
      <c r="L21" t="n">
        <v>0</v>
      </c>
      <c r="M21" t="n">
        <v>0</v>
      </c>
      <c r="N21" t="n">
        <v>0</v>
      </c>
      <c r="O21" t="n">
        <v>0</v>
      </c>
      <c r="P21" t="n">
        <v>0</v>
      </c>
      <c r="Q21" t="n">
        <v>0</v>
      </c>
      <c r="R21" t="n">
        <v>0</v>
      </c>
      <c r="S21" t="n">
        <v>1</v>
      </c>
      <c r="T21" t="n">
        <v>1</v>
      </c>
      <c r="U21" t="n">
        <v>0</v>
      </c>
      <c r="V21" s="2" t="inlineStr">
        <is>
          <t>Havsörn</t>
        </is>
      </c>
      <c r="W21">
        <f>HYPERLINK("https://klasma.github.io/Logging_0330/artfynd/A 666-2026 artfynd.xlsx", "A 666-2026")</f>
        <v/>
      </c>
      <c r="X21">
        <f>HYPERLINK("https://klasma.github.io/Logging_0330/kartor/A 666-2026 karta.png", "A 666-2026")</f>
        <v/>
      </c>
      <c r="Y21">
        <f>HYPERLINK("https://klasma.github.io/Logging_0330/kartor_geotiff/A 666-2026 georefererad karta.tif", "A 666-2026")</f>
        <v/>
      </c>
      <c r="AA21">
        <f>HYPERLINK("https://klasma.github.io/Logging_0330/klagomål/A 666-2026 FSC-klagomål.docx", "A 666-2026")</f>
        <v/>
      </c>
      <c r="AB21">
        <f>HYPERLINK("https://klasma.github.io/Logging_0330/klagomålsmail/A 666-2026 FSC-klagomål mail.docx", "A 666-2026")</f>
        <v/>
      </c>
      <c r="AC21">
        <f>HYPERLINK("https://klasma.github.io/Logging_0330/tillsyn/A 666-2026 tillsynsbegäran.docx", "A 666-2026")</f>
        <v/>
      </c>
      <c r="AD21">
        <f>HYPERLINK("https://klasma.github.io/Logging_0330/tillsynsmail/A 666-2026 tillsynsbegäran mail.docx", "A 666-2026")</f>
        <v/>
      </c>
      <c r="AE21">
        <f>HYPERLINK("https://klasma.github.io/Logging_0330/fåglar/A 666-2026 prioriterade fågelarter.docx", "A 666-2026")</f>
        <v/>
      </c>
    </row>
    <row r="22" ht="15" customHeight="1">
      <c r="A22" t="inlineStr">
        <is>
          <t>A 3836-2026</t>
        </is>
      </c>
      <c r="B22" t="inlineStr">
        <is>
          <t>avverkningsanmälan</t>
        </is>
      </c>
      <c r="C22" t="inlineStr">
        <is>
          <t>Föryngringsavverkning</t>
        </is>
      </c>
      <c r="D22" s="1" t="n">
        <v>46043</v>
      </c>
      <c r="E22" s="1" t="n">
        <v>46292</v>
      </c>
      <c r="F22" t="inlineStr">
        <is>
          <t>UPPSALA LÄN</t>
        </is>
      </c>
      <c r="G22" t="inlineStr">
        <is>
          <t>KNIVSTA</t>
        </is>
      </c>
      <c r="I22" t="n">
        <v>3.7</v>
      </c>
      <c r="J22" t="n">
        <v>1</v>
      </c>
      <c r="K22" t="n">
        <v>0</v>
      </c>
      <c r="L22" t="n">
        <v>0</v>
      </c>
      <c r="M22" t="n">
        <v>0</v>
      </c>
      <c r="N22" t="n">
        <v>0</v>
      </c>
      <c r="O22" t="n">
        <v>0</v>
      </c>
      <c r="P22" t="n">
        <v>0</v>
      </c>
      <c r="Q22" t="n">
        <v>0</v>
      </c>
      <c r="R22" t="n">
        <v>0</v>
      </c>
      <c r="S22" t="n">
        <v>1</v>
      </c>
      <c r="T22" t="n">
        <v>1</v>
      </c>
      <c r="U22" t="n">
        <v>1</v>
      </c>
      <c r="V22" s="2" t="inlineStr">
        <is>
          <t>Spillkråka</t>
        </is>
      </c>
      <c r="W22">
        <f>HYPERLINK("https://klasma.github.io/Logging_0330/artfynd/A 3836-2026 artfynd.xlsx", "A 3836-2026")</f>
        <v/>
      </c>
      <c r="X22">
        <f>HYPERLINK("https://klasma.github.io/Logging_0330/kartor/A 3836-2026 karta.png", "A 3836-2026")</f>
        <v/>
      </c>
      <c r="Y22">
        <f>HYPERLINK("https://klasma.github.io/Logging_0330/kartor_geotiff/A 3836-2026 georefererad karta.tif", "A 3836-2026")</f>
        <v/>
      </c>
      <c r="AA22">
        <f>HYPERLINK("https://klasma.github.io/Logging_0330/klagomål/A 3836-2026 FSC-klagomål.docx", "A 3836-2026")</f>
        <v/>
      </c>
      <c r="AB22">
        <f>HYPERLINK("https://klasma.github.io/Logging_0330/klagomålsmail/A 3836-2026 FSC-klagomål mail.docx", "A 3836-2026")</f>
        <v/>
      </c>
      <c r="AC22">
        <f>HYPERLINK("https://klasma.github.io/Logging_0330/tillsyn/A 3836-2026 tillsynsbegäran.docx", "A 3836-2026")</f>
        <v/>
      </c>
      <c r="AD22">
        <f>HYPERLINK("https://klasma.github.io/Logging_0330/tillsynsmail/A 3836-2026 tillsynsbegäran mail.docx", "A 3836-2026")</f>
        <v/>
      </c>
      <c r="AE22">
        <f>HYPERLINK("https://klasma.github.io/Logging_0330/fåglar/A 3836-2026 prioriterade fågelarter.docx", "A 3836-2026")</f>
        <v/>
      </c>
    </row>
    <row r="23" ht="15" customHeight="1">
      <c r="A23" t="inlineStr">
        <is>
          <t>A 9561-2026</t>
        </is>
      </c>
      <c r="B23" t="inlineStr">
        <is>
          <t>avverkningsanmälan</t>
        </is>
      </c>
      <c r="C23" t="inlineStr">
        <is>
          <t>Föryngringsavverkning</t>
        </is>
      </c>
      <c r="D23" s="1" t="n">
        <v>46071</v>
      </c>
      <c r="E23" s="1" t="n">
        <v>46292</v>
      </c>
      <c r="F23" t="inlineStr">
        <is>
          <t>UPPSALA LÄN</t>
        </is>
      </c>
      <c r="G23" t="inlineStr">
        <is>
          <t>KNIVSTA</t>
        </is>
      </c>
      <c r="H23" t="inlineStr">
        <is>
          <t>Övriga statliga verk och myndigheter</t>
        </is>
      </c>
      <c r="I23" t="n">
        <v>2.6</v>
      </c>
      <c r="J23" t="n">
        <v>0</v>
      </c>
      <c r="K23" t="n">
        <v>0</v>
      </c>
      <c r="L23" t="n">
        <v>1</v>
      </c>
      <c r="M23" t="n">
        <v>0</v>
      </c>
      <c r="N23" t="n">
        <v>0</v>
      </c>
      <c r="O23" t="n">
        <v>0</v>
      </c>
      <c r="P23" t="n">
        <v>0</v>
      </c>
      <c r="Q23" t="n">
        <v>1</v>
      </c>
      <c r="R23" t="n">
        <v>0</v>
      </c>
      <c r="S23" t="n">
        <v>1</v>
      </c>
      <c r="T23" t="n">
        <v>1</v>
      </c>
      <c r="U23" t="n">
        <v>0</v>
      </c>
      <c r="V23" s="2" t="inlineStr">
        <is>
          <t>Svartöra</t>
        </is>
      </c>
      <c r="W23">
        <f>HYPERLINK("https://klasma.github.io/Logging_0330/artfynd/A 9561-2026 artfynd.xlsx", "A 9561-2026")</f>
        <v/>
      </c>
      <c r="X23">
        <f>HYPERLINK("https://klasma.github.io/Logging_0330/kartor/A 9561-2026 karta.png", "A 9561-2026")</f>
        <v/>
      </c>
      <c r="Y23">
        <f>HYPERLINK("https://klasma.github.io/Logging_0330/kartor_geotiff/A 9561-2026 georefererad karta.tif", "A 9561-2026")</f>
        <v/>
      </c>
      <c r="AA23">
        <f>HYPERLINK("https://klasma.github.io/Logging_0330/klagomål/A 9561-2026 FSC-klagomål.docx", "A 9561-2026")</f>
        <v/>
      </c>
      <c r="AB23">
        <f>HYPERLINK("https://klasma.github.io/Logging_0330/klagomålsmail/A 9561-2026 FSC-klagomål mail.docx", "A 9561-2026")</f>
        <v/>
      </c>
      <c r="AC23">
        <f>HYPERLINK("https://klasma.github.io/Logging_0330/tillsyn/A 9561-2026 tillsynsbegäran.docx", "A 9561-2026")</f>
        <v/>
      </c>
      <c r="AD23">
        <f>HYPERLINK("https://klasma.github.io/Logging_0330/tillsynsmail/A 9561-2026 tillsynsbegäran mail.docx", "A 9561-2026")</f>
        <v/>
      </c>
    </row>
    <row r="24" ht="15" customHeight="1">
      <c r="A24" t="inlineStr">
        <is>
          <t>A 12991-2026</t>
        </is>
      </c>
      <c r="B24" t="inlineStr">
        <is>
          <t>avverkningsanmälan</t>
        </is>
      </c>
      <c r="C24" t="inlineStr">
        <is>
          <t>Föryngringsavverkning</t>
        </is>
      </c>
      <c r="D24" s="1" t="n">
        <v>46092</v>
      </c>
      <c r="E24" s="1" t="n">
        <v>46292</v>
      </c>
      <c r="F24" t="inlineStr">
        <is>
          <t>UPPSALA LÄN</t>
        </is>
      </c>
      <c r="G24" t="inlineStr">
        <is>
          <t>KNIVSTA</t>
        </is>
      </c>
      <c r="H24" t="inlineStr">
        <is>
          <t>Holmen skog AB</t>
        </is>
      </c>
      <c r="I24" t="n">
        <v>4.6</v>
      </c>
      <c r="J24" t="n">
        <v>1</v>
      </c>
      <c r="K24" t="n">
        <v>0</v>
      </c>
      <c r="L24" t="n">
        <v>0</v>
      </c>
      <c r="M24" t="n">
        <v>0</v>
      </c>
      <c r="N24" t="n">
        <v>0</v>
      </c>
      <c r="O24" t="n">
        <v>0</v>
      </c>
      <c r="P24" t="n">
        <v>0</v>
      </c>
      <c r="Q24" t="n">
        <v>0</v>
      </c>
      <c r="R24" t="n">
        <v>0</v>
      </c>
      <c r="S24" t="n">
        <v>1</v>
      </c>
      <c r="T24" t="n">
        <v>1</v>
      </c>
      <c r="U24" t="n">
        <v>1</v>
      </c>
      <c r="V24" s="2" t="inlineStr">
        <is>
          <t>Tjäder</t>
        </is>
      </c>
      <c r="W24">
        <f>HYPERLINK("https://klasma.github.io/Logging_0330/artfynd/A 12991-2026 artfynd.xlsx", "A 12991-2026")</f>
        <v/>
      </c>
      <c r="X24">
        <f>HYPERLINK("https://klasma.github.io/Logging_0330/kartor/A 12991-2026 karta.png", "A 12991-2026")</f>
        <v/>
      </c>
      <c r="Y24">
        <f>HYPERLINK("https://klasma.github.io/Logging_0330/kartor_geotiff/A 12991-2026 georefererad karta.tif", "A 12991-2026")</f>
        <v/>
      </c>
      <c r="AA24">
        <f>HYPERLINK("https://klasma.github.io/Logging_0330/klagomål/A 12991-2026 FSC-klagomål.docx", "A 12991-2026")</f>
        <v/>
      </c>
      <c r="AB24">
        <f>HYPERLINK("https://klasma.github.io/Logging_0330/klagomålsmail/A 12991-2026 FSC-klagomål mail.docx", "A 12991-2026")</f>
        <v/>
      </c>
      <c r="AC24">
        <f>HYPERLINK("https://klasma.github.io/Logging_0330/tillsyn/A 12991-2026 tillsynsbegäran.docx", "A 12991-2026")</f>
        <v/>
      </c>
      <c r="AD24">
        <f>HYPERLINK("https://klasma.github.io/Logging_0330/tillsynsmail/A 12991-2026 tillsynsbegäran mail.docx", "A 12991-2026")</f>
        <v/>
      </c>
      <c r="AE24">
        <f>HYPERLINK("https://klasma.github.io/Logging_0330/fåglar/A 12991-2026 prioriterade fågelarter.docx", "A 12991-2026")</f>
        <v/>
      </c>
    </row>
    <row r="25" ht="15" customHeight="1">
      <c r="A25" t="inlineStr">
        <is>
          <t>A 13002-2026</t>
        </is>
      </c>
      <c r="B25" t="inlineStr">
        <is>
          <t>avverkningsanmälan</t>
        </is>
      </c>
      <c r="C25" t="inlineStr">
        <is>
          <t>Föryngringsavverkning</t>
        </is>
      </c>
      <c r="D25" s="1" t="n">
        <v>46092</v>
      </c>
      <c r="E25" s="1" t="n">
        <v>46292</v>
      </c>
      <c r="F25" t="inlineStr">
        <is>
          <t>UPPSALA LÄN</t>
        </is>
      </c>
      <c r="G25" t="inlineStr">
        <is>
          <t>KNIVSTA</t>
        </is>
      </c>
      <c r="H25" t="inlineStr">
        <is>
          <t>Holmen skog AB</t>
        </is>
      </c>
      <c r="I25" t="n">
        <v>0.7</v>
      </c>
      <c r="J25" t="n">
        <v>1</v>
      </c>
      <c r="K25" t="n">
        <v>0</v>
      </c>
      <c r="L25" t="n">
        <v>0</v>
      </c>
      <c r="M25" t="n">
        <v>1</v>
      </c>
      <c r="N25" t="n">
        <v>0</v>
      </c>
      <c r="O25" t="n">
        <v>0</v>
      </c>
      <c r="P25" t="n">
        <v>0</v>
      </c>
      <c r="Q25" t="n">
        <v>1</v>
      </c>
      <c r="R25" t="n">
        <v>1</v>
      </c>
      <c r="S25" t="n">
        <v>1</v>
      </c>
      <c r="T25" t="n">
        <v>1</v>
      </c>
      <c r="U25" t="n">
        <v>1</v>
      </c>
      <c r="V25" s="2" t="inlineStr">
        <is>
          <t>Knärot</t>
        </is>
      </c>
      <c r="W25">
        <f>HYPERLINK("https://klasma.github.io/Logging_0330/artfynd/A 13002-2026 artfynd.xlsx", "A 13002-2026")</f>
        <v/>
      </c>
      <c r="X25">
        <f>HYPERLINK("https://klasma.github.io/Logging_0330/kartor/A 13002-2026 karta.png", "A 13002-2026")</f>
        <v/>
      </c>
      <c r="Y25">
        <f>HYPERLINK("https://klasma.github.io/Logging_0330/kartor_geotiff/A 13002-2026 georefererad karta.tif", "A 13002-2026")</f>
        <v/>
      </c>
      <c r="Z25">
        <f>HYPERLINK("https://klasma.github.io/Logging_0330/knärot/A 13002-2026 karta knärot.png", "A 13002-2026")</f>
        <v/>
      </c>
      <c r="AA25">
        <f>HYPERLINK("https://klasma.github.io/Logging_0330/klagomål/A 13002-2026 FSC-klagomål.docx", "A 13002-2026")</f>
        <v/>
      </c>
      <c r="AB25">
        <f>HYPERLINK("https://klasma.github.io/Logging_0330/klagomålsmail/A 13002-2026 FSC-klagomål mail.docx", "A 13002-2026")</f>
        <v/>
      </c>
      <c r="AC25">
        <f>HYPERLINK("https://klasma.github.io/Logging_0330/tillsyn/A 13002-2026 tillsynsbegäran.docx", "A 13002-2026")</f>
        <v/>
      </c>
      <c r="AD25">
        <f>HYPERLINK("https://klasma.github.io/Logging_0330/tillsynsmail/A 13002-2026 tillsynsbegäran mail.docx", "A 13002-2026")</f>
        <v/>
      </c>
    </row>
    <row r="26" ht="15" customHeight="1">
      <c r="A26" t="inlineStr">
        <is>
          <t>A 13380-2026</t>
        </is>
      </c>
      <c r="B26" t="inlineStr">
        <is>
          <t>avverkningsanmälan</t>
        </is>
      </c>
      <c r="C26" t="inlineStr">
        <is>
          <t>Föryngringsavverkning</t>
        </is>
      </c>
      <c r="D26" s="1" t="n">
        <v>46094</v>
      </c>
      <c r="E26" s="1" t="n">
        <v>46292</v>
      </c>
      <c r="F26" t="inlineStr">
        <is>
          <t>UPPSALA LÄN</t>
        </is>
      </c>
      <c r="G26" t="inlineStr">
        <is>
          <t>KNIVSTA</t>
        </is>
      </c>
      <c r="I26" t="n">
        <v>1.7</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HYPERLINK("https://klasma.github.io/Logging_0330/artfynd/A 13380-2026 artfynd.xlsx", "A 13380-2026")</f>
        <v/>
      </c>
      <c r="X26">
        <f>HYPERLINK("https://klasma.github.io/Logging_0330/kartor/A 13380-2026 karta.png", "A 13380-2026")</f>
        <v/>
      </c>
      <c r="Y26">
        <f>HYPERLINK("https://klasma.github.io/Logging_0330/kartor_geotiff/A 13380-2026 georefererad karta.tif", "A 13380-2026")</f>
        <v/>
      </c>
      <c r="AA26">
        <f>HYPERLINK("https://klasma.github.io/Logging_0330/klagomål/A 13380-2026 FSC-klagomål.docx", "A 13380-2026")</f>
        <v/>
      </c>
      <c r="AB26">
        <f>HYPERLINK("https://klasma.github.io/Logging_0330/klagomålsmail/A 13380-2026 FSC-klagomål mail.docx", "A 13380-2026")</f>
        <v/>
      </c>
      <c r="AC26">
        <f>HYPERLINK("https://klasma.github.io/Logging_0330/tillsyn/A 13380-2026 tillsynsbegäran.docx", "A 13380-2026")</f>
        <v/>
      </c>
      <c r="AD26">
        <f>HYPERLINK("https://klasma.github.io/Logging_0330/tillsynsmail/A 13380-2026 tillsynsbegäran mail.docx", "A 13380-2026")</f>
        <v/>
      </c>
      <c r="AE26">
        <f>HYPERLINK("https://klasma.github.io/Logging_0330/fåglar/A 13380-2026 prioriterade fågelarter.docx", "A 13380-2026")</f>
        <v/>
      </c>
    </row>
    <row r="27" ht="15" customHeight="1">
      <c r="A27" t="inlineStr">
        <is>
          <t>A 11405-2025</t>
        </is>
      </c>
      <c r="B27" t="inlineStr">
        <is>
          <t>avverkningsanmälan</t>
        </is>
      </c>
      <c r="C27" t="inlineStr">
        <is>
          <t>Föryngringsavverkning</t>
        </is>
      </c>
      <c r="D27" s="1" t="n">
        <v>45726</v>
      </c>
      <c r="E27" s="1" t="n">
        <v>46292</v>
      </c>
      <c r="F27" t="inlineStr">
        <is>
          <t>UPPSALA LÄN</t>
        </is>
      </c>
      <c r="G27" t="inlineStr">
        <is>
          <t>KNIVSTA</t>
        </is>
      </c>
      <c r="I27" t="n">
        <v>1.6</v>
      </c>
      <c r="J27" t="n">
        <v>0</v>
      </c>
      <c r="K27" t="n">
        <v>0</v>
      </c>
      <c r="L27" t="n">
        <v>0</v>
      </c>
      <c r="M27" t="n">
        <v>1</v>
      </c>
      <c r="N27" t="n">
        <v>0</v>
      </c>
      <c r="O27" t="n">
        <v>0</v>
      </c>
      <c r="P27" t="n">
        <v>0</v>
      </c>
      <c r="Q27" t="n">
        <v>1</v>
      </c>
      <c r="R27" t="n">
        <v>1</v>
      </c>
      <c r="S27" t="n">
        <v>1</v>
      </c>
      <c r="T27" t="n">
        <v>1</v>
      </c>
      <c r="U27" t="n">
        <v>0</v>
      </c>
      <c r="V27" s="2" t="inlineStr">
        <is>
          <t>Fältgentiana</t>
        </is>
      </c>
      <c r="W27">
        <f>HYPERLINK("https://klasma.github.io/Logging_0330/artfynd/A 11405-2025 artfynd.xlsx", "A 11405-2025")</f>
        <v/>
      </c>
      <c r="X27">
        <f>HYPERLINK("https://klasma.github.io/Logging_0330/kartor/A 11405-2025 karta.png", "A 11405-2025")</f>
        <v/>
      </c>
      <c r="Y27">
        <f>HYPERLINK("https://klasma.github.io/Logging_0330/kartor_geotiff/A 11405-2025 georefererad karta.tif", "A 11405-2025")</f>
        <v/>
      </c>
      <c r="AA27">
        <f>HYPERLINK("https://klasma.github.io/Logging_0330/klagomål/A 11405-2025 FSC-klagomål.docx", "A 11405-2025")</f>
        <v/>
      </c>
      <c r="AB27">
        <f>HYPERLINK("https://klasma.github.io/Logging_0330/klagomålsmail/A 11405-2025 FSC-klagomål mail.docx", "A 11405-2025")</f>
        <v/>
      </c>
      <c r="AC27">
        <f>HYPERLINK("https://klasma.github.io/Logging_0330/tillsyn/A 11405-2025 tillsynsbegäran.docx", "A 11405-2025")</f>
        <v/>
      </c>
      <c r="AD27">
        <f>HYPERLINK("https://klasma.github.io/Logging_0330/tillsynsmail/A 11405-2025 tillsynsbegäran mail.docx", "A 11405-2025")</f>
        <v/>
      </c>
    </row>
    <row r="28" ht="15" customHeight="1">
      <c r="A28" t="inlineStr">
        <is>
          <t>A 5402-2023</t>
        </is>
      </c>
      <c r="B28" t="inlineStr">
        <is>
          <t>avverkningsanmälan</t>
        </is>
      </c>
      <c r="C28" t="inlineStr">
        <is>
          <t>Föryngringsavverkning</t>
        </is>
      </c>
      <c r="D28" s="1" t="n">
        <v>44959</v>
      </c>
      <c r="E28" s="1" t="n">
        <v>46292</v>
      </c>
      <c r="F28" t="inlineStr">
        <is>
          <t>UPPSALA LÄN</t>
        </is>
      </c>
      <c r="G28" t="inlineStr">
        <is>
          <t>KNIVSTA</t>
        </is>
      </c>
      <c r="I28" t="n">
        <v>4.3</v>
      </c>
      <c r="J28" t="n">
        <v>0</v>
      </c>
      <c r="K28" t="n">
        <v>0</v>
      </c>
      <c r="L28" t="n">
        <v>0</v>
      </c>
      <c r="M28" t="n">
        <v>1</v>
      </c>
      <c r="N28" t="n">
        <v>0</v>
      </c>
      <c r="O28" t="n">
        <v>0</v>
      </c>
      <c r="P28" t="n">
        <v>0</v>
      </c>
      <c r="Q28" t="n">
        <v>1</v>
      </c>
      <c r="R28" t="n">
        <v>1</v>
      </c>
      <c r="S28" t="n">
        <v>1</v>
      </c>
      <c r="T28" t="n">
        <v>1</v>
      </c>
      <c r="U28" t="n">
        <v>0</v>
      </c>
      <c r="V28" s="2" t="inlineStr">
        <is>
          <t>Askfingersvamp</t>
        </is>
      </c>
      <c r="W28">
        <f>HYPERLINK("https://klasma.github.io/Logging_0330/artfynd/A 5402-2023 artfynd.xlsx", "A 5402-2023")</f>
        <v/>
      </c>
      <c r="X28">
        <f>HYPERLINK("https://klasma.github.io/Logging_0330/kartor/A 5402-2023 karta.png", "A 5402-2023")</f>
        <v/>
      </c>
      <c r="Y28">
        <f>HYPERLINK("https://klasma.github.io/Logging_0330/kartor_geotiff/A 5402-2023 georefererad karta.tif", "A 5402-2023")</f>
        <v/>
      </c>
      <c r="AA28">
        <f>HYPERLINK("https://klasma.github.io/Logging_0330/klagomål/A 5402-2023 FSC-klagomål.docx", "A 5402-2023")</f>
        <v/>
      </c>
      <c r="AB28">
        <f>HYPERLINK("https://klasma.github.io/Logging_0330/klagomålsmail/A 5402-2023 FSC-klagomål mail.docx", "A 5402-2023")</f>
        <v/>
      </c>
      <c r="AC28">
        <f>HYPERLINK("https://klasma.github.io/Logging_0330/tillsyn/A 5402-2023 tillsynsbegäran.docx", "A 5402-2023")</f>
        <v/>
      </c>
      <c r="AD28">
        <f>HYPERLINK("https://klasma.github.io/Logging_0330/tillsynsmail/A 5402-2023 tillsynsbegäran mail.docx", "A 5402-2023")</f>
        <v/>
      </c>
    </row>
    <row r="29" ht="15" customHeight="1">
      <c r="A29" t="inlineStr">
        <is>
          <t>A 33770-2023</t>
        </is>
      </c>
      <c r="B29" t="inlineStr">
        <is>
          <t>avverkningsanmälan</t>
        </is>
      </c>
      <c r="C29" t="inlineStr">
        <is>
          <t>Föryngringsavverkning</t>
        </is>
      </c>
      <c r="D29" s="1" t="n">
        <v>45133</v>
      </c>
      <c r="E29" s="1" t="n">
        <v>46292</v>
      </c>
      <c r="F29" t="inlineStr">
        <is>
          <t>UPPSALA LÄN</t>
        </is>
      </c>
      <c r="G29" t="inlineStr">
        <is>
          <t>KNIVSTA</t>
        </is>
      </c>
      <c r="H29" t="inlineStr">
        <is>
          <t>Holmen skog AB</t>
        </is>
      </c>
      <c r="I29" t="n">
        <v>4</v>
      </c>
      <c r="J29" t="n">
        <v>1</v>
      </c>
      <c r="K29" t="n">
        <v>0</v>
      </c>
      <c r="L29" t="n">
        <v>0</v>
      </c>
      <c r="M29" t="n">
        <v>0</v>
      </c>
      <c r="N29" t="n">
        <v>0</v>
      </c>
      <c r="O29" t="n">
        <v>0</v>
      </c>
      <c r="P29" t="n">
        <v>0</v>
      </c>
      <c r="Q29" t="n">
        <v>0</v>
      </c>
      <c r="R29" t="n">
        <v>0</v>
      </c>
      <c r="S29" t="n">
        <v>1</v>
      </c>
      <c r="T29" t="n">
        <v>1</v>
      </c>
      <c r="U29" t="n">
        <v>0</v>
      </c>
      <c r="V29" s="2" t="inlineStr">
        <is>
          <t>Slaguggla</t>
        </is>
      </c>
      <c r="W29">
        <f>HYPERLINK("https://klasma.github.io/Logging_0330/artfynd/A 33770-2023 artfynd.xlsx", "A 33770-2023")</f>
        <v/>
      </c>
      <c r="X29">
        <f>HYPERLINK("https://klasma.github.io/Logging_0330/kartor/A 33770-2023 karta.png", "A 33770-2023")</f>
        <v/>
      </c>
      <c r="Y29">
        <f>HYPERLINK("https://klasma.github.io/Logging_0330/kartor_geotiff/A 33770-2023 georefererad karta.tif", "A 33770-2023")</f>
        <v/>
      </c>
      <c r="AA29">
        <f>HYPERLINK("https://klasma.github.io/Logging_0330/klagomål/A 33770-2023 FSC-klagomål.docx", "A 33770-2023")</f>
        <v/>
      </c>
      <c r="AB29">
        <f>HYPERLINK("https://klasma.github.io/Logging_0330/klagomålsmail/A 33770-2023 FSC-klagomål mail.docx", "A 33770-2023")</f>
        <v/>
      </c>
      <c r="AC29">
        <f>HYPERLINK("https://klasma.github.io/Logging_0330/tillsyn/A 33770-2023 tillsynsbegäran.docx", "A 33770-2023")</f>
        <v/>
      </c>
      <c r="AD29">
        <f>HYPERLINK("https://klasma.github.io/Logging_0330/tillsynsmail/A 33770-2023 tillsynsbegäran mail.docx", "A 33770-2023")</f>
        <v/>
      </c>
      <c r="AE29">
        <f>HYPERLINK("https://klasma.github.io/Logging_0330/fåglar/A 33770-2023 prioriterade fågelarter.docx", "A 33770-2023")</f>
        <v/>
      </c>
    </row>
    <row r="30" ht="15" customHeight="1">
      <c r="A30" t="inlineStr">
        <is>
          <t>A 60885-2021</t>
        </is>
      </c>
      <c r="B30" t="inlineStr">
        <is>
          <t>avverkningsanmälan</t>
        </is>
      </c>
      <c r="C30" t="inlineStr">
        <is>
          <t>Föryngringsavverkning</t>
        </is>
      </c>
      <c r="D30" s="1" t="n">
        <v>44497</v>
      </c>
      <c r="E30" s="1" t="n">
        <v>46292</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46292</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46292</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46292</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46292</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46292</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46292</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46292</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46292</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70275-2021</t>
        </is>
      </c>
      <c r="B39" t="inlineStr">
        <is>
          <t>avverkningsanmälan</t>
        </is>
      </c>
      <c r="C39" t="inlineStr">
        <is>
          <t>Föryngringsavverkning</t>
        </is>
      </c>
      <c r="D39" s="1" t="n">
        <v>44536</v>
      </c>
      <c r="E39" s="1" t="n">
        <v>46292</v>
      </c>
      <c r="F39" t="inlineStr">
        <is>
          <t>UPPSALA LÄN</t>
        </is>
      </c>
      <c r="G39" t="inlineStr">
        <is>
          <t>KNIVSTA</t>
        </is>
      </c>
      <c r="H39" t="inlineStr">
        <is>
          <t>Holmen skog AB</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66256-2021</t>
        </is>
      </c>
      <c r="B40" t="inlineStr">
        <is>
          <t>avverkningsanmälan</t>
        </is>
      </c>
      <c r="C40" t="inlineStr">
        <is>
          <t>Föryngringsavverkning</t>
        </is>
      </c>
      <c r="D40" s="1" t="n">
        <v>44518</v>
      </c>
      <c r="E40" s="1" t="n">
        <v>46292</v>
      </c>
      <c r="F40" t="inlineStr">
        <is>
          <t>UPPSALA LÄN</t>
        </is>
      </c>
      <c r="G40" t="inlineStr">
        <is>
          <t>KNIVSTA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18820-2022</t>
        </is>
      </c>
      <c r="B41" t="inlineStr">
        <is>
          <t>avverkningsanmälan</t>
        </is>
      </c>
      <c r="C41" t="inlineStr">
        <is>
          <t>Föryngringsavverkning</t>
        </is>
      </c>
      <c r="D41" s="1" t="n">
        <v>44690</v>
      </c>
      <c r="E41" s="1" t="n">
        <v>46292</v>
      </c>
      <c r="F41" t="inlineStr">
        <is>
          <t>UPPSALA LÄN</t>
        </is>
      </c>
      <c r="G41" t="inlineStr">
        <is>
          <t>KNIVSTA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62441-2021</t>
        </is>
      </c>
      <c r="B42" t="inlineStr">
        <is>
          <t>avverkningsanmälan</t>
        </is>
      </c>
      <c r="C42" t="inlineStr">
        <is>
          <t>Föryngringsavverkning</t>
        </is>
      </c>
      <c r="D42" s="1" t="n">
        <v>44503</v>
      </c>
      <c r="E42" s="1" t="n">
        <v>46292</v>
      </c>
      <c r="F42" t="inlineStr">
        <is>
          <t>UPPSALA LÄN</t>
        </is>
      </c>
      <c r="G42" t="inlineStr">
        <is>
          <t>KNIVSTA</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72966-2021</t>
        </is>
      </c>
      <c r="B43" t="inlineStr">
        <is>
          <t>avverkningsanmälan</t>
        </is>
      </c>
      <c r="C43" t="inlineStr">
        <is>
          <t>Föryngringsavverkning</t>
        </is>
      </c>
      <c r="D43" s="1" t="n">
        <v>44548</v>
      </c>
      <c r="E43" s="1" t="n">
        <v>46292</v>
      </c>
      <c r="F43" t="inlineStr">
        <is>
          <t>UPPSALA LÄN</t>
        </is>
      </c>
      <c r="G43" t="inlineStr">
        <is>
          <t>KNIVSTA</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72967-2021</t>
        </is>
      </c>
      <c r="B44" t="inlineStr">
        <is>
          <t>avverkningsanmälan</t>
        </is>
      </c>
      <c r="C44" t="inlineStr">
        <is>
          <t>Föryngringsavverkning</t>
        </is>
      </c>
      <c r="D44" s="1" t="n">
        <v>44548</v>
      </c>
      <c r="E44" s="1" t="n">
        <v>46292</v>
      </c>
      <c r="F44" t="inlineStr">
        <is>
          <t>UPPSALA LÄN</t>
        </is>
      </c>
      <c r="G44" t="inlineStr">
        <is>
          <t>KNIVSTA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13697-2024</t>
        </is>
      </c>
      <c r="B45" t="inlineStr">
        <is>
          <t>avverkningsanmälan</t>
        </is>
      </c>
      <c r="C45" t="inlineStr">
        <is>
          <t>Föryngringsavverkning</t>
        </is>
      </c>
      <c r="D45" s="1" t="n">
        <v>45390</v>
      </c>
      <c r="E45" s="1" t="n">
        <v>46292</v>
      </c>
      <c r="F45" t="inlineStr">
        <is>
          <t>UPPSALA LÄN</t>
        </is>
      </c>
      <c r="G45" t="inlineStr">
        <is>
          <t>KNIVSTA</t>
        </is>
      </c>
      <c r="H45" t="inlineStr">
        <is>
          <t>Holmen skog AB</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662-2026</t>
        </is>
      </c>
      <c r="B46" t="inlineStr">
        <is>
          <t>avverkningsanmälan</t>
        </is>
      </c>
      <c r="C46" t="inlineStr">
        <is>
          <t>Föryngringsavverkning</t>
        </is>
      </c>
      <c r="D46" s="1" t="n">
        <v>46029</v>
      </c>
      <c r="E46" s="1" t="n">
        <v>46292</v>
      </c>
      <c r="F46" t="inlineStr">
        <is>
          <t>UPPSALA LÄN</t>
        </is>
      </c>
      <c r="G46" t="inlineStr">
        <is>
          <t>KNIVSTA</t>
        </is>
      </c>
      <c r="I46" t="n">
        <v>1.4</v>
      </c>
      <c r="J46" t="n">
        <v>0</v>
      </c>
      <c r="K46" t="n">
        <v>0</v>
      </c>
      <c r="L46" t="n">
        <v>0</v>
      </c>
      <c r="M46" t="n">
        <v>0</v>
      </c>
      <c r="N46" t="n">
        <v>0</v>
      </c>
      <c r="O46" t="n">
        <v>0</v>
      </c>
      <c r="P46" t="n">
        <v>0</v>
      </c>
      <c r="Q46" t="n">
        <v>0</v>
      </c>
      <c r="R46" t="n">
        <v>0</v>
      </c>
      <c r="S46" t="n">
        <v>0</v>
      </c>
      <c r="T46" t="n">
        <v>0</v>
      </c>
      <c r="U46" t="n">
        <v>0</v>
      </c>
      <c r="V46" s="2" t="inlineStr"/>
    </row>
    <row r="47" ht="15" customHeight="1">
      <c r="A47" t="inlineStr">
        <is>
          <t>A 3375-2026</t>
        </is>
      </c>
      <c r="B47" t="inlineStr">
        <is>
          <t>avverkningsanmälan</t>
        </is>
      </c>
      <c r="C47" t="inlineStr">
        <is>
          <t>Föryngringsavverkning</t>
        </is>
      </c>
      <c r="D47" s="1" t="n">
        <v>46042</v>
      </c>
      <c r="E47" s="1" t="n">
        <v>46292</v>
      </c>
      <c r="F47" t="inlineStr">
        <is>
          <t>UPPSALA LÄN</t>
        </is>
      </c>
      <c r="G47" t="inlineStr">
        <is>
          <t>KNIVSTA</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3824-2026</t>
        </is>
      </c>
      <c r="B48" t="inlineStr">
        <is>
          <t>avverkningsanmälan</t>
        </is>
      </c>
      <c r="C48" t="inlineStr">
        <is>
          <t>Föryngringsavverkning</t>
        </is>
      </c>
      <c r="D48" s="1" t="n">
        <v>46043</v>
      </c>
      <c r="E48" s="1" t="n">
        <v>46292</v>
      </c>
      <c r="F48" t="inlineStr">
        <is>
          <t>UPPSALA LÄN</t>
        </is>
      </c>
      <c r="G48" t="inlineStr">
        <is>
          <t>KNIVSTA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5908-2026</t>
        </is>
      </c>
      <c r="B49" t="inlineStr">
        <is>
          <t>avverkningsanmälan</t>
        </is>
      </c>
      <c r="C49" t="inlineStr">
        <is>
          <t>Föryngringsavverkning</t>
        </is>
      </c>
      <c r="D49" s="1" t="n">
        <v>46052</v>
      </c>
      <c r="E49" s="1" t="n">
        <v>46292</v>
      </c>
      <c r="F49" t="inlineStr">
        <is>
          <t>UPPSALA LÄN</t>
        </is>
      </c>
      <c r="G49" t="inlineStr">
        <is>
          <t>KNIVSTA</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5910-2026</t>
        </is>
      </c>
      <c r="B50" t="inlineStr">
        <is>
          <t>avverkningsanmälan</t>
        </is>
      </c>
      <c r="C50" t="inlineStr">
        <is>
          <t>Föryngringsavverkning</t>
        </is>
      </c>
      <c r="D50" s="1" t="n">
        <v>46052</v>
      </c>
      <c r="E50" s="1" t="n">
        <v>46292</v>
      </c>
      <c r="F50" t="inlineStr">
        <is>
          <t>UPPSALA LÄN</t>
        </is>
      </c>
      <c r="G50" t="inlineStr">
        <is>
          <t>KNIVSTA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20902-2024</t>
        </is>
      </c>
      <c r="B51" t="inlineStr">
        <is>
          <t>avverkningsanmälan</t>
        </is>
      </c>
      <c r="C51" t="inlineStr">
        <is>
          <t>Föryngringsavverkning</t>
        </is>
      </c>
      <c r="D51" s="1" t="n">
        <v>45439</v>
      </c>
      <c r="E51" s="1" t="n">
        <v>46292</v>
      </c>
      <c r="F51" t="inlineStr">
        <is>
          <t>UPPSALA LÄN</t>
        </is>
      </c>
      <c r="G51" t="inlineStr">
        <is>
          <t>KNIVSTA</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45453-2025</t>
        </is>
      </c>
      <c r="B52" t="inlineStr">
        <is>
          <t>avverkningsanmälan</t>
        </is>
      </c>
      <c r="C52" t="inlineStr">
        <is>
          <t>Föryngringsavverkning</t>
        </is>
      </c>
      <c r="D52" s="1" t="n">
        <v>45922</v>
      </c>
      <c r="E52" s="1" t="n">
        <v>46292</v>
      </c>
      <c r="F52" t="inlineStr">
        <is>
          <t>UPPSALA LÄN</t>
        </is>
      </c>
      <c r="G52" t="inlineStr">
        <is>
          <t>KNIVSTA</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9744-2026</t>
        </is>
      </c>
      <c r="B53" t="inlineStr">
        <is>
          <t>avverkningsanmälan</t>
        </is>
      </c>
      <c r="C53" t="inlineStr">
        <is>
          <t>Föryngringsavverkning</t>
        </is>
      </c>
      <c r="D53" s="1" t="n">
        <v>46072</v>
      </c>
      <c r="E53" s="1" t="n">
        <v>46292</v>
      </c>
      <c r="F53" t="inlineStr">
        <is>
          <t>UPPSALA LÄN</t>
        </is>
      </c>
      <c r="G53" t="inlineStr">
        <is>
          <t>KNIVSTA</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47803-2025</t>
        </is>
      </c>
      <c r="B54" t="inlineStr">
        <is>
          <t>avverkningsanmälan</t>
        </is>
      </c>
      <c r="C54" t="inlineStr">
        <is>
          <t>Avverkning för annat ändamål</t>
        </is>
      </c>
      <c r="D54" s="1" t="n">
        <v>45931</v>
      </c>
      <c r="E54" s="1" t="n">
        <v>46292</v>
      </c>
      <c r="F54" t="inlineStr">
        <is>
          <t>UPPSALA LÄN</t>
        </is>
      </c>
      <c r="G54" t="inlineStr">
        <is>
          <t>KNIVSTA</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12027-2026</t>
        </is>
      </c>
      <c r="B55" t="inlineStr">
        <is>
          <t>avverkningsanmälan</t>
        </is>
      </c>
      <c r="C55" t="inlineStr">
        <is>
          <t>Avverkning för annat ändamål</t>
        </is>
      </c>
      <c r="D55" s="1" t="n">
        <v>46085</v>
      </c>
      <c r="E55" s="1" t="n">
        <v>46292</v>
      </c>
      <c r="F55" t="inlineStr">
        <is>
          <t>UPPSALA LÄN</t>
        </is>
      </c>
      <c r="G55" t="inlineStr">
        <is>
          <t>KNIVSTA</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11841-2023</t>
        </is>
      </c>
      <c r="B56" t="inlineStr">
        <is>
          <t>avverkningsanmälan</t>
        </is>
      </c>
      <c r="C56" t="inlineStr">
        <is>
          <t>Föryngringsavverkning</t>
        </is>
      </c>
      <c r="D56" s="1" t="n">
        <v>44995</v>
      </c>
      <c r="E56" s="1" t="n">
        <v>46292</v>
      </c>
      <c r="F56" t="inlineStr">
        <is>
          <t>UPPSALA LÄN</t>
        </is>
      </c>
      <c r="G56" t="inlineStr">
        <is>
          <t>KNIVSTA</t>
        </is>
      </c>
      <c r="I56" t="n">
        <v>3.9</v>
      </c>
      <c r="J56" t="n">
        <v>0</v>
      </c>
      <c r="K56" t="n">
        <v>0</v>
      </c>
      <c r="L56" t="n">
        <v>0</v>
      </c>
      <c r="M56" t="n">
        <v>0</v>
      </c>
      <c r="N56" t="n">
        <v>0</v>
      </c>
      <c r="O56" t="n">
        <v>0</v>
      </c>
      <c r="P56" t="n">
        <v>0</v>
      </c>
      <c r="Q56" t="n">
        <v>0</v>
      </c>
      <c r="R56" t="n">
        <v>0</v>
      </c>
      <c r="S56" t="n">
        <v>0</v>
      </c>
      <c r="T56" t="n">
        <v>0</v>
      </c>
      <c r="U56" t="n">
        <v>0</v>
      </c>
      <c r="V56" s="2" t="inlineStr"/>
    </row>
    <row r="57" ht="15" customHeight="1">
      <c r="A57" t="inlineStr">
        <is>
          <t>A 12774-2026</t>
        </is>
      </c>
      <c r="B57" t="inlineStr">
        <is>
          <t>avverkningsanmälan</t>
        </is>
      </c>
      <c r="C57" t="inlineStr">
        <is>
          <t>Föryngringsavverkning</t>
        </is>
      </c>
      <c r="D57" s="1" t="n">
        <v>46091</v>
      </c>
      <c r="E57" s="1" t="n">
        <v>46292</v>
      </c>
      <c r="F57" t="inlineStr">
        <is>
          <t>UPPSALA LÄN</t>
        </is>
      </c>
      <c r="G57" t="inlineStr">
        <is>
          <t>KNIVSTA</t>
        </is>
      </c>
      <c r="H57" t="inlineStr">
        <is>
          <t>Holmen skog AB</t>
        </is>
      </c>
      <c r="I57" t="n">
        <v>3.3</v>
      </c>
      <c r="J57" t="n">
        <v>0</v>
      </c>
      <c r="K57" t="n">
        <v>0</v>
      </c>
      <c r="L57" t="n">
        <v>0</v>
      </c>
      <c r="M57" t="n">
        <v>0</v>
      </c>
      <c r="N57" t="n">
        <v>0</v>
      </c>
      <c r="O57" t="n">
        <v>0</v>
      </c>
      <c r="P57" t="n">
        <v>0</v>
      </c>
      <c r="Q57" t="n">
        <v>0</v>
      </c>
      <c r="R57" t="n">
        <v>0</v>
      </c>
      <c r="S57" t="n">
        <v>0</v>
      </c>
      <c r="T57" t="n">
        <v>0</v>
      </c>
      <c r="U57" t="n">
        <v>0</v>
      </c>
      <c r="V57" s="2" t="inlineStr"/>
    </row>
    <row r="58" ht="15" customHeight="1">
      <c r="A58" t="inlineStr">
        <is>
          <t>A 13013-2026</t>
        </is>
      </c>
      <c r="B58" t="inlineStr">
        <is>
          <t>avverkningsanmälan</t>
        </is>
      </c>
      <c r="C58" t="inlineStr">
        <is>
          <t>Föryngringsavverkning</t>
        </is>
      </c>
      <c r="D58" s="1" t="n">
        <v>46092</v>
      </c>
      <c r="E58" s="1" t="n">
        <v>46292</v>
      </c>
      <c r="F58" t="inlineStr">
        <is>
          <t>UPPSALA LÄN</t>
        </is>
      </c>
      <c r="G58" t="inlineStr">
        <is>
          <t>KNIVSTA</t>
        </is>
      </c>
      <c r="H58" t="inlineStr">
        <is>
          <t>Holmen skog AB</t>
        </is>
      </c>
      <c r="I58" t="n">
        <v>4.6</v>
      </c>
      <c r="J58" t="n">
        <v>0</v>
      </c>
      <c r="K58" t="n">
        <v>0</v>
      </c>
      <c r="L58" t="n">
        <v>0</v>
      </c>
      <c r="M58" t="n">
        <v>0</v>
      </c>
      <c r="N58" t="n">
        <v>0</v>
      </c>
      <c r="O58" t="n">
        <v>0</v>
      </c>
      <c r="P58" t="n">
        <v>0</v>
      </c>
      <c r="Q58" t="n">
        <v>0</v>
      </c>
      <c r="R58" t="n">
        <v>0</v>
      </c>
      <c r="S58" t="n">
        <v>0</v>
      </c>
      <c r="T58" t="n">
        <v>0</v>
      </c>
      <c r="U58" t="n">
        <v>0</v>
      </c>
      <c r="V58" s="2" t="inlineStr"/>
    </row>
    <row r="59" ht="15" customHeight="1">
      <c r="A59" t="inlineStr">
        <is>
          <t>A 13011-2026</t>
        </is>
      </c>
      <c r="B59" t="inlineStr">
        <is>
          <t>avverkningsanmälan</t>
        </is>
      </c>
      <c r="C59" t="inlineStr">
        <is>
          <t>Föryngringsavverkning</t>
        </is>
      </c>
      <c r="D59" s="1" t="n">
        <v>46092</v>
      </c>
      <c r="E59" s="1" t="n">
        <v>46292</v>
      </c>
      <c r="F59" t="inlineStr">
        <is>
          <t>UPPSALA LÄN</t>
        </is>
      </c>
      <c r="G59" t="inlineStr">
        <is>
          <t>KNIVSTA</t>
        </is>
      </c>
      <c r="H59" t="inlineStr">
        <is>
          <t>Holmen skog AB</t>
        </is>
      </c>
      <c r="I59" t="n">
        <v>1.9</v>
      </c>
      <c r="J59" t="n">
        <v>0</v>
      </c>
      <c r="K59" t="n">
        <v>0</v>
      </c>
      <c r="L59" t="n">
        <v>0</v>
      </c>
      <c r="M59" t="n">
        <v>0</v>
      </c>
      <c r="N59" t="n">
        <v>0</v>
      </c>
      <c r="O59" t="n">
        <v>0</v>
      </c>
      <c r="P59" t="n">
        <v>0</v>
      </c>
      <c r="Q59" t="n">
        <v>0</v>
      </c>
      <c r="R59" t="n">
        <v>0</v>
      </c>
      <c r="S59" t="n">
        <v>0</v>
      </c>
      <c r="T59" t="n">
        <v>0</v>
      </c>
      <c r="U59" t="n">
        <v>0</v>
      </c>
      <c r="V59" s="2" t="inlineStr"/>
      <c r="Z59">
        <f>HYPERLINK("https://klasma.github.io/Logging_0330/knärot/A 13011-2026 karta knärot.png", "A 13011-2026")</f>
        <v/>
      </c>
      <c r="AA59">
        <f>HYPERLINK("https://klasma.github.io/Logging_0330/klagomål/A 13011-2026 FSC-klagomål.docx", "A 13011-2026")</f>
        <v/>
      </c>
      <c r="AB59">
        <f>HYPERLINK("https://klasma.github.io/Logging_0330/klagomålsmail/A 13011-2026 FSC-klagomål mail.docx", "A 13011-2026")</f>
        <v/>
      </c>
      <c r="AC59">
        <f>HYPERLINK("https://klasma.github.io/Logging_0330/tillsyn/A 13011-2026 tillsynsbegäran.docx", "A 13011-2026")</f>
        <v/>
      </c>
      <c r="AD59">
        <f>HYPERLINK("https://klasma.github.io/Logging_0330/tillsynsmail/A 13011-2026 tillsynsbegäran mail.docx", "A 13011-2026")</f>
        <v/>
      </c>
    </row>
    <row r="60" ht="15" customHeight="1">
      <c r="A60" t="inlineStr">
        <is>
          <t>A 49090-2025</t>
        </is>
      </c>
      <c r="B60" t="inlineStr">
        <is>
          <t>avverkningsanmälan</t>
        </is>
      </c>
      <c r="C60" t="inlineStr">
        <is>
          <t>Föryngringsavverkning</t>
        </is>
      </c>
      <c r="D60" s="1" t="n">
        <v>45937</v>
      </c>
      <c r="E60" s="1" t="n">
        <v>46292</v>
      </c>
      <c r="F60" t="inlineStr">
        <is>
          <t>UPPSALA LÄN</t>
        </is>
      </c>
      <c r="G60" t="inlineStr">
        <is>
          <t>KNIVSTA</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13016-2026</t>
        </is>
      </c>
      <c r="B61" t="inlineStr">
        <is>
          <t>avverkningsanmälan</t>
        </is>
      </c>
      <c r="C61" t="inlineStr">
        <is>
          <t>Föryngringsavverkning</t>
        </is>
      </c>
      <c r="D61" s="1" t="n">
        <v>46092</v>
      </c>
      <c r="E61" s="1" t="n">
        <v>46292</v>
      </c>
      <c r="F61" t="inlineStr">
        <is>
          <t>UPPSALA LÄN</t>
        </is>
      </c>
      <c r="G61" t="inlineStr">
        <is>
          <t>KNIVSTA</t>
        </is>
      </c>
      <c r="H61" t="inlineStr">
        <is>
          <t>Holmen skog AB</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13001-2026</t>
        </is>
      </c>
      <c r="B62" t="inlineStr">
        <is>
          <t>avverkningsanmälan</t>
        </is>
      </c>
      <c r="C62" t="inlineStr">
        <is>
          <t>Föryngringsavverkning</t>
        </is>
      </c>
      <c r="D62" s="1" t="n">
        <v>46092</v>
      </c>
      <c r="E62" s="1" t="n">
        <v>46292</v>
      </c>
      <c r="F62" t="inlineStr">
        <is>
          <t>UPPSALA LÄN</t>
        </is>
      </c>
      <c r="G62" t="inlineStr">
        <is>
          <t>KNIVSTA</t>
        </is>
      </c>
      <c r="H62" t="inlineStr">
        <is>
          <t>Holmen skog AB</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13005-2026</t>
        </is>
      </c>
      <c r="B63" t="inlineStr">
        <is>
          <t>avverkningsanmälan</t>
        </is>
      </c>
      <c r="C63" t="inlineStr">
        <is>
          <t>Föryngringsavverkning</t>
        </is>
      </c>
      <c r="D63" s="1" t="n">
        <v>46092</v>
      </c>
      <c r="E63" s="1" t="n">
        <v>46292</v>
      </c>
      <c r="F63" t="inlineStr">
        <is>
          <t>UPPSALA LÄN</t>
        </is>
      </c>
      <c r="G63" t="inlineStr">
        <is>
          <t>KNIVSTA</t>
        </is>
      </c>
      <c r="H63" t="inlineStr">
        <is>
          <t>Holmen skog AB</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30351-2022</t>
        </is>
      </c>
      <c r="B64" t="inlineStr">
        <is>
          <t>avverkningsanmälan</t>
        </is>
      </c>
      <c r="C64" t="inlineStr">
        <is>
          <t>Föryngringsavverkning</t>
        </is>
      </c>
      <c r="D64" s="1" t="n">
        <v>44757</v>
      </c>
      <c r="E64" s="1" t="n">
        <v>46292</v>
      </c>
      <c r="F64" t="inlineStr">
        <is>
          <t>UPPSALA LÄN</t>
        </is>
      </c>
      <c r="G64" t="inlineStr">
        <is>
          <t>KNIVSTA</t>
        </is>
      </c>
      <c r="I64" t="n">
        <v>5.7</v>
      </c>
      <c r="J64" t="n">
        <v>0</v>
      </c>
      <c r="K64" t="n">
        <v>0</v>
      </c>
      <c r="L64" t="n">
        <v>0</v>
      </c>
      <c r="M64" t="n">
        <v>0</v>
      </c>
      <c r="N64" t="n">
        <v>0</v>
      </c>
      <c r="O64" t="n">
        <v>0</v>
      </c>
      <c r="P64" t="n">
        <v>0</v>
      </c>
      <c r="Q64" t="n">
        <v>0</v>
      </c>
      <c r="R64" t="n">
        <v>0</v>
      </c>
      <c r="S64" t="n">
        <v>0</v>
      </c>
      <c r="T64" t="n">
        <v>0</v>
      </c>
      <c r="U64" t="n">
        <v>0</v>
      </c>
      <c r="V64" s="2" t="inlineStr"/>
    </row>
    <row r="65" ht="15" customHeight="1">
      <c r="A65" t="inlineStr">
        <is>
          <t>A 11847-2023</t>
        </is>
      </c>
      <c r="B65" t="inlineStr">
        <is>
          <t>avverkningsanmälan</t>
        </is>
      </c>
      <c r="C65" t="inlineStr">
        <is>
          <t>Föryngringsavverkning</t>
        </is>
      </c>
      <c r="D65" s="1" t="n">
        <v>44995</v>
      </c>
      <c r="E65" s="1" t="n">
        <v>46292</v>
      </c>
      <c r="F65" t="inlineStr">
        <is>
          <t>UPPSALA LÄN</t>
        </is>
      </c>
      <c r="G65" t="inlineStr">
        <is>
          <t>KNIVSTA</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11450-2023</t>
        </is>
      </c>
      <c r="B66" t="inlineStr">
        <is>
          <t>avverkningsanmälan</t>
        </is>
      </c>
      <c r="C66" t="inlineStr">
        <is>
          <t>Föryngringsavverkning</t>
        </is>
      </c>
      <c r="D66" s="1" t="n">
        <v>44993</v>
      </c>
      <c r="E66" s="1" t="n">
        <v>46292</v>
      </c>
      <c r="F66" t="inlineStr">
        <is>
          <t>UPPSALA LÄN</t>
        </is>
      </c>
      <c r="G66" t="inlineStr">
        <is>
          <t>KNIVSTA</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31875-2022</t>
        </is>
      </c>
      <c r="B67" t="inlineStr">
        <is>
          <t>avverkningsanmälan</t>
        </is>
      </c>
      <c r="C67" t="inlineStr">
        <is>
          <t>Föryngringsavverkning</t>
        </is>
      </c>
      <c r="D67" s="1" t="n">
        <v>44777</v>
      </c>
      <c r="E67" s="1" t="n">
        <v>46292</v>
      </c>
      <c r="F67" t="inlineStr">
        <is>
          <t>UPPSALA LÄN</t>
        </is>
      </c>
      <c r="G67" t="inlineStr">
        <is>
          <t>KNIVSTA</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23239-2023</t>
        </is>
      </c>
      <c r="B68" t="inlineStr">
        <is>
          <t>avverkningsanmälan</t>
        </is>
      </c>
      <c r="C68" t="inlineStr">
        <is>
          <t>Föryngringsavverkning</t>
        </is>
      </c>
      <c r="D68" s="1" t="n">
        <v>45075</v>
      </c>
      <c r="E68" s="1" t="n">
        <v>46292</v>
      </c>
      <c r="F68" t="inlineStr">
        <is>
          <t>UPPSALA LÄN</t>
        </is>
      </c>
      <c r="G68" t="inlineStr">
        <is>
          <t>KNIVSTA</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19774-2026</t>
        </is>
      </c>
      <c r="B69" t="inlineStr">
        <is>
          <t>avverkningsanmälan</t>
        </is>
      </c>
      <c r="C69" t="inlineStr">
        <is>
          <t>Föryngringsavverkning</t>
        </is>
      </c>
      <c r="D69" s="1" t="n">
        <v>46135</v>
      </c>
      <c r="E69" s="1" t="n">
        <v>46292</v>
      </c>
      <c r="F69" t="inlineStr">
        <is>
          <t>UPPSALA LÄN</t>
        </is>
      </c>
      <c r="G69" t="inlineStr">
        <is>
          <t>KNIVSTA</t>
        </is>
      </c>
      <c r="I69" t="n">
        <v>4.2</v>
      </c>
      <c r="J69" t="n">
        <v>0</v>
      </c>
      <c r="K69" t="n">
        <v>0</v>
      </c>
      <c r="L69" t="n">
        <v>0</v>
      </c>
      <c r="M69" t="n">
        <v>0</v>
      </c>
      <c r="N69" t="n">
        <v>0</v>
      </c>
      <c r="O69" t="n">
        <v>0</v>
      </c>
      <c r="P69" t="n">
        <v>0</v>
      </c>
      <c r="Q69" t="n">
        <v>0</v>
      </c>
      <c r="R69" t="n">
        <v>0</v>
      </c>
      <c r="S69" t="n">
        <v>0</v>
      </c>
      <c r="T69" t="n">
        <v>0</v>
      </c>
      <c r="U69" t="n">
        <v>0</v>
      </c>
      <c r="V69" s="2" t="inlineStr"/>
    </row>
    <row r="70" ht="15" customHeight="1">
      <c r="A70" t="inlineStr">
        <is>
          <t>A 60243-2025</t>
        </is>
      </c>
      <c r="B70" t="inlineStr">
        <is>
          <t>avverkningsanmälan</t>
        </is>
      </c>
      <c r="C70" t="inlineStr">
        <is>
          <t>Föryngringsavverkning</t>
        </is>
      </c>
      <c r="D70" s="1" t="n">
        <v>45994</v>
      </c>
      <c r="E70" s="1" t="n">
        <v>46292</v>
      </c>
      <c r="F70" t="inlineStr">
        <is>
          <t>UPPSALA LÄN</t>
        </is>
      </c>
      <c r="G70" t="inlineStr">
        <is>
          <t>KNIVSTA</t>
        </is>
      </c>
      <c r="H70" t="inlineStr">
        <is>
          <t>Holmen skog AB</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52666-2025</t>
        </is>
      </c>
      <c r="B71" t="inlineStr">
        <is>
          <t>avverkningsanmälan</t>
        </is>
      </c>
      <c r="C71" t="inlineStr">
        <is>
          <t>Föryngringsavverkning</t>
        </is>
      </c>
      <c r="D71" s="1" t="n">
        <v>45955</v>
      </c>
      <c r="E71" s="1" t="n">
        <v>46292</v>
      </c>
      <c r="F71" t="inlineStr">
        <is>
          <t>UPPSALA LÄN</t>
        </is>
      </c>
      <c r="G71" t="inlineStr">
        <is>
          <t>KNIVSTA</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33974-2025</t>
        </is>
      </c>
      <c r="B72" t="inlineStr">
        <is>
          <t>avverkningsanmälan</t>
        </is>
      </c>
      <c r="C72" t="inlineStr">
        <is>
          <t>Föryngringsavverkning</t>
        </is>
      </c>
      <c r="D72" s="1" t="n">
        <v>45843</v>
      </c>
      <c r="E72" s="1" t="n">
        <v>46292</v>
      </c>
      <c r="F72" t="inlineStr">
        <is>
          <t>UPPSALA LÄN</t>
        </is>
      </c>
      <c r="G72" t="inlineStr">
        <is>
          <t>KNIVSTA</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66293-2021</t>
        </is>
      </c>
      <c r="B73" t="inlineStr">
        <is>
          <t>avverkningsanmälan</t>
        </is>
      </c>
      <c r="C73" t="inlineStr">
        <is>
          <t>Föryngringsavverkning</t>
        </is>
      </c>
      <c r="D73" s="1" t="n">
        <v>44518</v>
      </c>
      <c r="E73" s="1" t="n">
        <v>46292</v>
      </c>
      <c r="F73" t="inlineStr">
        <is>
          <t>UPPSALA LÄN</t>
        </is>
      </c>
      <c r="G73" t="inlineStr">
        <is>
          <t>KNIVSTA</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20528-2026</t>
        </is>
      </c>
      <c r="B74" t="inlineStr">
        <is>
          <t>avverkningsanmälan</t>
        </is>
      </c>
      <c r="C74" t="inlineStr">
        <is>
          <t>Föryngringsavverkning</t>
        </is>
      </c>
      <c r="D74" s="1" t="n">
        <v>46140</v>
      </c>
      <c r="E74" s="1" t="n">
        <v>46292</v>
      </c>
      <c r="F74" t="inlineStr">
        <is>
          <t>UPPSALA LÄN</t>
        </is>
      </c>
      <c r="G74" t="inlineStr">
        <is>
          <t>KNIVSTA</t>
        </is>
      </c>
      <c r="I74" t="n">
        <v>5.7</v>
      </c>
      <c r="J74" t="n">
        <v>0</v>
      </c>
      <c r="K74" t="n">
        <v>0</v>
      </c>
      <c r="L74" t="n">
        <v>0</v>
      </c>
      <c r="M74" t="n">
        <v>0</v>
      </c>
      <c r="N74" t="n">
        <v>0</v>
      </c>
      <c r="O74" t="n">
        <v>0</v>
      </c>
      <c r="P74" t="n">
        <v>0</v>
      </c>
      <c r="Q74" t="n">
        <v>0</v>
      </c>
      <c r="R74" t="n">
        <v>0</v>
      </c>
      <c r="S74" t="n">
        <v>0</v>
      </c>
      <c r="T74" t="n">
        <v>0</v>
      </c>
      <c r="U74" t="n">
        <v>0</v>
      </c>
      <c r="V74" s="2" t="inlineStr"/>
    </row>
    <row r="75" ht="15" customHeight="1">
      <c r="A75" t="inlineStr">
        <is>
          <t>A 19777-2026</t>
        </is>
      </c>
      <c r="B75" t="inlineStr">
        <is>
          <t>avverkningsanmälan</t>
        </is>
      </c>
      <c r="C75" t="inlineStr">
        <is>
          <t>Föryngringsavverkning</t>
        </is>
      </c>
      <c r="D75" s="1" t="n">
        <v>46135</v>
      </c>
      <c r="E75" s="1" t="n">
        <v>46292</v>
      </c>
      <c r="F75" t="inlineStr">
        <is>
          <t>UPPSALA LÄN</t>
        </is>
      </c>
      <c r="G75" t="inlineStr">
        <is>
          <t>KNIVSTA</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66284-2021</t>
        </is>
      </c>
      <c r="B76" t="inlineStr">
        <is>
          <t>avverkningsanmälan</t>
        </is>
      </c>
      <c r="C76" t="inlineStr">
        <is>
          <t>Föryngringsavverkning</t>
        </is>
      </c>
      <c r="D76" s="1" t="n">
        <v>44518</v>
      </c>
      <c r="E76" s="1" t="n">
        <v>46292</v>
      </c>
      <c r="F76" t="inlineStr">
        <is>
          <t>UPPSALA LÄN</t>
        </is>
      </c>
      <c r="G76" t="inlineStr">
        <is>
          <t>KNIVSTA</t>
        </is>
      </c>
      <c r="I76" t="n">
        <v>6.9</v>
      </c>
      <c r="J76" t="n">
        <v>0</v>
      </c>
      <c r="K76" t="n">
        <v>0</v>
      </c>
      <c r="L76" t="n">
        <v>0</v>
      </c>
      <c r="M76" t="n">
        <v>0</v>
      </c>
      <c r="N76" t="n">
        <v>0</v>
      </c>
      <c r="O76" t="n">
        <v>0</v>
      </c>
      <c r="P76" t="n">
        <v>0</v>
      </c>
      <c r="Q76" t="n">
        <v>0</v>
      </c>
      <c r="R76" t="n">
        <v>0</v>
      </c>
      <c r="S76" t="n">
        <v>0</v>
      </c>
      <c r="T76" t="n">
        <v>0</v>
      </c>
      <c r="U76" t="n">
        <v>0</v>
      </c>
      <c r="V76" s="2" t="inlineStr"/>
    </row>
    <row r="77" ht="15" customHeight="1">
      <c r="A77" t="inlineStr">
        <is>
          <t>A 34864-2025</t>
        </is>
      </c>
      <c r="B77" t="inlineStr">
        <is>
          <t>avverkningsanmälan</t>
        </is>
      </c>
      <c r="C77" t="inlineStr">
        <is>
          <t>Föryngringsavverkning</t>
        </is>
      </c>
      <c r="D77" s="1" t="n">
        <v>45849</v>
      </c>
      <c r="E77" s="1" t="n">
        <v>46292</v>
      </c>
      <c r="F77" t="inlineStr">
        <is>
          <t>UPPSALA LÄN</t>
        </is>
      </c>
      <c r="G77" t="inlineStr">
        <is>
          <t>KNIVSTA</t>
        </is>
      </c>
      <c r="H77" t="inlineStr">
        <is>
          <t>Holmen skog AB</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35318-2025</t>
        </is>
      </c>
      <c r="B78" t="inlineStr">
        <is>
          <t>avverkningsanmälan</t>
        </is>
      </c>
      <c r="C78" t="inlineStr">
        <is>
          <t>Föryngringsavverkning</t>
        </is>
      </c>
      <c r="D78" s="1" t="n">
        <v>45854</v>
      </c>
      <c r="E78" s="1" t="n">
        <v>46292</v>
      </c>
      <c r="F78" t="inlineStr">
        <is>
          <t>UPPSALA LÄN</t>
        </is>
      </c>
      <c r="G78" t="inlineStr">
        <is>
          <t>KNIVSTA</t>
        </is>
      </c>
      <c r="H78" t="inlineStr">
        <is>
          <t>Holmen skog AB</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23969-2026</t>
        </is>
      </c>
      <c r="B79" t="inlineStr">
        <is>
          <t>avverkningsanmälan</t>
        </is>
      </c>
      <c r="C79" t="inlineStr">
        <is>
          <t>Föryngringsavverkning</t>
        </is>
      </c>
      <c r="D79" s="1" t="n">
        <v>46167</v>
      </c>
      <c r="E79" s="1" t="n">
        <v>46292</v>
      </c>
      <c r="F79" t="inlineStr">
        <is>
          <t>UPPSALA LÄN</t>
        </is>
      </c>
      <c r="G79" t="inlineStr">
        <is>
          <t>KNIVSTA</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19676-2025</t>
        </is>
      </c>
      <c r="B80" t="inlineStr">
        <is>
          <t>avverkningsanmälan</t>
        </is>
      </c>
      <c r="C80" t="inlineStr">
        <is>
          <t>Föryngringsavverkning</t>
        </is>
      </c>
      <c r="D80" s="1" t="n">
        <v>45770</v>
      </c>
      <c r="E80" s="1" t="n">
        <v>46292</v>
      </c>
      <c r="F80" t="inlineStr">
        <is>
          <t>UPPSALA LÄN</t>
        </is>
      </c>
      <c r="G80" t="inlineStr">
        <is>
          <t>KNIVSTA</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8343-2024</t>
        </is>
      </c>
      <c r="B81" t="inlineStr">
        <is>
          <t>avverkningsanmälan</t>
        </is>
      </c>
      <c r="C81" t="inlineStr">
        <is>
          <t>Föryngringsavverkning</t>
        </is>
      </c>
      <c r="D81" s="1" t="n">
        <v>45352</v>
      </c>
      <c r="E81" s="1" t="n">
        <v>46292</v>
      </c>
      <c r="F81" t="inlineStr">
        <is>
          <t>UPPSALA LÄN</t>
        </is>
      </c>
      <c r="G81" t="inlineStr">
        <is>
          <t>KNIVSTA</t>
        </is>
      </c>
      <c r="H81" t="inlineStr">
        <is>
          <t>Holmen skog AB</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30627-2023</t>
        </is>
      </c>
      <c r="B82" t="inlineStr">
        <is>
          <t>avverkningsanmälan</t>
        </is>
      </c>
      <c r="C82" t="inlineStr">
        <is>
          <t>Föryngringsavverkning</t>
        </is>
      </c>
      <c r="D82" s="1" t="n">
        <v>45112</v>
      </c>
      <c r="E82" s="1" t="n">
        <v>46292</v>
      </c>
      <c r="F82" t="inlineStr">
        <is>
          <t>UPPSALA LÄN</t>
        </is>
      </c>
      <c r="G82" t="inlineStr">
        <is>
          <t>KNIVSTA</t>
        </is>
      </c>
      <c r="H82" t="inlineStr">
        <is>
          <t>Holmen skog AB</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1629-2024</t>
        </is>
      </c>
      <c r="B83" t="inlineStr">
        <is>
          <t>avverkningsanmälan</t>
        </is>
      </c>
      <c r="C83" t="inlineStr">
        <is>
          <t>Föryngringsavverkning</t>
        </is>
      </c>
      <c r="D83" s="1" t="n">
        <v>45306</v>
      </c>
      <c r="E83" s="1" t="n">
        <v>46292</v>
      </c>
      <c r="F83" t="inlineStr">
        <is>
          <t>UPPSALA LÄN</t>
        </is>
      </c>
      <c r="G83" t="inlineStr">
        <is>
          <t>KNIVSTA</t>
        </is>
      </c>
      <c r="H83" t="inlineStr">
        <is>
          <t>Holmen skog AB</t>
        </is>
      </c>
      <c r="I83" t="n">
        <v>3.6</v>
      </c>
      <c r="J83" t="n">
        <v>0</v>
      </c>
      <c r="K83" t="n">
        <v>0</v>
      </c>
      <c r="L83" t="n">
        <v>0</v>
      </c>
      <c r="M83" t="n">
        <v>0</v>
      </c>
      <c r="N83" t="n">
        <v>0</v>
      </c>
      <c r="O83" t="n">
        <v>0</v>
      </c>
      <c r="P83" t="n">
        <v>0</v>
      </c>
      <c r="Q83" t="n">
        <v>0</v>
      </c>
      <c r="R83" t="n">
        <v>0</v>
      </c>
      <c r="S83" t="n">
        <v>0</v>
      </c>
      <c r="T83" t="n">
        <v>0</v>
      </c>
      <c r="U83" t="n">
        <v>0</v>
      </c>
      <c r="V83" s="2" t="inlineStr"/>
    </row>
    <row r="84" ht="15" customHeight="1">
      <c r="A84" t="inlineStr">
        <is>
          <t>A 36473-2025</t>
        </is>
      </c>
      <c r="B84" t="inlineStr">
        <is>
          <t>avverkningsanmälan</t>
        </is>
      </c>
      <c r="C84" t="inlineStr">
        <is>
          <t>Föryngringsavverkning</t>
        </is>
      </c>
      <c r="D84" s="1" t="n">
        <v>45869</v>
      </c>
      <c r="E84" s="1" t="n">
        <v>46292</v>
      </c>
      <c r="F84" t="inlineStr">
        <is>
          <t>UPPSALA LÄN</t>
        </is>
      </c>
      <c r="G84" t="inlineStr">
        <is>
          <t>KNIVSTA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45525-2023</t>
        </is>
      </c>
      <c r="B85" t="inlineStr">
        <is>
          <t>avverkningsanmälan</t>
        </is>
      </c>
      <c r="C85" t="inlineStr">
        <is>
          <t>Avverkning för annat ändamål</t>
        </is>
      </c>
      <c r="D85" s="1" t="n">
        <v>45194</v>
      </c>
      <c r="E85" s="1" t="n">
        <v>46292</v>
      </c>
      <c r="F85" t="inlineStr">
        <is>
          <t>UPPSALA LÄN</t>
        </is>
      </c>
      <c r="G85" t="inlineStr">
        <is>
          <t>KNIVSTA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16773-2022</t>
        </is>
      </c>
      <c r="B86" t="inlineStr">
        <is>
          <t>avverkningsanmälan</t>
        </is>
      </c>
      <c r="C86" t="inlineStr">
        <is>
          <t>Avverkning för annat ändamål</t>
        </is>
      </c>
      <c r="D86" s="1" t="n">
        <v>44673</v>
      </c>
      <c r="E86" s="1" t="n">
        <v>46292</v>
      </c>
      <c r="F86" t="inlineStr">
        <is>
          <t>UPPSALA LÄN</t>
        </is>
      </c>
      <c r="G86" t="inlineStr">
        <is>
          <t>KNIVSTA</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30764-2023</t>
        </is>
      </c>
      <c r="B87" t="inlineStr">
        <is>
          <t>avverkningsanmälan</t>
        </is>
      </c>
      <c r="C87" t="inlineStr">
        <is>
          <t>Föryngringsavverkning</t>
        </is>
      </c>
      <c r="D87" s="1" t="n">
        <v>45112</v>
      </c>
      <c r="E87" s="1" t="n">
        <v>46292</v>
      </c>
      <c r="F87" t="inlineStr">
        <is>
          <t>UPPSALA LÄN</t>
        </is>
      </c>
      <c r="G87" t="inlineStr">
        <is>
          <t>KNIVSTA</t>
        </is>
      </c>
      <c r="H87" t="inlineStr">
        <is>
          <t>Holmen skog AB</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34604-2026</t>
        </is>
      </c>
      <c r="B88" t="inlineStr">
        <is>
          <t>avverkningsanmälan</t>
        </is>
      </c>
      <c r="C88" t="inlineStr">
        <is>
          <t>Föryngringsavverkning</t>
        </is>
      </c>
      <c r="D88" s="1" t="n">
        <v>46255</v>
      </c>
      <c r="E88" s="1" t="n">
        <v>46292</v>
      </c>
      <c r="F88" t="inlineStr">
        <is>
          <t>UPPSALA LÄN</t>
        </is>
      </c>
      <c r="G88" t="inlineStr">
        <is>
          <t>KNIVSTA</t>
        </is>
      </c>
      <c r="H88" t="inlineStr">
        <is>
          <t>Holmen skog AB</t>
        </is>
      </c>
      <c r="I88" t="n">
        <v>7.6</v>
      </c>
      <c r="J88" t="n">
        <v>0</v>
      </c>
      <c r="K88" t="n">
        <v>0</v>
      </c>
      <c r="L88" t="n">
        <v>0</v>
      </c>
      <c r="M88" t="n">
        <v>0</v>
      </c>
      <c r="N88" t="n">
        <v>0</v>
      </c>
      <c r="O88" t="n">
        <v>0</v>
      </c>
      <c r="P88" t="n">
        <v>0</v>
      </c>
      <c r="Q88" t="n">
        <v>0</v>
      </c>
      <c r="R88" t="n">
        <v>0</v>
      </c>
      <c r="S88" t="n">
        <v>0</v>
      </c>
      <c r="T88" t="n">
        <v>0</v>
      </c>
      <c r="U88" t="n">
        <v>0</v>
      </c>
      <c r="V88" s="2" t="inlineStr"/>
    </row>
    <row r="89" ht="15" customHeight="1">
      <c r="A89" t="inlineStr">
        <is>
          <t>A 51849-2023</t>
        </is>
      </c>
      <c r="B89" t="inlineStr">
        <is>
          <t>avverkningsanmälan</t>
        </is>
      </c>
      <c r="C89" t="inlineStr">
        <is>
          <t>Föryngringsavverkning</t>
        </is>
      </c>
      <c r="D89" s="1" t="n">
        <v>45223</v>
      </c>
      <c r="E89" s="1" t="n">
        <v>46292</v>
      </c>
      <c r="F89" t="inlineStr">
        <is>
          <t>UPPSALA LÄN</t>
        </is>
      </c>
      <c r="G89" t="inlineStr">
        <is>
          <t>KNIVSTA</t>
        </is>
      </c>
      <c r="I89" t="n">
        <v>16.3</v>
      </c>
      <c r="J89" t="n">
        <v>0</v>
      </c>
      <c r="K89" t="n">
        <v>0</v>
      </c>
      <c r="L89" t="n">
        <v>0</v>
      </c>
      <c r="M89" t="n">
        <v>0</v>
      </c>
      <c r="N89" t="n">
        <v>0</v>
      </c>
      <c r="O89" t="n">
        <v>0</v>
      </c>
      <c r="P89" t="n">
        <v>0</v>
      </c>
      <c r="Q89" t="n">
        <v>0</v>
      </c>
      <c r="R89" t="n">
        <v>0</v>
      </c>
      <c r="S89" t="n">
        <v>0</v>
      </c>
      <c r="T89" t="n">
        <v>0</v>
      </c>
      <c r="U89" t="n">
        <v>0</v>
      </c>
      <c r="V89" s="2" t="inlineStr"/>
    </row>
    <row r="90" ht="15" customHeight="1">
      <c r="A90" t="inlineStr">
        <is>
          <t>A 60018-2024</t>
        </is>
      </c>
      <c r="B90" t="inlineStr">
        <is>
          <t>avverkningsanmälan</t>
        </is>
      </c>
      <c r="C90" t="inlineStr">
        <is>
          <t>Föryngringsavverkning</t>
        </is>
      </c>
      <c r="D90" s="1" t="n">
        <v>45642</v>
      </c>
      <c r="E90" s="1" t="n">
        <v>46292</v>
      </c>
      <c r="F90" t="inlineStr">
        <is>
          <t>UPPSALA LÄN</t>
        </is>
      </c>
      <c r="G90" t="inlineStr">
        <is>
          <t>KNIVSTA</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35395-2026</t>
        </is>
      </c>
      <c r="B91" t="inlineStr">
        <is>
          <t>avverkningsanmälan</t>
        </is>
      </c>
      <c r="C91" t="inlineStr">
        <is>
          <t>Föryngringsavverkning</t>
        </is>
      </c>
      <c r="D91" s="1" t="n">
        <v>46261</v>
      </c>
      <c r="E91" s="1" t="n">
        <v>46292</v>
      </c>
      <c r="F91" t="inlineStr">
        <is>
          <t>UPPSALA LÄN</t>
        </is>
      </c>
      <c r="G91" t="inlineStr">
        <is>
          <t>KNIVSTA</t>
        </is>
      </c>
      <c r="H91" t="inlineStr">
        <is>
          <t>Holmen skog AB</t>
        </is>
      </c>
      <c r="I91" t="n">
        <v>7.4</v>
      </c>
      <c r="J91" t="n">
        <v>0</v>
      </c>
      <c r="K91" t="n">
        <v>0</v>
      </c>
      <c r="L91" t="n">
        <v>0</v>
      </c>
      <c r="M91" t="n">
        <v>0</v>
      </c>
      <c r="N91" t="n">
        <v>0</v>
      </c>
      <c r="O91" t="n">
        <v>0</v>
      </c>
      <c r="P91" t="n">
        <v>0</v>
      </c>
      <c r="Q91" t="n">
        <v>0</v>
      </c>
      <c r="R91" t="n">
        <v>0</v>
      </c>
      <c r="S91" t="n">
        <v>0</v>
      </c>
      <c r="T91" t="n">
        <v>0</v>
      </c>
      <c r="U91" t="n">
        <v>0</v>
      </c>
      <c r="V91" s="2" t="inlineStr"/>
    </row>
    <row r="92" ht="15" customHeight="1">
      <c r="A92" t="inlineStr">
        <is>
          <t>A 17333-2024</t>
        </is>
      </c>
      <c r="B92" t="inlineStr">
        <is>
          <t>avverkningsanmälan</t>
        </is>
      </c>
      <c r="C92" t="inlineStr">
        <is>
          <t>Föryngringsavverkning</t>
        </is>
      </c>
      <c r="D92" s="1" t="n">
        <v>45414</v>
      </c>
      <c r="E92" s="1" t="n">
        <v>46292</v>
      </c>
      <c r="F92" t="inlineStr">
        <is>
          <t>UPPSALA LÄN</t>
        </is>
      </c>
      <c r="G92" t="inlineStr">
        <is>
          <t>KNIVSTA</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1791-2024</t>
        </is>
      </c>
      <c r="B93" t="inlineStr">
        <is>
          <t>avverkningsanmälan</t>
        </is>
      </c>
      <c r="C93" t="inlineStr">
        <is>
          <t>Föryngringsavverkning</t>
        </is>
      </c>
      <c r="D93" s="1" t="n">
        <v>45307</v>
      </c>
      <c r="E93" s="1" t="n">
        <v>46292</v>
      </c>
      <c r="F93" t="inlineStr">
        <is>
          <t>UPPSALA LÄN</t>
        </is>
      </c>
      <c r="G93" t="inlineStr">
        <is>
          <t>KNIVSTA</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28668-2026</t>
        </is>
      </c>
      <c r="B94" t="inlineStr">
        <is>
          <t>avverkningsanmälan</t>
        </is>
      </c>
      <c r="C94" t="inlineStr">
        <is>
          <t>Avverkning för annat ändamål</t>
        </is>
      </c>
      <c r="D94" s="1" t="n">
        <v>46193</v>
      </c>
      <c r="E94" s="1" t="n">
        <v>46292</v>
      </c>
      <c r="F94" t="inlineStr">
        <is>
          <t>UPPSALA LÄN</t>
        </is>
      </c>
      <c r="G94" t="inlineStr">
        <is>
          <t>KNIVSTA</t>
        </is>
      </c>
      <c r="I94" t="n">
        <v>7.4</v>
      </c>
      <c r="J94" t="n">
        <v>0</v>
      </c>
      <c r="K94" t="n">
        <v>0</v>
      </c>
      <c r="L94" t="n">
        <v>0</v>
      </c>
      <c r="M94" t="n">
        <v>0</v>
      </c>
      <c r="N94" t="n">
        <v>0</v>
      </c>
      <c r="O94" t="n">
        <v>0</v>
      </c>
      <c r="P94" t="n">
        <v>0</v>
      </c>
      <c r="Q94" t="n">
        <v>0</v>
      </c>
      <c r="R94" t="n">
        <v>0</v>
      </c>
      <c r="S94" t="n">
        <v>0</v>
      </c>
      <c r="T94" t="n">
        <v>0</v>
      </c>
      <c r="U94" t="n">
        <v>0</v>
      </c>
      <c r="V94" s="2" t="inlineStr"/>
    </row>
    <row r="95" ht="15" customHeight="1">
      <c r="A95" t="inlineStr">
        <is>
          <t>A 37413-2026</t>
        </is>
      </c>
      <c r="B95" t="inlineStr">
        <is>
          <t>avverkningsanmälan</t>
        </is>
      </c>
      <c r="C95" t="inlineStr">
        <is>
          <t>Föryngringsavverkning</t>
        </is>
      </c>
      <c r="D95" s="1" t="n">
        <v>46275</v>
      </c>
      <c r="E95" s="1" t="n">
        <v>46292</v>
      </c>
      <c r="F95" t="inlineStr">
        <is>
          <t>UPPSALA LÄN</t>
        </is>
      </c>
      <c r="G95" t="inlineStr">
        <is>
          <t>KNIVSTA</t>
        </is>
      </c>
      <c r="H95" t="inlineStr">
        <is>
          <t>Holmen skog AB</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37437-2026</t>
        </is>
      </c>
      <c r="B96" t="inlineStr">
        <is>
          <t>avverkningsanmälan</t>
        </is>
      </c>
      <c r="C96" t="inlineStr">
        <is>
          <t>Föryngringsavverkning</t>
        </is>
      </c>
      <c r="D96" s="1" t="n">
        <v>46275</v>
      </c>
      <c r="E96" s="1" t="n">
        <v>46292</v>
      </c>
      <c r="F96" t="inlineStr">
        <is>
          <t>UPPSALA LÄN</t>
        </is>
      </c>
      <c r="G96" t="inlineStr">
        <is>
          <t>KNIVSTA</t>
        </is>
      </c>
      <c r="H96" t="inlineStr">
        <is>
          <t>Holmen skog AB</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37356-2026</t>
        </is>
      </c>
      <c r="B97" t="inlineStr">
        <is>
          <t>avverkningsanmälan</t>
        </is>
      </c>
      <c r="C97" t="inlineStr">
        <is>
          <t>Föryngringsavverkning</t>
        </is>
      </c>
      <c r="D97" s="1" t="n">
        <v>46275</v>
      </c>
      <c r="E97" s="1" t="n">
        <v>46292</v>
      </c>
      <c r="F97" t="inlineStr">
        <is>
          <t>UPPSALA LÄN</t>
        </is>
      </c>
      <c r="G97" t="inlineStr">
        <is>
          <t>KNIVSTA</t>
        </is>
      </c>
      <c r="H97" t="inlineStr">
        <is>
          <t>Holmen skog AB</t>
        </is>
      </c>
      <c r="I97" t="n">
        <v>5.8</v>
      </c>
      <c r="J97" t="n">
        <v>0</v>
      </c>
      <c r="K97" t="n">
        <v>0</v>
      </c>
      <c r="L97" t="n">
        <v>0</v>
      </c>
      <c r="M97" t="n">
        <v>0</v>
      </c>
      <c r="N97" t="n">
        <v>0</v>
      </c>
      <c r="O97" t="n">
        <v>0</v>
      </c>
      <c r="P97" t="n">
        <v>0</v>
      </c>
      <c r="Q97" t="n">
        <v>0</v>
      </c>
      <c r="R97" t="n">
        <v>0</v>
      </c>
      <c r="S97" t="n">
        <v>0</v>
      </c>
      <c r="T97" t="n">
        <v>0</v>
      </c>
      <c r="U97" t="n">
        <v>0</v>
      </c>
      <c r="V97" s="2" t="inlineStr"/>
    </row>
    <row r="98" ht="15" customHeight="1">
      <c r="A98" t="inlineStr">
        <is>
          <t>A 2628-2025</t>
        </is>
      </c>
      <c r="B98" t="inlineStr">
        <is>
          <t>avverkningsanmälan</t>
        </is>
      </c>
      <c r="C98" t="inlineStr">
        <is>
          <t>Föryngringsavverkning</t>
        </is>
      </c>
      <c r="D98" s="1" t="n">
        <v>45675</v>
      </c>
      <c r="E98" s="1" t="n">
        <v>46292</v>
      </c>
      <c r="F98" t="inlineStr">
        <is>
          <t>UPPSALA LÄN</t>
        </is>
      </c>
      <c r="G98" t="inlineStr">
        <is>
          <t>KNIVSTA</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11452-2023</t>
        </is>
      </c>
      <c r="B99" t="inlineStr">
        <is>
          <t>avverkningsanmälan</t>
        </is>
      </c>
      <c r="C99" t="inlineStr">
        <is>
          <t>Föryngringsavverkning</t>
        </is>
      </c>
      <c r="D99" s="1" t="n">
        <v>44993</v>
      </c>
      <c r="E99" s="1" t="n">
        <v>46292</v>
      </c>
      <c r="F99" t="inlineStr">
        <is>
          <t>UPPSALA LÄN</t>
        </is>
      </c>
      <c r="G99" t="inlineStr">
        <is>
          <t>KNIVSTA</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43908-2023</t>
        </is>
      </c>
      <c r="B100" t="inlineStr">
        <is>
          <t>avverkningsanmälan</t>
        </is>
      </c>
      <c r="C100" t="inlineStr">
        <is>
          <t>Föryngringsavverkning</t>
        </is>
      </c>
      <c r="D100" s="1" t="n">
        <v>45187</v>
      </c>
      <c r="E100" s="1" t="n">
        <v>46292</v>
      </c>
      <c r="F100" t="inlineStr">
        <is>
          <t>UPPSALA LÄN</t>
        </is>
      </c>
      <c r="G100" t="inlineStr">
        <is>
          <t>KNIVSTA</t>
        </is>
      </c>
      <c r="H100" t="inlineStr">
        <is>
          <t>Kyrkan</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34078-2022</t>
        </is>
      </c>
      <c r="B101" t="inlineStr">
        <is>
          <t>avverkningsanmälan</t>
        </is>
      </c>
      <c r="C101" t="inlineStr">
        <is>
          <t>Föryngringsavverkning</t>
        </is>
      </c>
      <c r="D101" s="1" t="n">
        <v>44791</v>
      </c>
      <c r="E101" s="1" t="n">
        <v>46292</v>
      </c>
      <c r="F101" t="inlineStr">
        <is>
          <t>UPPSALA LÄN</t>
        </is>
      </c>
      <c r="G101" t="inlineStr">
        <is>
          <t>KNIVSTA</t>
        </is>
      </c>
      <c r="H101" t="inlineStr">
        <is>
          <t>Övriga statliga verk och myndigheter</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26182-2022</t>
        </is>
      </c>
      <c r="B102" t="inlineStr">
        <is>
          <t>avverkningsanmälan</t>
        </is>
      </c>
      <c r="C102" t="inlineStr">
        <is>
          <t>Föryngringsavverkning</t>
        </is>
      </c>
      <c r="D102" s="1" t="n">
        <v>44735</v>
      </c>
      <c r="E102" s="1" t="n">
        <v>46292</v>
      </c>
      <c r="F102" t="inlineStr">
        <is>
          <t>UPPSALA LÄN</t>
        </is>
      </c>
      <c r="G102" t="inlineStr">
        <is>
          <t>KNIVSTA</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2629-2025</t>
        </is>
      </c>
      <c r="B103" t="inlineStr">
        <is>
          <t>avverkningsanmälan</t>
        </is>
      </c>
      <c r="C103" t="inlineStr">
        <is>
          <t>Föryngringsavverkning</t>
        </is>
      </c>
      <c r="D103" s="1" t="n">
        <v>45675</v>
      </c>
      <c r="E103" s="1" t="n">
        <v>46292</v>
      </c>
      <c r="F103" t="inlineStr">
        <is>
          <t>UPPSALA LÄN</t>
        </is>
      </c>
      <c r="G103" t="inlineStr">
        <is>
          <t>KNIVSTA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5320-2023</t>
        </is>
      </c>
      <c r="B104" t="inlineStr">
        <is>
          <t>avverkningsanmälan</t>
        </is>
      </c>
      <c r="C104" t="inlineStr">
        <is>
          <t>Föryngringsavverkning</t>
        </is>
      </c>
      <c r="D104" s="1" t="n">
        <v>44959</v>
      </c>
      <c r="E104" s="1" t="n">
        <v>46292</v>
      </c>
      <c r="F104" t="inlineStr">
        <is>
          <t>UPPSALA LÄN</t>
        </is>
      </c>
      <c r="G104" t="inlineStr">
        <is>
          <t>KNIVSTA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45916-2022</t>
        </is>
      </c>
      <c r="B105" t="inlineStr">
        <is>
          <t>avverkningsanmälan</t>
        </is>
      </c>
      <c r="C105" t="inlineStr">
        <is>
          <t>Föryngringsavverkning</t>
        </is>
      </c>
      <c r="D105" s="1" t="n">
        <v>44846</v>
      </c>
      <c r="E105" s="1" t="n">
        <v>46292</v>
      </c>
      <c r="F105" t="inlineStr">
        <is>
          <t>UPPSALA LÄN</t>
        </is>
      </c>
      <c r="G105" t="inlineStr">
        <is>
          <t>KNIVSTA</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17091-2023</t>
        </is>
      </c>
      <c r="B106" t="inlineStr">
        <is>
          <t>avverkningsanmälan</t>
        </is>
      </c>
      <c r="C106" t="inlineStr">
        <is>
          <t>Föryngringsavverkning</t>
        </is>
      </c>
      <c r="D106" s="1" t="n">
        <v>45034</v>
      </c>
      <c r="E106" s="1" t="n">
        <v>46292</v>
      </c>
      <c r="F106" t="inlineStr">
        <is>
          <t>UPPSALA LÄN</t>
        </is>
      </c>
      <c r="G106" t="inlineStr">
        <is>
          <t>KNIVSTA</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794-2024</t>
        </is>
      </c>
      <c r="B107" t="inlineStr">
        <is>
          <t>avverkningsanmälan</t>
        </is>
      </c>
      <c r="C107" t="inlineStr">
        <is>
          <t>Föryngringsavverkning</t>
        </is>
      </c>
      <c r="D107" s="1" t="n">
        <v>45300</v>
      </c>
      <c r="E107" s="1" t="n">
        <v>46292</v>
      </c>
      <c r="F107" t="inlineStr">
        <is>
          <t>UPPSALA LÄN</t>
        </is>
      </c>
      <c r="G107" t="inlineStr">
        <is>
          <t>KNIVSTA</t>
        </is>
      </c>
      <c r="I107" t="n">
        <v>1.6</v>
      </c>
      <c r="J107" t="n">
        <v>0</v>
      </c>
      <c r="K107" t="n">
        <v>0</v>
      </c>
      <c r="L107" t="n">
        <v>0</v>
      </c>
      <c r="M107" t="n">
        <v>0</v>
      </c>
      <c r="N107" t="n">
        <v>0</v>
      </c>
      <c r="O107" t="n">
        <v>0</v>
      </c>
      <c r="P107" t="n">
        <v>0</v>
      </c>
      <c r="Q107" t="n">
        <v>0</v>
      </c>
      <c r="R107" t="n">
        <v>0</v>
      </c>
      <c r="S107" t="n">
        <v>0</v>
      </c>
      <c r="T107" t="n">
        <v>0</v>
      </c>
      <c r="U107" t="n">
        <v>0</v>
      </c>
      <c r="V107" s="2" t="inlineStr"/>
    </row>
    <row r="108">
      <c r="A108" t="inlineStr">
        <is>
          <t>S 1411-2022</t>
        </is>
      </c>
      <c r="B108" t="inlineStr">
        <is>
          <t>samrådsanmälan</t>
        </is>
      </c>
      <c r="C108" t="inlineStr">
        <is>
          <t>Annan skogsbruksåtgärd</t>
        </is>
      </c>
      <c r="D108" s="1" t="n">
        <v>44634</v>
      </c>
      <c r="E108" s="1" t="n">
        <v>46292</v>
      </c>
      <c r="F108" t="inlineStr">
        <is>
          <t>UPPSALA LÄN</t>
        </is>
      </c>
      <c r="G108" t="inlineStr">
        <is>
          <t>KNIVSTA</t>
        </is>
      </c>
      <c r="I108" t="n">
        <v>2</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2026-09-27T01:59:35Z</dcterms:created>
  <dcterms:modified xmlns:dcterms="http://purl.org/dc/terms/" xmlns:xsi="http://www.w3.org/2001/XMLSchema-instance" xsi:type="dcterms:W3CDTF">2026-09-27T01:59:35Z</dcterms:modified>
</cp:coreProperties>
</file>