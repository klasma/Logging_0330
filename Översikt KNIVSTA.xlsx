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46133</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46133</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46133</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46133</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46133</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46133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46133</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46133</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46133</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46133</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61768-2025</t>
        </is>
      </c>
      <c r="B12" s="1" t="n">
        <v>46002.63940972222</v>
      </c>
      <c r="C12" s="1" t="n">
        <v>46133</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53813-2025</t>
        </is>
      </c>
      <c r="B13" s="1" t="n">
        <v>45960</v>
      </c>
      <c r="C13" s="1" t="n">
        <v>46133</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13002-2026</t>
        </is>
      </c>
      <c r="B14" s="1" t="n">
        <v>46092.68854166667</v>
      </c>
      <c r="C14" s="1" t="n">
        <v>46133</v>
      </c>
      <c r="D14" t="inlineStr">
        <is>
          <t>UPPSALA LÄN</t>
        </is>
      </c>
      <c r="E14" t="inlineStr">
        <is>
          <t>KNIVSTA</t>
        </is>
      </c>
      <c r="F14" t="inlineStr">
        <is>
          <t>Holmen skog AB</t>
        </is>
      </c>
      <c r="G14" t="n">
        <v>0.7</v>
      </c>
      <c r="H14" t="n">
        <v>1</v>
      </c>
      <c r="I14" t="n">
        <v>0</v>
      </c>
      <c r="J14" t="n">
        <v>0</v>
      </c>
      <c r="K14" t="n">
        <v>1</v>
      </c>
      <c r="L14" t="n">
        <v>0</v>
      </c>
      <c r="M14" t="n">
        <v>0</v>
      </c>
      <c r="N14" t="n">
        <v>0</v>
      </c>
      <c r="O14" t="n">
        <v>1</v>
      </c>
      <c r="P14" t="n">
        <v>1</v>
      </c>
      <c r="Q14" t="n">
        <v>1</v>
      </c>
      <c r="R14" s="2" t="inlineStr">
        <is>
          <t>Knärot</t>
        </is>
      </c>
      <c r="S14">
        <f>HYPERLINK("https://klasma.github.io/Logging_0330/artfynd/A 13002-2026 artfynd.xlsx", "A 13002-2026")</f>
        <v/>
      </c>
      <c r="T14">
        <f>HYPERLINK("https://klasma.github.io/Logging_0330/kartor/A 13002-2026 karta.png", "A 13002-2026")</f>
        <v/>
      </c>
      <c r="U14">
        <f>HYPERLINK("https://klasma.github.io/Logging_0330/knärot/A 13002-2026 karta knärot.png", "A 13002-2026")</f>
        <v/>
      </c>
      <c r="V14">
        <f>HYPERLINK("https://klasma.github.io/Logging_0330/klagomål/A 13002-2026 FSC-klagomål.docx", "A 13002-2026")</f>
        <v/>
      </c>
      <c r="W14">
        <f>HYPERLINK("https://klasma.github.io/Logging_0330/klagomålsmail/A 13002-2026 FSC-klagomål mail.docx", "A 13002-2026")</f>
        <v/>
      </c>
      <c r="X14">
        <f>HYPERLINK("https://klasma.github.io/Logging_0330/tillsyn/A 13002-2026 tillsynsbegäran.docx", "A 13002-2026")</f>
        <v/>
      </c>
      <c r="Y14">
        <f>HYPERLINK("https://klasma.github.io/Logging_0330/tillsynsmail/A 13002-2026 tillsynsbegäran mail.docx", "A 13002-2026")</f>
        <v/>
      </c>
    </row>
    <row r="15" ht="15" customHeight="1">
      <c r="A15" t="inlineStr">
        <is>
          <t>A 13004-2026</t>
        </is>
      </c>
      <c r="B15" s="1" t="n">
        <v>46092.68935185186</v>
      </c>
      <c r="C15" s="1" t="n">
        <v>46133</v>
      </c>
      <c r="D15" t="inlineStr">
        <is>
          <t>UPPSALA LÄN</t>
        </is>
      </c>
      <c r="E15" t="inlineStr">
        <is>
          <t>KNIVSTA</t>
        </is>
      </c>
      <c r="F15" t="inlineStr">
        <is>
          <t>Holmen skog AB</t>
        </is>
      </c>
      <c r="G15" t="n">
        <v>7.8</v>
      </c>
      <c r="H15" t="n">
        <v>1</v>
      </c>
      <c r="I15" t="n">
        <v>0</v>
      </c>
      <c r="J15" t="n">
        <v>1</v>
      </c>
      <c r="K15" t="n">
        <v>0</v>
      </c>
      <c r="L15" t="n">
        <v>0</v>
      </c>
      <c r="M15" t="n">
        <v>0</v>
      </c>
      <c r="N15" t="n">
        <v>0</v>
      </c>
      <c r="O15" t="n">
        <v>1</v>
      </c>
      <c r="P15" t="n">
        <v>0</v>
      </c>
      <c r="Q15" t="n">
        <v>1</v>
      </c>
      <c r="R15" s="2" t="inlineStr">
        <is>
          <t>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13380-2026</t>
        </is>
      </c>
      <c r="B16" s="1" t="n">
        <v>46094.42555555556</v>
      </c>
      <c r="C16" s="1" t="n">
        <v>46133</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9561-2026</t>
        </is>
      </c>
      <c r="B17" s="1" t="n">
        <v>46071.64916666667</v>
      </c>
      <c r="C17" s="1" t="n">
        <v>46133</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33770-2023</t>
        </is>
      </c>
      <c r="B18" s="1" t="n">
        <v>45133</v>
      </c>
      <c r="C18" s="1" t="n">
        <v>46133</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9553-2025</t>
        </is>
      </c>
      <c r="B19" s="1" t="n">
        <v>45715</v>
      </c>
      <c r="C19" s="1" t="n">
        <v>46133</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11405-2025</t>
        </is>
      </c>
      <c r="B20" s="1" t="n">
        <v>45726</v>
      </c>
      <c r="C20" s="1" t="n">
        <v>46133</v>
      </c>
      <c r="D20" t="inlineStr">
        <is>
          <t>UPPSALA LÄN</t>
        </is>
      </c>
      <c r="E20" t="inlineStr">
        <is>
          <t>KNIVSTA</t>
        </is>
      </c>
      <c r="G20" t="n">
        <v>1.6</v>
      </c>
      <c r="H20" t="n">
        <v>0</v>
      </c>
      <c r="I20" t="n">
        <v>0</v>
      </c>
      <c r="J20" t="n">
        <v>0</v>
      </c>
      <c r="K20" t="n">
        <v>0</v>
      </c>
      <c r="L20" t="n">
        <v>1</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16407-2025</t>
        </is>
      </c>
      <c r="B21" s="1" t="n">
        <v>45751.45120370371</v>
      </c>
      <c r="C21" s="1" t="n">
        <v>46133</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21831-2024</t>
        </is>
      </c>
      <c r="B22" s="1" t="n">
        <v>45442</v>
      </c>
      <c r="C22" s="1" t="n">
        <v>46133</v>
      </c>
      <c r="D22" t="inlineStr">
        <is>
          <t>UPPSALA LÄN</t>
        </is>
      </c>
      <c r="E22" t="inlineStr">
        <is>
          <t>KNIVSTA</t>
        </is>
      </c>
      <c r="G22" t="n">
        <v>4.5</v>
      </c>
      <c r="H22" t="n">
        <v>1</v>
      </c>
      <c r="I22" t="n">
        <v>0</v>
      </c>
      <c r="J22" t="n">
        <v>0</v>
      </c>
      <c r="K22" t="n">
        <v>0</v>
      </c>
      <c r="L22" t="n">
        <v>0</v>
      </c>
      <c r="M22" t="n">
        <v>0</v>
      </c>
      <c r="N22" t="n">
        <v>0</v>
      </c>
      <c r="O22" t="n">
        <v>0</v>
      </c>
      <c r="P22" t="n">
        <v>0</v>
      </c>
      <c r="Q22" t="n">
        <v>1</v>
      </c>
      <c r="R22" s="2" t="inlineStr">
        <is>
          <t>Blåsippa</t>
        </is>
      </c>
      <c r="S22">
        <f>HYPERLINK("https://klasma.github.io/Logging_0330/artfynd/A 21831-2024 artfynd.xlsx", "A 21831-2024")</f>
        <v/>
      </c>
      <c r="T22">
        <f>HYPERLINK("https://klasma.github.io/Logging_0330/kartor/A 21831-2024 karta.png", "A 21831-2024")</f>
        <v/>
      </c>
      <c r="V22">
        <f>HYPERLINK("https://klasma.github.io/Logging_0330/klagomål/A 21831-2024 FSC-klagomål.docx", "A 21831-2024")</f>
        <v/>
      </c>
      <c r="W22">
        <f>HYPERLINK("https://klasma.github.io/Logging_0330/klagomålsmail/A 21831-2024 FSC-klagomål mail.docx", "A 21831-2024")</f>
        <v/>
      </c>
      <c r="X22">
        <f>HYPERLINK("https://klasma.github.io/Logging_0330/tillsyn/A 21831-2024 tillsynsbegäran.docx", "A 21831-2024")</f>
        <v/>
      </c>
      <c r="Y22">
        <f>HYPERLINK("https://klasma.github.io/Logging_0330/tillsynsmail/A 21831-2024 tillsynsbegäran mail.docx", "A 21831-2024")</f>
        <v/>
      </c>
    </row>
    <row r="23" ht="15" customHeight="1">
      <c r="A23" t="inlineStr">
        <is>
          <t>A 19796-2021</t>
        </is>
      </c>
      <c r="B23" s="1" t="n">
        <v>44313</v>
      </c>
      <c r="C23" s="1" t="n">
        <v>46133</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46133</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46133</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46133</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46133</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46133</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46133</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46133</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46133</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46133</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46133</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46133</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46133</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46133</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46133</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46133</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46133</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46133</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46133</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46133</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46133</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46133</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46133</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46133</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46133</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46133</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46133</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46133</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46133</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11450-2023</t>
        </is>
      </c>
      <c r="B53" s="1" t="n">
        <v>44993</v>
      </c>
      <c r="C53" s="1" t="n">
        <v>46133</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45525-2023</t>
        </is>
      </c>
      <c r="B54" s="1" t="n">
        <v>45194</v>
      </c>
      <c r="C54" s="1" t="n">
        <v>46133</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46133</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46133</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46133</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46133</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46133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46133</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16396-2025</t>
        </is>
      </c>
      <c r="B61" s="1" t="n">
        <v>45751.44219907407</v>
      </c>
      <c r="C61" s="1" t="n">
        <v>46133</v>
      </c>
      <c r="D61" t="inlineStr">
        <is>
          <t>UPPSALA LÄN</t>
        </is>
      </c>
      <c r="E61" t="inlineStr">
        <is>
          <t>KNIVSTA</t>
        </is>
      </c>
      <c r="G61" t="n">
        <v>5.1</v>
      </c>
      <c r="H61" t="n">
        <v>0</v>
      </c>
      <c r="I61" t="n">
        <v>0</v>
      </c>
      <c r="J61" t="n">
        <v>0</v>
      </c>
      <c r="K61" t="n">
        <v>0</v>
      </c>
      <c r="L61" t="n">
        <v>0</v>
      </c>
      <c r="M61" t="n">
        <v>0</v>
      </c>
      <c r="N61" t="n">
        <v>0</v>
      </c>
      <c r="O61" t="n">
        <v>0</v>
      </c>
      <c r="P61" t="n">
        <v>0</v>
      </c>
      <c r="Q61" t="n">
        <v>0</v>
      </c>
      <c r="R61" s="2" t="inlineStr"/>
    </row>
    <row r="62" ht="15" customHeight="1">
      <c r="A62" t="inlineStr">
        <is>
          <t>A 13040-2025</t>
        </is>
      </c>
      <c r="B62" s="1" t="n">
        <v>45734</v>
      </c>
      <c r="C62" s="1" t="n">
        <v>46133</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33976-2025</t>
        </is>
      </c>
      <c r="B63" s="1" t="n">
        <v>45843</v>
      </c>
      <c r="C63" s="1" t="n">
        <v>46133</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33974-2025</t>
        </is>
      </c>
      <c r="B64" s="1" t="n">
        <v>45843.305625</v>
      </c>
      <c r="C64" s="1" t="n">
        <v>46133</v>
      </c>
      <c r="D64" t="inlineStr">
        <is>
          <t>UPPSALA LÄN</t>
        </is>
      </c>
      <c r="E64" t="inlineStr">
        <is>
          <t>KNIVSTA</t>
        </is>
      </c>
      <c r="G64" t="n">
        <v>2.6</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46133</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666-2026</t>
        </is>
      </c>
      <c r="B66" s="1" t="n">
        <v>46029.58832175926</v>
      </c>
      <c r="C66" s="1" t="n">
        <v>46133</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662-2026</t>
        </is>
      </c>
      <c r="B67" s="1" t="n">
        <v>46029.58549768518</v>
      </c>
      <c r="C67" s="1" t="n">
        <v>46133</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46133</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46133</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46133</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46133</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1791-2024</t>
        </is>
      </c>
      <c r="B72" s="1" t="n">
        <v>45307.574375</v>
      </c>
      <c r="C72" s="1" t="n">
        <v>46133</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2952-2026</t>
        </is>
      </c>
      <c r="B73" s="1" t="n">
        <v>46037</v>
      </c>
      <c r="C73" s="1" t="n">
        <v>46133</v>
      </c>
      <c r="D73" t="inlineStr">
        <is>
          <t>UPPSALA LÄN</t>
        </is>
      </c>
      <c r="E73" t="inlineStr">
        <is>
          <t>KNIVSTA</t>
        </is>
      </c>
      <c r="G73" t="n">
        <v>2</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46133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46133</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5276-2026</t>
        </is>
      </c>
      <c r="B76" s="1" t="n">
        <v>46037</v>
      </c>
      <c r="C76" s="1" t="n">
        <v>46133</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36470-2025</t>
        </is>
      </c>
      <c r="B77" s="1" t="n">
        <v>45869.47915509259</v>
      </c>
      <c r="C77" s="1" t="n">
        <v>46133</v>
      </c>
      <c r="D77" t="inlineStr">
        <is>
          <t>UPPSALA LÄN</t>
        </is>
      </c>
      <c r="E77" t="inlineStr">
        <is>
          <t>KNIVSTA</t>
        </is>
      </c>
      <c r="G77" t="n">
        <v>3.6</v>
      </c>
      <c r="H77" t="n">
        <v>0</v>
      </c>
      <c r="I77" t="n">
        <v>0</v>
      </c>
      <c r="J77" t="n">
        <v>0</v>
      </c>
      <c r="K77" t="n">
        <v>0</v>
      </c>
      <c r="L77" t="n">
        <v>0</v>
      </c>
      <c r="M77" t="n">
        <v>0</v>
      </c>
      <c r="N77" t="n">
        <v>0</v>
      </c>
      <c r="O77" t="n">
        <v>0</v>
      </c>
      <c r="P77" t="n">
        <v>0</v>
      </c>
      <c r="Q77" t="n">
        <v>0</v>
      </c>
      <c r="R77" s="2" t="inlineStr"/>
    </row>
    <row r="78" ht="15" customHeight="1">
      <c r="A78" t="inlineStr">
        <is>
          <t>A 2944-2026</t>
        </is>
      </c>
      <c r="B78" s="1" t="n">
        <v>46037</v>
      </c>
      <c r="C78" s="1" t="n">
        <v>46133</v>
      </c>
      <c r="D78" t="inlineStr">
        <is>
          <t>UPPSALA LÄN</t>
        </is>
      </c>
      <c r="E78" t="inlineStr">
        <is>
          <t>KNIVSTA</t>
        </is>
      </c>
      <c r="G78" t="n">
        <v>4.7</v>
      </c>
      <c r="H78" t="n">
        <v>0</v>
      </c>
      <c r="I78" t="n">
        <v>0</v>
      </c>
      <c r="J78" t="n">
        <v>0</v>
      </c>
      <c r="K78" t="n">
        <v>0</v>
      </c>
      <c r="L78" t="n">
        <v>0</v>
      </c>
      <c r="M78" t="n">
        <v>0</v>
      </c>
      <c r="N78" t="n">
        <v>0</v>
      </c>
      <c r="O78" t="n">
        <v>0</v>
      </c>
      <c r="P78" t="n">
        <v>0</v>
      </c>
      <c r="Q78" t="n">
        <v>0</v>
      </c>
      <c r="R78" s="2" t="inlineStr"/>
    </row>
    <row r="79" ht="15" customHeight="1">
      <c r="A79" t="inlineStr">
        <is>
          <t>A 49090-2025</t>
        </is>
      </c>
      <c r="B79" s="1" t="n">
        <v>45937</v>
      </c>
      <c r="C79" s="1" t="n">
        <v>46133</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3015-2026</t>
        </is>
      </c>
      <c r="B80" s="1" t="n">
        <v>46038</v>
      </c>
      <c r="C80" s="1" t="n">
        <v>46133</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3016-2026</t>
        </is>
      </c>
      <c r="B81" s="1" t="n">
        <v>46038</v>
      </c>
      <c r="C81" s="1" t="n">
        <v>46133</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3824-2026</t>
        </is>
      </c>
      <c r="B82" s="1" t="n">
        <v>46043.58570601852</v>
      </c>
      <c r="C82" s="1" t="n">
        <v>46133</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3836-2026</t>
        </is>
      </c>
      <c r="B83" s="1" t="n">
        <v>46043.5925</v>
      </c>
      <c r="C83" s="1" t="n">
        <v>46133</v>
      </c>
      <c r="D83" t="inlineStr">
        <is>
          <t>UPPSALA LÄN</t>
        </is>
      </c>
      <c r="E83" t="inlineStr">
        <is>
          <t>KNIVSTA</t>
        </is>
      </c>
      <c r="G83" t="n">
        <v>3.7</v>
      </c>
      <c r="H83" t="n">
        <v>0</v>
      </c>
      <c r="I83" t="n">
        <v>0</v>
      </c>
      <c r="J83" t="n">
        <v>0</v>
      </c>
      <c r="K83" t="n">
        <v>0</v>
      </c>
      <c r="L83" t="n">
        <v>0</v>
      </c>
      <c r="M83" t="n">
        <v>0</v>
      </c>
      <c r="N83" t="n">
        <v>0</v>
      </c>
      <c r="O83" t="n">
        <v>0</v>
      </c>
      <c r="P83" t="n">
        <v>0</v>
      </c>
      <c r="Q83" t="n">
        <v>0</v>
      </c>
      <c r="R83" s="2" t="inlineStr"/>
    </row>
    <row r="84" ht="15" customHeight="1">
      <c r="A84" t="inlineStr">
        <is>
          <t>A 3375-2026</t>
        </is>
      </c>
      <c r="B84" s="1" t="n">
        <v>46042</v>
      </c>
      <c r="C84" s="1" t="n">
        <v>46133</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52666-2025</t>
        </is>
      </c>
      <c r="B85" s="1" t="n">
        <v>45955.74299768519</v>
      </c>
      <c r="C85" s="1" t="n">
        <v>46133</v>
      </c>
      <c r="D85" t="inlineStr">
        <is>
          <t>UPPSALA LÄN</t>
        </is>
      </c>
      <c r="E85" t="inlineStr">
        <is>
          <t>KNIVSTA</t>
        </is>
      </c>
      <c r="G85" t="n">
        <v>2.1</v>
      </c>
      <c r="H85" t="n">
        <v>0</v>
      </c>
      <c r="I85" t="n">
        <v>0</v>
      </c>
      <c r="J85" t="n">
        <v>0</v>
      </c>
      <c r="K85" t="n">
        <v>0</v>
      </c>
      <c r="L85" t="n">
        <v>0</v>
      </c>
      <c r="M85" t="n">
        <v>0</v>
      </c>
      <c r="N85" t="n">
        <v>0</v>
      </c>
      <c r="O85" t="n">
        <v>0</v>
      </c>
      <c r="P85" t="n">
        <v>0</v>
      </c>
      <c r="Q85" t="n">
        <v>0</v>
      </c>
      <c r="R85" s="2" t="inlineStr"/>
    </row>
    <row r="86" ht="15" customHeight="1">
      <c r="A86" t="inlineStr">
        <is>
          <t>A 52667-2025</t>
        </is>
      </c>
      <c r="B86" s="1" t="n">
        <v>45955.74666666667</v>
      </c>
      <c r="C86" s="1" t="n">
        <v>46133</v>
      </c>
      <c r="D86" t="inlineStr">
        <is>
          <t>UPPSALA LÄN</t>
        </is>
      </c>
      <c r="E86" t="inlineStr">
        <is>
          <t>KNIVSTA</t>
        </is>
      </c>
      <c r="G86" t="n">
        <v>1</v>
      </c>
      <c r="H86" t="n">
        <v>0</v>
      </c>
      <c r="I86" t="n">
        <v>0</v>
      </c>
      <c r="J86" t="n">
        <v>0</v>
      </c>
      <c r="K86" t="n">
        <v>0</v>
      </c>
      <c r="L86" t="n">
        <v>0</v>
      </c>
      <c r="M86" t="n">
        <v>0</v>
      </c>
      <c r="N86" t="n">
        <v>0</v>
      </c>
      <c r="O86" t="n">
        <v>0</v>
      </c>
      <c r="P86" t="n">
        <v>0</v>
      </c>
      <c r="Q86" t="n">
        <v>0</v>
      </c>
      <c r="R86" s="2" t="inlineStr"/>
    </row>
    <row r="87" ht="15" customHeight="1">
      <c r="A87" t="inlineStr">
        <is>
          <t>A 23239-2023</t>
        </is>
      </c>
      <c r="B87" s="1" t="n">
        <v>45075</v>
      </c>
      <c r="C87" s="1" t="n">
        <v>46133</v>
      </c>
      <c r="D87" t="inlineStr">
        <is>
          <t>UPPSALA LÄN</t>
        </is>
      </c>
      <c r="E87" t="inlineStr">
        <is>
          <t>KNIVSTA</t>
        </is>
      </c>
      <c r="G87" t="n">
        <v>1.8</v>
      </c>
      <c r="H87" t="n">
        <v>0</v>
      </c>
      <c r="I87" t="n">
        <v>0</v>
      </c>
      <c r="J87" t="n">
        <v>0</v>
      </c>
      <c r="K87" t="n">
        <v>0</v>
      </c>
      <c r="L87" t="n">
        <v>0</v>
      </c>
      <c r="M87" t="n">
        <v>0</v>
      </c>
      <c r="N87" t="n">
        <v>0</v>
      </c>
      <c r="O87" t="n">
        <v>0</v>
      </c>
      <c r="P87" t="n">
        <v>0</v>
      </c>
      <c r="Q87" t="n">
        <v>0</v>
      </c>
      <c r="R87" s="2" t="inlineStr"/>
    </row>
    <row r="88" ht="15" customHeight="1">
      <c r="A88" t="inlineStr">
        <is>
          <t>A 53898-2025</t>
        </is>
      </c>
      <c r="B88" s="1" t="n">
        <v>45961.43056712963</v>
      </c>
      <c r="C88" s="1" t="n">
        <v>46133</v>
      </c>
      <c r="D88" t="inlineStr">
        <is>
          <t>UPPSALA LÄN</t>
        </is>
      </c>
      <c r="E88" t="inlineStr">
        <is>
          <t>KNIVSTA</t>
        </is>
      </c>
      <c r="G88" t="n">
        <v>4.5</v>
      </c>
      <c r="H88" t="n">
        <v>0</v>
      </c>
      <c r="I88" t="n">
        <v>0</v>
      </c>
      <c r="J88" t="n">
        <v>0</v>
      </c>
      <c r="K88" t="n">
        <v>0</v>
      </c>
      <c r="L88" t="n">
        <v>0</v>
      </c>
      <c r="M88" t="n">
        <v>0</v>
      </c>
      <c r="N88" t="n">
        <v>0</v>
      </c>
      <c r="O88" t="n">
        <v>0</v>
      </c>
      <c r="P88" t="n">
        <v>0</v>
      </c>
      <c r="Q88" t="n">
        <v>0</v>
      </c>
      <c r="R88" s="2" t="inlineStr"/>
    </row>
    <row r="89" ht="15" customHeight="1">
      <c r="A89" t="inlineStr">
        <is>
          <t>A 12774-2026</t>
        </is>
      </c>
      <c r="B89" s="1" t="n">
        <v>46091.70140046296</v>
      </c>
      <c r="C89" s="1" t="n">
        <v>46133</v>
      </c>
      <c r="D89" t="inlineStr">
        <is>
          <t>UPPSALA LÄN</t>
        </is>
      </c>
      <c r="E89" t="inlineStr">
        <is>
          <t>KNIVSTA</t>
        </is>
      </c>
      <c r="F89" t="inlineStr">
        <is>
          <t>Holmen skog AB</t>
        </is>
      </c>
      <c r="G89" t="n">
        <v>3.3</v>
      </c>
      <c r="H89" t="n">
        <v>0</v>
      </c>
      <c r="I89" t="n">
        <v>0</v>
      </c>
      <c r="J89" t="n">
        <v>0</v>
      </c>
      <c r="K89" t="n">
        <v>0</v>
      </c>
      <c r="L89" t="n">
        <v>0</v>
      </c>
      <c r="M89" t="n">
        <v>0</v>
      </c>
      <c r="N89" t="n">
        <v>0</v>
      </c>
      <c r="O89" t="n">
        <v>0</v>
      </c>
      <c r="P89" t="n">
        <v>0</v>
      </c>
      <c r="Q89" t="n">
        <v>0</v>
      </c>
      <c r="R89" s="2" t="inlineStr"/>
    </row>
    <row r="90" ht="15" customHeight="1">
      <c r="A90" t="inlineStr">
        <is>
          <t>A 13001-2026</t>
        </is>
      </c>
      <c r="B90" s="1" t="n">
        <v>46092.68502314815</v>
      </c>
      <c r="C90" s="1" t="n">
        <v>46133</v>
      </c>
      <c r="D90" t="inlineStr">
        <is>
          <t>UPPSALA LÄN</t>
        </is>
      </c>
      <c r="E90" t="inlineStr">
        <is>
          <t>KNIVSTA</t>
        </is>
      </c>
      <c r="F90" t="inlineStr">
        <is>
          <t>Holmen skog AB</t>
        </is>
      </c>
      <c r="G90" t="n">
        <v>2.9</v>
      </c>
      <c r="H90" t="n">
        <v>0</v>
      </c>
      <c r="I90" t="n">
        <v>0</v>
      </c>
      <c r="J90" t="n">
        <v>0</v>
      </c>
      <c r="K90" t="n">
        <v>0</v>
      </c>
      <c r="L90" t="n">
        <v>0</v>
      </c>
      <c r="M90" t="n">
        <v>0</v>
      </c>
      <c r="N90" t="n">
        <v>0</v>
      </c>
      <c r="O90" t="n">
        <v>0</v>
      </c>
      <c r="P90" t="n">
        <v>0</v>
      </c>
      <c r="Q90" t="n">
        <v>0</v>
      </c>
      <c r="R90" s="2" t="inlineStr"/>
    </row>
    <row r="91" ht="15" customHeight="1">
      <c r="A91" t="inlineStr">
        <is>
          <t>A 12991-2026</t>
        </is>
      </c>
      <c r="B91" s="1" t="n">
        <v>46092.66820601852</v>
      </c>
      <c r="C91" s="1" t="n">
        <v>46133</v>
      </c>
      <c r="D91" t="inlineStr">
        <is>
          <t>UPPSALA LÄN</t>
        </is>
      </c>
      <c r="E91" t="inlineStr">
        <is>
          <t>KNIVSTA</t>
        </is>
      </c>
      <c r="F91" t="inlineStr">
        <is>
          <t>Holmen skog AB</t>
        </is>
      </c>
      <c r="G91" t="n">
        <v>4.6</v>
      </c>
      <c r="H91" t="n">
        <v>0</v>
      </c>
      <c r="I91" t="n">
        <v>0</v>
      </c>
      <c r="J91" t="n">
        <v>0</v>
      </c>
      <c r="K91" t="n">
        <v>0</v>
      </c>
      <c r="L91" t="n">
        <v>0</v>
      </c>
      <c r="M91" t="n">
        <v>0</v>
      </c>
      <c r="N91" t="n">
        <v>0</v>
      </c>
      <c r="O91" t="n">
        <v>0</v>
      </c>
      <c r="P91" t="n">
        <v>0</v>
      </c>
      <c r="Q91" t="n">
        <v>0</v>
      </c>
      <c r="R91" s="2" t="inlineStr"/>
    </row>
    <row r="92" ht="15" customHeight="1">
      <c r="A92" t="inlineStr">
        <is>
          <t>A 66284-2021</t>
        </is>
      </c>
      <c r="B92" s="1" t="n">
        <v>44518</v>
      </c>
      <c r="C92" s="1" t="n">
        <v>46133</v>
      </c>
      <c r="D92" t="inlineStr">
        <is>
          <t>UPPSALA LÄN</t>
        </is>
      </c>
      <c r="E92" t="inlineStr">
        <is>
          <t>KNIVSTA</t>
        </is>
      </c>
      <c r="G92" t="n">
        <v>6.9</v>
      </c>
      <c r="H92" t="n">
        <v>0</v>
      </c>
      <c r="I92" t="n">
        <v>0</v>
      </c>
      <c r="J92" t="n">
        <v>0</v>
      </c>
      <c r="K92" t="n">
        <v>0</v>
      </c>
      <c r="L92" t="n">
        <v>0</v>
      </c>
      <c r="M92" t="n">
        <v>0</v>
      </c>
      <c r="N92" t="n">
        <v>0</v>
      </c>
      <c r="O92" t="n">
        <v>0</v>
      </c>
      <c r="P92" t="n">
        <v>0</v>
      </c>
      <c r="Q92" t="n">
        <v>0</v>
      </c>
      <c r="R92" s="2" t="inlineStr"/>
    </row>
    <row r="93" ht="15" customHeight="1">
      <c r="A93" t="inlineStr">
        <is>
          <t>A 57631-2025</t>
        </is>
      </c>
      <c r="B93" s="1" t="n">
        <v>45981.34748842593</v>
      </c>
      <c r="C93" s="1" t="n">
        <v>46133</v>
      </c>
      <c r="D93" t="inlineStr">
        <is>
          <t>UPPSALA LÄN</t>
        </is>
      </c>
      <c r="E93" t="inlineStr">
        <is>
          <t>KNIVSTA</t>
        </is>
      </c>
      <c r="G93" t="n">
        <v>3.4</v>
      </c>
      <c r="H93" t="n">
        <v>0</v>
      </c>
      <c r="I93" t="n">
        <v>0</v>
      </c>
      <c r="J93" t="n">
        <v>0</v>
      </c>
      <c r="K93" t="n">
        <v>0</v>
      </c>
      <c r="L93" t="n">
        <v>0</v>
      </c>
      <c r="M93" t="n">
        <v>0</v>
      </c>
      <c r="N93" t="n">
        <v>0</v>
      </c>
      <c r="O93" t="n">
        <v>0</v>
      </c>
      <c r="P93" t="n">
        <v>0</v>
      </c>
      <c r="Q93" t="n">
        <v>0</v>
      </c>
      <c r="R93" s="2" t="inlineStr"/>
    </row>
    <row r="94" ht="15" customHeight="1">
      <c r="A94" t="inlineStr">
        <is>
          <t>A 32975-2021</t>
        </is>
      </c>
      <c r="B94" s="1" t="n">
        <v>44376</v>
      </c>
      <c r="C94" s="1" t="n">
        <v>46133</v>
      </c>
      <c r="D94" t="inlineStr">
        <is>
          <t>UPPSALA LÄN</t>
        </is>
      </c>
      <c r="E94" t="inlineStr">
        <is>
          <t>KNIVSTA</t>
        </is>
      </c>
      <c r="G94" t="n">
        <v>6.1</v>
      </c>
      <c r="H94" t="n">
        <v>0</v>
      </c>
      <c r="I94" t="n">
        <v>0</v>
      </c>
      <c r="J94" t="n">
        <v>0</v>
      </c>
      <c r="K94" t="n">
        <v>0</v>
      </c>
      <c r="L94" t="n">
        <v>0</v>
      </c>
      <c r="M94" t="n">
        <v>0</v>
      </c>
      <c r="N94" t="n">
        <v>0</v>
      </c>
      <c r="O94" t="n">
        <v>0</v>
      </c>
      <c r="P94" t="n">
        <v>0</v>
      </c>
      <c r="Q94" t="n">
        <v>0</v>
      </c>
      <c r="R94" s="2" t="inlineStr"/>
    </row>
    <row r="95" ht="15" customHeight="1">
      <c r="A95" t="inlineStr">
        <is>
          <t>A 13011-2026</t>
        </is>
      </c>
      <c r="B95" s="1" t="n">
        <v>46092.71887731482</v>
      </c>
      <c r="C95" s="1" t="n">
        <v>46133</v>
      </c>
      <c r="D95" t="inlineStr">
        <is>
          <t>UPPSALA LÄN</t>
        </is>
      </c>
      <c r="E95" t="inlineStr">
        <is>
          <t>KNIVSTA</t>
        </is>
      </c>
      <c r="F95" t="inlineStr">
        <is>
          <t>Holmen skog AB</t>
        </is>
      </c>
      <c r="G95" t="n">
        <v>1.9</v>
      </c>
      <c r="H95" t="n">
        <v>0</v>
      </c>
      <c r="I95" t="n">
        <v>0</v>
      </c>
      <c r="J95" t="n">
        <v>0</v>
      </c>
      <c r="K95" t="n">
        <v>0</v>
      </c>
      <c r="L95" t="n">
        <v>0</v>
      </c>
      <c r="M95" t="n">
        <v>0</v>
      </c>
      <c r="N95" t="n">
        <v>0</v>
      </c>
      <c r="O95" t="n">
        <v>0</v>
      </c>
      <c r="P95" t="n">
        <v>0</v>
      </c>
      <c r="Q95" t="n">
        <v>0</v>
      </c>
      <c r="R95" s="2" t="inlineStr"/>
      <c r="U95">
        <f>HYPERLINK("https://klasma.github.io/Logging_0330/knärot/A 13011-2026 karta knärot.png", "A 13011-2026")</f>
        <v/>
      </c>
      <c r="V95">
        <f>HYPERLINK("https://klasma.github.io/Logging_0330/klagomål/A 13011-2026 FSC-klagomål.docx", "A 13011-2026")</f>
        <v/>
      </c>
      <c r="W95">
        <f>HYPERLINK("https://klasma.github.io/Logging_0330/klagomålsmail/A 13011-2026 FSC-klagomål mail.docx", "A 13011-2026")</f>
        <v/>
      </c>
      <c r="X95">
        <f>HYPERLINK("https://klasma.github.io/Logging_0330/tillsyn/A 13011-2026 tillsynsbegäran.docx", "A 13011-2026")</f>
        <v/>
      </c>
      <c r="Y95">
        <f>HYPERLINK("https://klasma.github.io/Logging_0330/tillsynsmail/A 13011-2026 tillsynsbegäran mail.docx", "A 13011-2026")</f>
        <v/>
      </c>
    </row>
    <row r="96" ht="15" customHeight="1">
      <c r="A96" t="inlineStr">
        <is>
          <t>A 13005-2026</t>
        </is>
      </c>
      <c r="B96" s="1" t="n">
        <v>46092.69429398148</v>
      </c>
      <c r="C96" s="1" t="n">
        <v>46133</v>
      </c>
      <c r="D96" t="inlineStr">
        <is>
          <t>UPPSALA LÄN</t>
        </is>
      </c>
      <c r="E96" t="inlineStr">
        <is>
          <t>KNIVSTA</t>
        </is>
      </c>
      <c r="F96" t="inlineStr">
        <is>
          <t>Holmen skog AB</t>
        </is>
      </c>
      <c r="G96" t="n">
        <v>3</v>
      </c>
      <c r="H96" t="n">
        <v>0</v>
      </c>
      <c r="I96" t="n">
        <v>0</v>
      </c>
      <c r="J96" t="n">
        <v>0</v>
      </c>
      <c r="K96" t="n">
        <v>0</v>
      </c>
      <c r="L96" t="n">
        <v>0</v>
      </c>
      <c r="M96" t="n">
        <v>0</v>
      </c>
      <c r="N96" t="n">
        <v>0</v>
      </c>
      <c r="O96" t="n">
        <v>0</v>
      </c>
      <c r="P96" t="n">
        <v>0</v>
      </c>
      <c r="Q96" t="n">
        <v>0</v>
      </c>
      <c r="R96" s="2" t="inlineStr"/>
    </row>
    <row r="97" ht="15" customHeight="1">
      <c r="A97" t="inlineStr">
        <is>
          <t>A 13016-2026</t>
        </is>
      </c>
      <c r="B97" s="1" t="n">
        <v>46092.73381944445</v>
      </c>
      <c r="C97" s="1" t="n">
        <v>46133</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13013-2026</t>
        </is>
      </c>
      <c r="B98" s="1" t="n">
        <v>46092.7271412037</v>
      </c>
      <c r="C98" s="1" t="n">
        <v>46133</v>
      </c>
      <c r="D98" t="inlineStr">
        <is>
          <t>UPPSALA LÄN</t>
        </is>
      </c>
      <c r="E98" t="inlineStr">
        <is>
          <t>KNIVSTA</t>
        </is>
      </c>
      <c r="F98" t="inlineStr">
        <is>
          <t>Holmen skog AB</t>
        </is>
      </c>
      <c r="G98" t="n">
        <v>4.6</v>
      </c>
      <c r="H98" t="n">
        <v>0</v>
      </c>
      <c r="I98" t="n">
        <v>0</v>
      </c>
      <c r="J98" t="n">
        <v>0</v>
      </c>
      <c r="K98" t="n">
        <v>0</v>
      </c>
      <c r="L98" t="n">
        <v>0</v>
      </c>
      <c r="M98" t="n">
        <v>0</v>
      </c>
      <c r="N98" t="n">
        <v>0</v>
      </c>
      <c r="O98" t="n">
        <v>0</v>
      </c>
      <c r="P98" t="n">
        <v>0</v>
      </c>
      <c r="Q98" t="n">
        <v>0</v>
      </c>
      <c r="R98" s="2" t="inlineStr"/>
    </row>
    <row r="99" ht="15" customHeight="1">
      <c r="A99" t="inlineStr">
        <is>
          <t>A 53812-2025</t>
        </is>
      </c>
      <c r="B99" s="1" t="n">
        <v>45960</v>
      </c>
      <c r="C99" s="1" t="n">
        <v>46133</v>
      </c>
      <c r="D99" t="inlineStr">
        <is>
          <t>UPPSALA LÄN</t>
        </is>
      </c>
      <c r="E99" t="inlineStr">
        <is>
          <t>KNIVSTA</t>
        </is>
      </c>
      <c r="G99" t="n">
        <v>5.8</v>
      </c>
      <c r="H99" t="n">
        <v>0</v>
      </c>
      <c r="I99" t="n">
        <v>0</v>
      </c>
      <c r="J99" t="n">
        <v>0</v>
      </c>
      <c r="K99" t="n">
        <v>0</v>
      </c>
      <c r="L99" t="n">
        <v>0</v>
      </c>
      <c r="M99" t="n">
        <v>0</v>
      </c>
      <c r="N99" t="n">
        <v>0</v>
      </c>
      <c r="O99" t="n">
        <v>0</v>
      </c>
      <c r="P99" t="n">
        <v>0</v>
      </c>
      <c r="Q99" t="n">
        <v>0</v>
      </c>
      <c r="R99" s="2" t="inlineStr"/>
    </row>
    <row r="100" ht="15" customHeight="1">
      <c r="A100" t="inlineStr">
        <is>
          <t>A 60243-2025</t>
        </is>
      </c>
      <c r="B100" s="1" t="n">
        <v>45994.58650462963</v>
      </c>
      <c r="C100" s="1" t="n">
        <v>46133</v>
      </c>
      <c r="D100" t="inlineStr">
        <is>
          <t>UPPSALA LÄN</t>
        </is>
      </c>
      <c r="E100" t="inlineStr">
        <is>
          <t>KNIVSTA</t>
        </is>
      </c>
      <c r="F100" t="inlineStr">
        <is>
          <t>Holmen skog AB</t>
        </is>
      </c>
      <c r="G100" t="n">
        <v>2.4</v>
      </c>
      <c r="H100" t="n">
        <v>0</v>
      </c>
      <c r="I100" t="n">
        <v>0</v>
      </c>
      <c r="J100" t="n">
        <v>0</v>
      </c>
      <c r="K100" t="n">
        <v>0</v>
      </c>
      <c r="L100" t="n">
        <v>0</v>
      </c>
      <c r="M100" t="n">
        <v>0</v>
      </c>
      <c r="N100" t="n">
        <v>0</v>
      </c>
      <c r="O100" t="n">
        <v>0</v>
      </c>
      <c r="P100" t="n">
        <v>0</v>
      </c>
      <c r="Q100" t="n">
        <v>0</v>
      </c>
      <c r="R100" s="2" t="inlineStr"/>
    </row>
    <row r="101" ht="15" customHeight="1">
      <c r="A101" t="inlineStr">
        <is>
          <t>A 5908-2026</t>
        </is>
      </c>
      <c r="B101" s="1" t="n">
        <v>46052.44399305555</v>
      </c>
      <c r="C101" s="1" t="n">
        <v>46133</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5910-2026</t>
        </is>
      </c>
      <c r="B102" s="1" t="n">
        <v>46052.44677083333</v>
      </c>
      <c r="C102" s="1" t="n">
        <v>46133</v>
      </c>
      <c r="D102" t="inlineStr">
        <is>
          <t>UPPSALA LÄN</t>
        </is>
      </c>
      <c r="E102" t="inlineStr">
        <is>
          <t>KNIVSTA</t>
        </is>
      </c>
      <c r="G102" t="n">
        <v>0.6</v>
      </c>
      <c r="H102" t="n">
        <v>0</v>
      </c>
      <c r="I102" t="n">
        <v>0</v>
      </c>
      <c r="J102" t="n">
        <v>0</v>
      </c>
      <c r="K102" t="n">
        <v>0</v>
      </c>
      <c r="L102" t="n">
        <v>0</v>
      </c>
      <c r="M102" t="n">
        <v>0</v>
      </c>
      <c r="N102" t="n">
        <v>0</v>
      </c>
      <c r="O102" t="n">
        <v>0</v>
      </c>
      <c r="P102" t="n">
        <v>0</v>
      </c>
      <c r="Q102" t="n">
        <v>0</v>
      </c>
      <c r="R102" s="2" t="inlineStr"/>
    </row>
    <row r="103" ht="15" customHeight="1">
      <c r="A103" t="inlineStr">
        <is>
          <t>A 11847-2023</t>
        </is>
      </c>
      <c r="B103" s="1" t="n">
        <v>44995.33957175926</v>
      </c>
      <c r="C103" s="1" t="n">
        <v>46133</v>
      </c>
      <c r="D103" t="inlineStr">
        <is>
          <t>UPPSALA LÄN</t>
        </is>
      </c>
      <c r="E103" t="inlineStr">
        <is>
          <t>KNIVSTA</t>
        </is>
      </c>
      <c r="G103" t="n">
        <v>2.1</v>
      </c>
      <c r="H103" t="n">
        <v>0</v>
      </c>
      <c r="I103" t="n">
        <v>0</v>
      </c>
      <c r="J103" t="n">
        <v>0</v>
      </c>
      <c r="K103" t="n">
        <v>0</v>
      </c>
      <c r="L103" t="n">
        <v>0</v>
      </c>
      <c r="M103" t="n">
        <v>0</v>
      </c>
      <c r="N103" t="n">
        <v>0</v>
      </c>
      <c r="O103" t="n">
        <v>0</v>
      </c>
      <c r="P103" t="n">
        <v>0</v>
      </c>
      <c r="Q103" t="n">
        <v>0</v>
      </c>
      <c r="R103" s="2" t="inlineStr"/>
    </row>
    <row r="104" ht="15" customHeight="1">
      <c r="A104" t="inlineStr">
        <is>
          <t>A 9744-2026</t>
        </is>
      </c>
      <c r="B104" s="1" t="n">
        <v>46072.51857638889</v>
      </c>
      <c r="C104" s="1" t="n">
        <v>46133</v>
      </c>
      <c r="D104" t="inlineStr">
        <is>
          <t>UPPSALA LÄN</t>
        </is>
      </c>
      <c r="E104" t="inlineStr">
        <is>
          <t>KNIVSTA</t>
        </is>
      </c>
      <c r="G104" t="n">
        <v>2.4</v>
      </c>
      <c r="H104" t="n">
        <v>0</v>
      </c>
      <c r="I104" t="n">
        <v>0</v>
      </c>
      <c r="J104" t="n">
        <v>0</v>
      </c>
      <c r="K104" t="n">
        <v>0</v>
      </c>
      <c r="L104" t="n">
        <v>0</v>
      </c>
      <c r="M104" t="n">
        <v>0</v>
      </c>
      <c r="N104" t="n">
        <v>0</v>
      </c>
      <c r="O104" t="n">
        <v>0</v>
      </c>
      <c r="P104" t="n">
        <v>0</v>
      </c>
      <c r="Q104" t="n">
        <v>0</v>
      </c>
      <c r="R104" s="2" t="inlineStr"/>
    </row>
    <row r="105" ht="15" customHeight="1">
      <c r="A105" t="inlineStr">
        <is>
          <t>A 30351-2022</t>
        </is>
      </c>
      <c r="B105" s="1" t="n">
        <v>44757</v>
      </c>
      <c r="C105" s="1" t="n">
        <v>46133</v>
      </c>
      <c r="D105" t="inlineStr">
        <is>
          <t>UPPSALA LÄN</t>
        </is>
      </c>
      <c r="E105" t="inlineStr">
        <is>
          <t>KNIVSTA</t>
        </is>
      </c>
      <c r="G105" t="n">
        <v>5.7</v>
      </c>
      <c r="H105" t="n">
        <v>0</v>
      </c>
      <c r="I105" t="n">
        <v>0</v>
      </c>
      <c r="J105" t="n">
        <v>0</v>
      </c>
      <c r="K105" t="n">
        <v>0</v>
      </c>
      <c r="L105" t="n">
        <v>0</v>
      </c>
      <c r="M105" t="n">
        <v>0</v>
      </c>
      <c r="N105" t="n">
        <v>0</v>
      </c>
      <c r="O105" t="n">
        <v>0</v>
      </c>
      <c r="P105" t="n">
        <v>0</v>
      </c>
      <c r="Q105" t="n">
        <v>0</v>
      </c>
      <c r="R105" s="2" t="inlineStr"/>
    </row>
    <row r="106" ht="15" customHeight="1">
      <c r="A106" t="inlineStr">
        <is>
          <t>A 3191-2024</t>
        </is>
      </c>
      <c r="B106" s="1" t="n">
        <v>45316.67186342592</v>
      </c>
      <c r="C106" s="1" t="n">
        <v>46133</v>
      </c>
      <c r="D106" t="inlineStr">
        <is>
          <t>UPPSALA LÄN</t>
        </is>
      </c>
      <c r="E106" t="inlineStr">
        <is>
          <t>KNIVSTA</t>
        </is>
      </c>
      <c r="G106" t="n">
        <v>0.6</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46133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46133</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12027-2026</t>
        </is>
      </c>
      <c r="B109" s="1" t="n">
        <v>46085.84549768519</v>
      </c>
      <c r="C109" s="1" t="n">
        <v>46133</v>
      </c>
      <c r="D109" t="inlineStr">
        <is>
          <t>UPPSALA LÄN</t>
        </is>
      </c>
      <c r="E109" t="inlineStr">
        <is>
          <t>KNIVSTA</t>
        </is>
      </c>
      <c r="G109" t="n">
        <v>0.6</v>
      </c>
      <c r="H109" t="n">
        <v>0</v>
      </c>
      <c r="I109" t="n">
        <v>0</v>
      </c>
      <c r="J109" t="n">
        <v>0</v>
      </c>
      <c r="K109" t="n">
        <v>0</v>
      </c>
      <c r="L109" t="n">
        <v>0</v>
      </c>
      <c r="M109" t="n">
        <v>0</v>
      </c>
      <c r="N109" t="n">
        <v>0</v>
      </c>
      <c r="O109" t="n">
        <v>0</v>
      </c>
      <c r="P109" t="n">
        <v>0</v>
      </c>
      <c r="Q109" t="n">
        <v>0</v>
      </c>
      <c r="R109" s="2" t="inlineStr"/>
    </row>
    <row r="110" ht="15" customHeight="1">
      <c r="A110" t="inlineStr">
        <is>
          <t>A 18576-2026</t>
        </is>
      </c>
      <c r="B110" s="1" t="n">
        <v>46127.60626157407</v>
      </c>
      <c r="C110" s="1" t="n">
        <v>46133</v>
      </c>
      <c r="D110" t="inlineStr">
        <is>
          <t>UPPSALA LÄN</t>
        </is>
      </c>
      <c r="E110" t="inlineStr">
        <is>
          <t>KNIVSTA</t>
        </is>
      </c>
      <c r="G110" t="n">
        <v>4.8</v>
      </c>
      <c r="H110" t="n">
        <v>0</v>
      </c>
      <c r="I110" t="n">
        <v>0</v>
      </c>
      <c r="J110" t="n">
        <v>0</v>
      </c>
      <c r="K110" t="n">
        <v>0</v>
      </c>
      <c r="L110" t="n">
        <v>0</v>
      </c>
      <c r="M110" t="n">
        <v>0</v>
      </c>
      <c r="N110" t="n">
        <v>0</v>
      </c>
      <c r="O110" t="n">
        <v>0</v>
      </c>
      <c r="P110" t="n">
        <v>0</v>
      </c>
      <c r="Q110" t="n">
        <v>0</v>
      </c>
      <c r="R110" s="2" t="inlineStr"/>
    </row>
    <row r="111" ht="15" customHeight="1">
      <c r="A111" t="inlineStr">
        <is>
          <t>A 66293-2021</t>
        </is>
      </c>
      <c r="B111" s="1" t="n">
        <v>44518</v>
      </c>
      <c r="C111" s="1" t="n">
        <v>46133</v>
      </c>
      <c r="D111" t="inlineStr">
        <is>
          <t>UPPSALA LÄN</t>
        </is>
      </c>
      <c r="E111" t="inlineStr">
        <is>
          <t>KNIVSTA</t>
        </is>
      </c>
      <c r="G111" t="n">
        <v>2.6</v>
      </c>
      <c r="H111" t="n">
        <v>0</v>
      </c>
      <c r="I111" t="n">
        <v>0</v>
      </c>
      <c r="J111" t="n">
        <v>0</v>
      </c>
      <c r="K111" t="n">
        <v>0</v>
      </c>
      <c r="L111" t="n">
        <v>0</v>
      </c>
      <c r="M111" t="n">
        <v>0</v>
      </c>
      <c r="N111" t="n">
        <v>0</v>
      </c>
      <c r="O111" t="n">
        <v>0</v>
      </c>
      <c r="P111" t="n">
        <v>0</v>
      </c>
      <c r="Q111" t="n">
        <v>0</v>
      </c>
      <c r="R111" s="2" t="inlineStr"/>
    </row>
    <row r="112" ht="15" customHeight="1">
      <c r="A112" t="inlineStr">
        <is>
          <t>A 45916-2022</t>
        </is>
      </c>
      <c r="B112" s="1" t="n">
        <v>44846</v>
      </c>
      <c r="C112" s="1" t="n">
        <v>46133</v>
      </c>
      <c r="D112" t="inlineStr">
        <is>
          <t>UPPSALA LÄN</t>
        </is>
      </c>
      <c r="E112" t="inlineStr">
        <is>
          <t>KNIVSTA</t>
        </is>
      </c>
      <c r="G112" t="n">
        <v>3.8</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46133</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46133</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46133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30627-2023</t>
        </is>
      </c>
      <c r="B116" s="1" t="n">
        <v>45112</v>
      </c>
      <c r="C116" s="1" t="n">
        <v>46133</v>
      </c>
      <c r="D116" t="inlineStr">
        <is>
          <t>UPPSALA LÄN</t>
        </is>
      </c>
      <c r="E116" t="inlineStr">
        <is>
          <t>KNIVSTA</t>
        </is>
      </c>
      <c r="F116" t="inlineStr">
        <is>
          <t>Holmen skog AB</t>
        </is>
      </c>
      <c r="G116" t="n">
        <v>1.6</v>
      </c>
      <c r="H116" t="n">
        <v>0</v>
      </c>
      <c r="I116" t="n">
        <v>0</v>
      </c>
      <c r="J116" t="n">
        <v>0</v>
      </c>
      <c r="K116" t="n">
        <v>0</v>
      </c>
      <c r="L116" t="n">
        <v>0</v>
      </c>
      <c r="M116" t="n">
        <v>0</v>
      </c>
      <c r="N116" t="n">
        <v>0</v>
      </c>
      <c r="O116" t="n">
        <v>0</v>
      </c>
      <c r="P116" t="n">
        <v>0</v>
      </c>
      <c r="Q116" t="n">
        <v>0</v>
      </c>
      <c r="R116" s="2" t="inlineStr"/>
    </row>
    <row r="117" ht="15" customHeight="1">
      <c r="A117" t="inlineStr">
        <is>
          <t>A 43908-2023</t>
        </is>
      </c>
      <c r="B117" s="1" t="n">
        <v>45187</v>
      </c>
      <c r="C117" s="1" t="n">
        <v>46133</v>
      </c>
      <c r="D117" t="inlineStr">
        <is>
          <t>UPPSALA LÄN</t>
        </is>
      </c>
      <c r="E117" t="inlineStr">
        <is>
          <t>KNIVSTA</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46133</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60885-2021</t>
        </is>
      </c>
      <c r="B119" s="1" t="n">
        <v>44497</v>
      </c>
      <c r="C119" s="1" t="n">
        <v>46133</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19676-2025</t>
        </is>
      </c>
      <c r="B120" s="1" t="n">
        <v>45770</v>
      </c>
      <c r="C120" s="1" t="n">
        <v>46133</v>
      </c>
      <c r="D120" t="inlineStr">
        <is>
          <t>UPPSALA LÄN</t>
        </is>
      </c>
      <c r="E120" t="inlineStr">
        <is>
          <t>KNIVSTA</t>
        </is>
      </c>
      <c r="G120" t="n">
        <v>0.9</v>
      </c>
      <c r="H120" t="n">
        <v>0</v>
      </c>
      <c r="I120" t="n">
        <v>0</v>
      </c>
      <c r="J120" t="n">
        <v>0</v>
      </c>
      <c r="K120" t="n">
        <v>0</v>
      </c>
      <c r="L120" t="n">
        <v>0</v>
      </c>
      <c r="M120" t="n">
        <v>0</v>
      </c>
      <c r="N120" t="n">
        <v>0</v>
      </c>
      <c r="O120" t="n">
        <v>0</v>
      </c>
      <c r="P120" t="n">
        <v>0</v>
      </c>
      <c r="Q120" t="n">
        <v>0</v>
      </c>
      <c r="R120" s="2" t="inlineStr"/>
    </row>
    <row r="121" ht="15" customHeight="1">
      <c r="A121" t="inlineStr">
        <is>
          <t>A 14267-2025</t>
        </is>
      </c>
      <c r="B121" s="1" t="n">
        <v>45740.63686342593</v>
      </c>
      <c r="C121" s="1" t="n">
        <v>46133</v>
      </c>
      <c r="D121" t="inlineStr">
        <is>
          <t>UPPSALA LÄN</t>
        </is>
      </c>
      <c r="E121" t="inlineStr">
        <is>
          <t>KNIVSTA</t>
        </is>
      </c>
      <c r="G121" t="n">
        <v>3.9</v>
      </c>
      <c r="H121" t="n">
        <v>0</v>
      </c>
      <c r="I121" t="n">
        <v>0</v>
      </c>
      <c r="J121" t="n">
        <v>0</v>
      </c>
      <c r="K121" t="n">
        <v>0</v>
      </c>
      <c r="L121" t="n">
        <v>0</v>
      </c>
      <c r="M121" t="n">
        <v>0</v>
      </c>
      <c r="N121" t="n">
        <v>0</v>
      </c>
      <c r="O121" t="n">
        <v>0</v>
      </c>
      <c r="P121" t="n">
        <v>0</v>
      </c>
      <c r="Q121" t="n">
        <v>0</v>
      </c>
      <c r="R121" s="2" t="inlineStr"/>
    </row>
    <row r="122" ht="15" customHeight="1">
      <c r="A122" t="inlineStr">
        <is>
          <t>A 13697-2024</t>
        </is>
      </c>
      <c r="B122" s="1" t="n">
        <v>45390</v>
      </c>
      <c r="C122" s="1" t="n">
        <v>46133</v>
      </c>
      <c r="D122" t="inlineStr">
        <is>
          <t>UPPSALA LÄN</t>
        </is>
      </c>
      <c r="E122" t="inlineStr">
        <is>
          <t>KNIVSTA</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66305-2021</t>
        </is>
      </c>
      <c r="B123" s="1" t="n">
        <v>44518</v>
      </c>
      <c r="C123" s="1" t="n">
        <v>46133</v>
      </c>
      <c r="D123" t="inlineStr">
        <is>
          <t>UPPSALA LÄN</t>
        </is>
      </c>
      <c r="E123" t="inlineStr">
        <is>
          <t>KNIVSTA</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1629-2024</t>
        </is>
      </c>
      <c r="B124" s="1" t="n">
        <v>45306</v>
      </c>
      <c r="C124" s="1" t="n">
        <v>46133</v>
      </c>
      <c r="D124" t="inlineStr">
        <is>
          <t>UPPSALA LÄN</t>
        </is>
      </c>
      <c r="E124" t="inlineStr">
        <is>
          <t>KNIVSTA</t>
        </is>
      </c>
      <c r="F124" t="inlineStr">
        <is>
          <t>Holmen skog AB</t>
        </is>
      </c>
      <c r="G124" t="n">
        <v>3.6</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46133</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2171-2024</t>
        </is>
      </c>
      <c r="B126" s="1" t="n">
        <v>45309</v>
      </c>
      <c r="C126" s="1" t="n">
        <v>46133</v>
      </c>
      <c r="D126" t="inlineStr">
        <is>
          <t>UPPSALA LÄN</t>
        </is>
      </c>
      <c r="E126" t="inlineStr">
        <is>
          <t>KNIVSTA</t>
        </is>
      </c>
      <c r="F126" t="inlineStr">
        <is>
          <t>Holmen skog AB</t>
        </is>
      </c>
      <c r="G126" t="n">
        <v>3.3</v>
      </c>
      <c r="H126" t="n">
        <v>0</v>
      </c>
      <c r="I126" t="n">
        <v>0</v>
      </c>
      <c r="J126" t="n">
        <v>0</v>
      </c>
      <c r="K126" t="n">
        <v>0</v>
      </c>
      <c r="L126" t="n">
        <v>0</v>
      </c>
      <c r="M126" t="n">
        <v>0</v>
      </c>
      <c r="N126" t="n">
        <v>0</v>
      </c>
      <c r="O126" t="n">
        <v>0</v>
      </c>
      <c r="P126" t="n">
        <v>0</v>
      </c>
      <c r="Q126" t="n">
        <v>0</v>
      </c>
      <c r="R126" s="2" t="inlineStr"/>
    </row>
    <row r="127">
      <c r="A127" t="inlineStr">
        <is>
          <t>A 21130-2025</t>
        </is>
      </c>
      <c r="B127" s="1" t="n">
        <v>45778.35857638889</v>
      </c>
      <c r="C127" s="1" t="n">
        <v>46133</v>
      </c>
      <c r="D127" t="inlineStr">
        <is>
          <t>UPPSALA LÄN</t>
        </is>
      </c>
      <c r="E127" t="inlineStr">
        <is>
          <t>KNIVSTA</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2026-04-21T10:53:15Z</dcterms:created>
  <dcterms:modified xmlns:dcterms="http://purl.org/dc/terms/" xmlns:xsi="http://www.w3.org/2001/XMLSchema-instance" xsi:type="dcterms:W3CDTF">2026-04-21T10:53:16Z</dcterms:modified>
</cp:coreProperties>
</file>