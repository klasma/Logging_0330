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45983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45983</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45983</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53813-2025</t>
        </is>
      </c>
      <c r="B10" s="1" t="n">
        <v>45960</v>
      </c>
      <c r="C10" s="1" t="n">
        <v>45983</v>
      </c>
      <c r="D10" t="inlineStr">
        <is>
          <t>UPPSALA LÄN</t>
        </is>
      </c>
      <c r="E10" t="inlineStr">
        <is>
          <t>KNIVSTA</t>
        </is>
      </c>
      <c r="G10" t="n">
        <v>1.7</v>
      </c>
      <c r="H10" t="n">
        <v>0</v>
      </c>
      <c r="I10" t="n">
        <v>1</v>
      </c>
      <c r="J10" t="n">
        <v>0</v>
      </c>
      <c r="K10" t="n">
        <v>0</v>
      </c>
      <c r="L10" t="n">
        <v>0</v>
      </c>
      <c r="M10" t="n">
        <v>0</v>
      </c>
      <c r="N10" t="n">
        <v>0</v>
      </c>
      <c r="O10" t="n">
        <v>0</v>
      </c>
      <c r="P10" t="n">
        <v>0</v>
      </c>
      <c r="Q10" t="n">
        <v>1</v>
      </c>
      <c r="R10" s="2" t="inlineStr">
        <is>
          <t>Broskvaxing</t>
        </is>
      </c>
      <c r="S10">
        <f>HYPERLINK("https://klasma.github.io/Logging_0330/artfynd/A 53813-2025 artfynd.xlsx", "A 53813-2025")</f>
        <v/>
      </c>
      <c r="T10">
        <f>HYPERLINK("https://klasma.github.io/Logging_0330/kartor/A 53813-2025 karta.png", "A 53813-2025")</f>
        <v/>
      </c>
      <c r="V10">
        <f>HYPERLINK("https://klasma.github.io/Logging_0330/klagomål/A 53813-2025 FSC-klagomål.docx", "A 53813-2025")</f>
        <v/>
      </c>
      <c r="W10">
        <f>HYPERLINK("https://klasma.github.io/Logging_0330/klagomålsmail/A 53813-2025 FSC-klagomål mail.docx", "A 53813-2025")</f>
        <v/>
      </c>
      <c r="X10">
        <f>HYPERLINK("https://klasma.github.io/Logging_0330/tillsyn/A 53813-2025 tillsynsbegäran.docx", "A 53813-2025")</f>
        <v/>
      </c>
      <c r="Y10">
        <f>HYPERLINK("https://klasma.github.io/Logging_0330/tillsynsmail/A 53813-2025 tillsynsbegäran mail.docx", "A 53813-2025")</f>
        <v/>
      </c>
    </row>
    <row r="11" ht="15" customHeight="1">
      <c r="A11" t="inlineStr">
        <is>
          <t>A 11405-2025</t>
        </is>
      </c>
      <c r="B11" s="1" t="n">
        <v>45726</v>
      </c>
      <c r="C11" s="1" t="n">
        <v>45983</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45983</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45983</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45983</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45983</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16973-2021</t>
        </is>
      </c>
      <c r="B16" s="1" t="n">
        <v>44295</v>
      </c>
      <c r="C16" s="1" t="n">
        <v>45983</v>
      </c>
      <c r="D16" t="inlineStr">
        <is>
          <t>UPPSALA LÄN</t>
        </is>
      </c>
      <c r="E16" t="inlineStr">
        <is>
          <t>KNIVSTA</t>
        </is>
      </c>
      <c r="G16" t="n">
        <v>5.5</v>
      </c>
      <c r="H16" t="n">
        <v>0</v>
      </c>
      <c r="I16" t="n">
        <v>0</v>
      </c>
      <c r="J16" t="n">
        <v>1</v>
      </c>
      <c r="K16" t="n">
        <v>0</v>
      </c>
      <c r="L16" t="n">
        <v>0</v>
      </c>
      <c r="M16" t="n">
        <v>0</v>
      </c>
      <c r="N16" t="n">
        <v>0</v>
      </c>
      <c r="O16" t="n">
        <v>1</v>
      </c>
      <c r="P16" t="n">
        <v>0</v>
      </c>
      <c r="Q16" t="n">
        <v>1</v>
      </c>
      <c r="R16" s="2" t="inlineStr">
        <is>
          <t>Backklöver</t>
        </is>
      </c>
      <c r="S16">
        <f>HYPERLINK("https://klasma.github.io/Logging_0330/artfynd/A 16973-2021 artfynd.xlsx", "A 16973-2021")</f>
        <v/>
      </c>
      <c r="T16">
        <f>HYPERLINK("https://klasma.github.io/Logging_0330/kartor/A 16973-2021 karta.png", "A 16973-2021")</f>
        <v/>
      </c>
      <c r="V16">
        <f>HYPERLINK("https://klasma.github.io/Logging_0330/klagomål/A 16973-2021 FSC-klagomål.docx", "A 16973-2021")</f>
        <v/>
      </c>
      <c r="W16">
        <f>HYPERLINK("https://klasma.github.io/Logging_0330/klagomålsmail/A 16973-2021 FSC-klagomål mail.docx", "A 16973-2021")</f>
        <v/>
      </c>
      <c r="X16">
        <f>HYPERLINK("https://klasma.github.io/Logging_0330/tillsyn/A 16973-2021 tillsynsbegäran.docx", "A 16973-2021")</f>
        <v/>
      </c>
      <c r="Y16">
        <f>HYPERLINK("https://klasma.github.io/Logging_0330/tillsynsmail/A 16973-2021 tillsynsbegäran mail.docx", "A 16973-2021")</f>
        <v/>
      </c>
    </row>
    <row r="17" ht="15" customHeight="1">
      <c r="A17" t="inlineStr">
        <is>
          <t>A 9725-2021</t>
        </is>
      </c>
      <c r="B17" s="1" t="n">
        <v>44252</v>
      </c>
      <c r="C17" s="1" t="n">
        <v>45983</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45983</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45983</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45983</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45983</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45983</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45983</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45983</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45983</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45983</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45983</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45983</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45983</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45983</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45983</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45983</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45983</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45983</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45983</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45983</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45983</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45983</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45983</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45983</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20902-2024</t>
        </is>
      </c>
      <c r="B41" s="1" t="n">
        <v>45439.48104166667</v>
      </c>
      <c r="C41" s="1" t="n">
        <v>45983</v>
      </c>
      <c r="D41" t="inlineStr">
        <is>
          <t>UPPSALA LÄN</t>
        </is>
      </c>
      <c r="E41" t="inlineStr">
        <is>
          <t>KNIVSTA</t>
        </is>
      </c>
      <c r="G41" t="n">
        <v>1</v>
      </c>
      <c r="H41" t="n">
        <v>0</v>
      </c>
      <c r="I41" t="n">
        <v>0</v>
      </c>
      <c r="J41" t="n">
        <v>0</v>
      </c>
      <c r="K41" t="n">
        <v>0</v>
      </c>
      <c r="L41" t="n">
        <v>0</v>
      </c>
      <c r="M41" t="n">
        <v>0</v>
      </c>
      <c r="N41" t="n">
        <v>0</v>
      </c>
      <c r="O41" t="n">
        <v>0</v>
      </c>
      <c r="P41" t="n">
        <v>0</v>
      </c>
      <c r="Q41" t="n">
        <v>0</v>
      </c>
      <c r="R41" s="2" t="inlineStr"/>
    </row>
    <row r="42" ht="15" customHeight="1">
      <c r="A42" t="inlineStr">
        <is>
          <t>A 26226-2025</t>
        </is>
      </c>
      <c r="B42" s="1" t="n">
        <v>45805.55829861111</v>
      </c>
      <c r="C42" s="1" t="n">
        <v>45983</v>
      </c>
      <c r="D42" t="inlineStr">
        <is>
          <t>UPPSALA LÄN</t>
        </is>
      </c>
      <c r="E42" t="inlineStr">
        <is>
          <t>KNIVSTA</t>
        </is>
      </c>
      <c r="G42" t="n">
        <v>9.1</v>
      </c>
      <c r="H42" t="n">
        <v>0</v>
      </c>
      <c r="I42" t="n">
        <v>0</v>
      </c>
      <c r="J42" t="n">
        <v>0</v>
      </c>
      <c r="K42" t="n">
        <v>0</v>
      </c>
      <c r="L42" t="n">
        <v>0</v>
      </c>
      <c r="M42" t="n">
        <v>0</v>
      </c>
      <c r="N42" t="n">
        <v>0</v>
      </c>
      <c r="O42" t="n">
        <v>0</v>
      </c>
      <c r="P42" t="n">
        <v>0</v>
      </c>
      <c r="Q42" t="n">
        <v>0</v>
      </c>
      <c r="R42" s="2" t="inlineStr"/>
    </row>
    <row r="43" ht="15" customHeight="1">
      <c r="A43" t="inlineStr">
        <is>
          <t>A 28189-2025</t>
        </is>
      </c>
      <c r="B43" s="1" t="n">
        <v>45818.41357638889</v>
      </c>
      <c r="C43" s="1" t="n">
        <v>45983</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45983</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11841-2023</t>
        </is>
      </c>
      <c r="B45" s="1" t="n">
        <v>44995.3221412037</v>
      </c>
      <c r="C45" s="1" t="n">
        <v>45983</v>
      </c>
      <c r="D45" t="inlineStr">
        <is>
          <t>UPPSALA LÄN</t>
        </is>
      </c>
      <c r="E45" t="inlineStr">
        <is>
          <t>KNIVSTA</t>
        </is>
      </c>
      <c r="G45" t="n">
        <v>3.9</v>
      </c>
      <c r="H45" t="n">
        <v>0</v>
      </c>
      <c r="I45" t="n">
        <v>0</v>
      </c>
      <c r="J45" t="n">
        <v>0</v>
      </c>
      <c r="K45" t="n">
        <v>0</v>
      </c>
      <c r="L45" t="n">
        <v>0</v>
      </c>
      <c r="M45" t="n">
        <v>0</v>
      </c>
      <c r="N45" t="n">
        <v>0</v>
      </c>
      <c r="O45" t="n">
        <v>0</v>
      </c>
      <c r="P45" t="n">
        <v>0</v>
      </c>
      <c r="Q45" t="n">
        <v>0</v>
      </c>
      <c r="R45" s="2" t="inlineStr"/>
    </row>
    <row r="46" ht="15" customHeight="1">
      <c r="A46" t="inlineStr">
        <is>
          <t>A 52667-2025</t>
        </is>
      </c>
      <c r="B46" s="1" t="n">
        <v>45955.74666666667</v>
      </c>
      <c r="C46" s="1" t="n">
        <v>45983</v>
      </c>
      <c r="D46" t="inlineStr">
        <is>
          <t>UPPSALA LÄN</t>
        </is>
      </c>
      <c r="E46" t="inlineStr">
        <is>
          <t>KNIVSTA</t>
        </is>
      </c>
      <c r="G46" t="n">
        <v>1</v>
      </c>
      <c r="H46" t="n">
        <v>0</v>
      </c>
      <c r="I46" t="n">
        <v>0</v>
      </c>
      <c r="J46" t="n">
        <v>0</v>
      </c>
      <c r="K46" t="n">
        <v>0</v>
      </c>
      <c r="L46" t="n">
        <v>0</v>
      </c>
      <c r="M46" t="n">
        <v>0</v>
      </c>
      <c r="N46" t="n">
        <v>0</v>
      </c>
      <c r="O46" t="n">
        <v>0</v>
      </c>
      <c r="P46" t="n">
        <v>0</v>
      </c>
      <c r="Q46" t="n">
        <v>0</v>
      </c>
      <c r="R46" s="2" t="inlineStr"/>
    </row>
    <row r="47" ht="15" customHeight="1">
      <c r="A47" t="inlineStr">
        <is>
          <t>A 52666-2025</t>
        </is>
      </c>
      <c r="B47" s="1" t="n">
        <v>45955.74299768519</v>
      </c>
      <c r="C47" s="1" t="n">
        <v>45983</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30351-2022</t>
        </is>
      </c>
      <c r="B48" s="1" t="n">
        <v>44757</v>
      </c>
      <c r="C48" s="1" t="n">
        <v>45983</v>
      </c>
      <c r="D48" t="inlineStr">
        <is>
          <t>UPPSALA LÄN</t>
        </is>
      </c>
      <c r="E48" t="inlineStr">
        <is>
          <t>KNIVSTA</t>
        </is>
      </c>
      <c r="G48" t="n">
        <v>5.7</v>
      </c>
      <c r="H48" t="n">
        <v>0</v>
      </c>
      <c r="I48" t="n">
        <v>0</v>
      </c>
      <c r="J48" t="n">
        <v>0</v>
      </c>
      <c r="K48" t="n">
        <v>0</v>
      </c>
      <c r="L48" t="n">
        <v>0</v>
      </c>
      <c r="M48" t="n">
        <v>0</v>
      </c>
      <c r="N48" t="n">
        <v>0</v>
      </c>
      <c r="O48" t="n">
        <v>0</v>
      </c>
      <c r="P48" t="n">
        <v>0</v>
      </c>
      <c r="Q48" t="n">
        <v>0</v>
      </c>
      <c r="R48" s="2" t="inlineStr"/>
    </row>
    <row r="49" ht="15" customHeight="1">
      <c r="A49" t="inlineStr">
        <is>
          <t>A 11847-2023</t>
        </is>
      </c>
      <c r="B49" s="1" t="n">
        <v>44995.33957175926</v>
      </c>
      <c r="C49" s="1" t="n">
        <v>45983</v>
      </c>
      <c r="D49" t="inlineStr">
        <is>
          <t>UPPSALA LÄN</t>
        </is>
      </c>
      <c r="E49" t="inlineStr">
        <is>
          <t>KNIVSTA</t>
        </is>
      </c>
      <c r="G49" t="n">
        <v>2.1</v>
      </c>
      <c r="H49" t="n">
        <v>0</v>
      </c>
      <c r="I49" t="n">
        <v>0</v>
      </c>
      <c r="J49" t="n">
        <v>0</v>
      </c>
      <c r="K49" t="n">
        <v>0</v>
      </c>
      <c r="L49" t="n">
        <v>0</v>
      </c>
      <c r="M49" t="n">
        <v>0</v>
      </c>
      <c r="N49" t="n">
        <v>0</v>
      </c>
      <c r="O49" t="n">
        <v>0</v>
      </c>
      <c r="P49" t="n">
        <v>0</v>
      </c>
      <c r="Q49" t="n">
        <v>0</v>
      </c>
      <c r="R49" s="2" t="inlineStr"/>
    </row>
    <row r="50" ht="15" customHeight="1">
      <c r="A50" t="inlineStr">
        <is>
          <t>A 44869-2025</t>
        </is>
      </c>
      <c r="B50" s="1" t="n">
        <v>45918.46758101852</v>
      </c>
      <c r="C50" s="1" t="n">
        <v>45983</v>
      </c>
      <c r="D50" t="inlineStr">
        <is>
          <t>UPPSALA LÄN</t>
        </is>
      </c>
      <c r="E50" t="inlineStr">
        <is>
          <t>KNIVSTA</t>
        </is>
      </c>
      <c r="G50" t="n">
        <v>17.1</v>
      </c>
      <c r="H50" t="n">
        <v>0</v>
      </c>
      <c r="I50" t="n">
        <v>0</v>
      </c>
      <c r="J50" t="n">
        <v>0</v>
      </c>
      <c r="K50" t="n">
        <v>0</v>
      </c>
      <c r="L50" t="n">
        <v>0</v>
      </c>
      <c r="M50" t="n">
        <v>0</v>
      </c>
      <c r="N50" t="n">
        <v>0</v>
      </c>
      <c r="O50" t="n">
        <v>0</v>
      </c>
      <c r="P50" t="n">
        <v>0</v>
      </c>
      <c r="Q50" t="n">
        <v>0</v>
      </c>
      <c r="R50" s="2" t="inlineStr"/>
    </row>
    <row r="51" ht="15" customHeight="1">
      <c r="A51" t="inlineStr">
        <is>
          <t>A 11450-2023</t>
        </is>
      </c>
      <c r="B51" s="1" t="n">
        <v>44993</v>
      </c>
      <c r="C51" s="1" t="n">
        <v>45983</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53898-2025</t>
        </is>
      </c>
      <c r="B52" s="1" t="n">
        <v>45961.43056712963</v>
      </c>
      <c r="C52" s="1" t="n">
        <v>45983</v>
      </c>
      <c r="D52" t="inlineStr">
        <is>
          <t>UPPSALA LÄN</t>
        </is>
      </c>
      <c r="E52" t="inlineStr">
        <is>
          <t>KNIVSTA</t>
        </is>
      </c>
      <c r="G52" t="n">
        <v>4.5</v>
      </c>
      <c r="H52" t="n">
        <v>0</v>
      </c>
      <c r="I52" t="n">
        <v>0</v>
      </c>
      <c r="J52" t="n">
        <v>0</v>
      </c>
      <c r="K52" t="n">
        <v>0</v>
      </c>
      <c r="L52" t="n">
        <v>0</v>
      </c>
      <c r="M52" t="n">
        <v>0</v>
      </c>
      <c r="N52" t="n">
        <v>0</v>
      </c>
      <c r="O52" t="n">
        <v>0</v>
      </c>
      <c r="P52" t="n">
        <v>0</v>
      </c>
      <c r="Q52" t="n">
        <v>0</v>
      </c>
      <c r="R52" s="2" t="inlineStr"/>
    </row>
    <row r="53" ht="15" customHeight="1">
      <c r="A53" t="inlineStr">
        <is>
          <t>A 45453-2025</t>
        </is>
      </c>
      <c r="B53" s="1" t="n">
        <v>45922.48702546296</v>
      </c>
      <c r="C53" s="1" t="n">
        <v>45983</v>
      </c>
      <c r="D53" t="inlineStr">
        <is>
          <t>UPPSALA LÄN</t>
        </is>
      </c>
      <c r="E53" t="inlineStr">
        <is>
          <t>KNIVSTA</t>
        </is>
      </c>
      <c r="G53" t="n">
        <v>0.9</v>
      </c>
      <c r="H53" t="n">
        <v>0</v>
      </c>
      <c r="I53" t="n">
        <v>0</v>
      </c>
      <c r="J53" t="n">
        <v>0</v>
      </c>
      <c r="K53" t="n">
        <v>0</v>
      </c>
      <c r="L53" t="n">
        <v>0</v>
      </c>
      <c r="M53" t="n">
        <v>0</v>
      </c>
      <c r="N53" t="n">
        <v>0</v>
      </c>
      <c r="O53" t="n">
        <v>0</v>
      </c>
      <c r="P53" t="n">
        <v>0</v>
      </c>
      <c r="Q53" t="n">
        <v>0</v>
      </c>
      <c r="R53" s="2" t="inlineStr"/>
    </row>
    <row r="54" ht="15" customHeight="1">
      <c r="A54" t="inlineStr">
        <is>
          <t>A 31875-2022</t>
        </is>
      </c>
      <c r="B54" s="1" t="n">
        <v>44777</v>
      </c>
      <c r="C54" s="1" t="n">
        <v>45983</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33975-2025</t>
        </is>
      </c>
      <c r="B55" s="1" t="n">
        <v>45843.30805555556</v>
      </c>
      <c r="C55" s="1" t="n">
        <v>45983</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33974-2025</t>
        </is>
      </c>
      <c r="B56" s="1" t="n">
        <v>45843.305625</v>
      </c>
      <c r="C56" s="1" t="n">
        <v>45983</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33976-2025</t>
        </is>
      </c>
      <c r="B57" s="1" t="n">
        <v>45843</v>
      </c>
      <c r="C57" s="1" t="n">
        <v>45983</v>
      </c>
      <c r="D57" t="inlineStr">
        <is>
          <t>UPPSALA LÄN</t>
        </is>
      </c>
      <c r="E57" t="inlineStr">
        <is>
          <t>KNIVSTA</t>
        </is>
      </c>
      <c r="G57" t="n">
        <v>6.1</v>
      </c>
      <c r="H57" t="n">
        <v>0</v>
      </c>
      <c r="I57" t="n">
        <v>0</v>
      </c>
      <c r="J57" t="n">
        <v>0</v>
      </c>
      <c r="K57" t="n">
        <v>0</v>
      </c>
      <c r="L57" t="n">
        <v>0</v>
      </c>
      <c r="M57" t="n">
        <v>0</v>
      </c>
      <c r="N57" t="n">
        <v>0</v>
      </c>
      <c r="O57" t="n">
        <v>0</v>
      </c>
      <c r="P57" t="n">
        <v>0</v>
      </c>
      <c r="Q57" t="n">
        <v>0</v>
      </c>
      <c r="R57" s="2" t="inlineStr"/>
    </row>
    <row r="58" ht="15" customHeight="1">
      <c r="A58" t="inlineStr">
        <is>
          <t>A 13040-2025</t>
        </is>
      </c>
      <c r="B58" s="1" t="n">
        <v>45734</v>
      </c>
      <c r="C58" s="1" t="n">
        <v>45983</v>
      </c>
      <c r="D58" t="inlineStr">
        <is>
          <t>UPPSALA LÄN</t>
        </is>
      </c>
      <c r="E58" t="inlineStr">
        <is>
          <t>KNIVSTA</t>
        </is>
      </c>
      <c r="F58" t="inlineStr">
        <is>
          <t>Allmännings- och besparingsskogar</t>
        </is>
      </c>
      <c r="G58" t="n">
        <v>1.6</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45983</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45983</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35318-2025</t>
        </is>
      </c>
      <c r="B61" s="1" t="n">
        <v>45854.47917824074</v>
      </c>
      <c r="C61" s="1" t="n">
        <v>45983</v>
      </c>
      <c r="D61" t="inlineStr">
        <is>
          <t>UPPSALA LÄN</t>
        </is>
      </c>
      <c r="E61" t="inlineStr">
        <is>
          <t>KNIVSTA</t>
        </is>
      </c>
      <c r="F61" t="inlineStr">
        <is>
          <t>Holmen skog AB</t>
        </is>
      </c>
      <c r="G61" t="n">
        <v>2.2</v>
      </c>
      <c r="H61" t="n">
        <v>0</v>
      </c>
      <c r="I61" t="n">
        <v>0</v>
      </c>
      <c r="J61" t="n">
        <v>0</v>
      </c>
      <c r="K61" t="n">
        <v>0</v>
      </c>
      <c r="L61" t="n">
        <v>0</v>
      </c>
      <c r="M61" t="n">
        <v>0</v>
      </c>
      <c r="N61" t="n">
        <v>0</v>
      </c>
      <c r="O61" t="n">
        <v>0</v>
      </c>
      <c r="P61" t="n">
        <v>0</v>
      </c>
      <c r="Q61" t="n">
        <v>0</v>
      </c>
      <c r="R61" s="2" t="inlineStr"/>
    </row>
    <row r="62" ht="15" customHeight="1">
      <c r="A62" t="inlineStr">
        <is>
          <t>A 23239-2023</t>
        </is>
      </c>
      <c r="B62" s="1" t="n">
        <v>45075</v>
      </c>
      <c r="C62" s="1" t="n">
        <v>45983</v>
      </c>
      <c r="D62" t="inlineStr">
        <is>
          <t>UPPSALA LÄN</t>
        </is>
      </c>
      <c r="E62" t="inlineStr">
        <is>
          <t>KNIVSTA</t>
        </is>
      </c>
      <c r="G62" t="n">
        <v>1.8</v>
      </c>
      <c r="H62" t="n">
        <v>0</v>
      </c>
      <c r="I62" t="n">
        <v>0</v>
      </c>
      <c r="J62" t="n">
        <v>0</v>
      </c>
      <c r="K62" t="n">
        <v>0</v>
      </c>
      <c r="L62" t="n">
        <v>0</v>
      </c>
      <c r="M62" t="n">
        <v>0</v>
      </c>
      <c r="N62" t="n">
        <v>0</v>
      </c>
      <c r="O62" t="n">
        <v>0</v>
      </c>
      <c r="P62" t="n">
        <v>0</v>
      </c>
      <c r="Q62" t="n">
        <v>0</v>
      </c>
      <c r="R62" s="2" t="inlineStr"/>
    </row>
    <row r="63" ht="15" customHeight="1">
      <c r="A63" t="inlineStr">
        <is>
          <t>A 53812-2025</t>
        </is>
      </c>
      <c r="B63" s="1" t="n">
        <v>45960</v>
      </c>
      <c r="C63" s="1" t="n">
        <v>45983</v>
      </c>
      <c r="D63" t="inlineStr">
        <is>
          <t>UPPSALA LÄN</t>
        </is>
      </c>
      <c r="E63" t="inlineStr">
        <is>
          <t>KNIVSTA</t>
        </is>
      </c>
      <c r="G63" t="n">
        <v>5.8</v>
      </c>
      <c r="H63" t="n">
        <v>0</v>
      </c>
      <c r="I63" t="n">
        <v>0</v>
      </c>
      <c r="J63" t="n">
        <v>0</v>
      </c>
      <c r="K63" t="n">
        <v>0</v>
      </c>
      <c r="L63" t="n">
        <v>0</v>
      </c>
      <c r="M63" t="n">
        <v>0</v>
      </c>
      <c r="N63" t="n">
        <v>0</v>
      </c>
      <c r="O63" t="n">
        <v>0</v>
      </c>
      <c r="P63" t="n">
        <v>0</v>
      </c>
      <c r="Q63" t="n">
        <v>0</v>
      </c>
      <c r="R63" s="2" t="inlineStr"/>
    </row>
    <row r="64" ht="15" customHeight="1">
      <c r="A64" t="inlineStr">
        <is>
          <t>A 36470-2025</t>
        </is>
      </c>
      <c r="B64" s="1" t="n">
        <v>45869.47915509259</v>
      </c>
      <c r="C64" s="1" t="n">
        <v>45983</v>
      </c>
      <c r="D64" t="inlineStr">
        <is>
          <t>UPPSALA LÄN</t>
        </is>
      </c>
      <c r="E64" t="inlineStr">
        <is>
          <t>KNIVSTA</t>
        </is>
      </c>
      <c r="G64" t="n">
        <v>3.6</v>
      </c>
      <c r="H64" t="n">
        <v>0</v>
      </c>
      <c r="I64" t="n">
        <v>0</v>
      </c>
      <c r="J64" t="n">
        <v>0</v>
      </c>
      <c r="K64" t="n">
        <v>0</v>
      </c>
      <c r="L64" t="n">
        <v>0</v>
      </c>
      <c r="M64" t="n">
        <v>0</v>
      </c>
      <c r="N64" t="n">
        <v>0</v>
      </c>
      <c r="O64" t="n">
        <v>0</v>
      </c>
      <c r="P64" t="n">
        <v>0</v>
      </c>
      <c r="Q64" t="n">
        <v>0</v>
      </c>
      <c r="R64" s="2" t="inlineStr"/>
    </row>
    <row r="65" ht="15" customHeight="1">
      <c r="A65" t="inlineStr">
        <is>
          <t>A 36472-2025</t>
        </is>
      </c>
      <c r="B65" s="1" t="n">
        <v>45869.48162037037</v>
      </c>
      <c r="C65" s="1" t="n">
        <v>45983</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36473-2025</t>
        </is>
      </c>
      <c r="B66" s="1" t="n">
        <v>45869.48333333333</v>
      </c>
      <c r="C66" s="1" t="n">
        <v>45983</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47803-2025</t>
        </is>
      </c>
      <c r="B67" s="1" t="n">
        <v>45931</v>
      </c>
      <c r="C67" s="1" t="n">
        <v>45983</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49090-2025</t>
        </is>
      </c>
      <c r="B68" s="1" t="n">
        <v>45937</v>
      </c>
      <c r="C68" s="1" t="n">
        <v>45983</v>
      </c>
      <c r="D68" t="inlineStr">
        <is>
          <t>UPPSALA LÄN</t>
        </is>
      </c>
      <c r="E68" t="inlineStr">
        <is>
          <t>KNIVSTA</t>
        </is>
      </c>
      <c r="G68" t="n">
        <v>4.1</v>
      </c>
      <c r="H68" t="n">
        <v>0</v>
      </c>
      <c r="I68" t="n">
        <v>0</v>
      </c>
      <c r="J68" t="n">
        <v>0</v>
      </c>
      <c r="K68" t="n">
        <v>0</v>
      </c>
      <c r="L68" t="n">
        <v>0</v>
      </c>
      <c r="M68" t="n">
        <v>0</v>
      </c>
      <c r="N68" t="n">
        <v>0</v>
      </c>
      <c r="O68" t="n">
        <v>0</v>
      </c>
      <c r="P68" t="n">
        <v>0</v>
      </c>
      <c r="Q68" t="n">
        <v>0</v>
      </c>
      <c r="R68" s="2" t="inlineStr"/>
    </row>
    <row r="69" ht="15" customHeight="1">
      <c r="A69" t="inlineStr">
        <is>
          <t>A 57631-2025</t>
        </is>
      </c>
      <c r="B69" s="1" t="n">
        <v>45981.34748842593</v>
      </c>
      <c r="C69" s="1" t="n">
        <v>45983</v>
      </c>
      <c r="D69" t="inlineStr">
        <is>
          <t>UPPSALA LÄN</t>
        </is>
      </c>
      <c r="E69" t="inlineStr">
        <is>
          <t>KNIVSTA</t>
        </is>
      </c>
      <c r="G69" t="n">
        <v>3.4</v>
      </c>
      <c r="H69" t="n">
        <v>0</v>
      </c>
      <c r="I69" t="n">
        <v>0</v>
      </c>
      <c r="J69" t="n">
        <v>0</v>
      </c>
      <c r="K69" t="n">
        <v>0</v>
      </c>
      <c r="L69" t="n">
        <v>0</v>
      </c>
      <c r="M69" t="n">
        <v>0</v>
      </c>
      <c r="N69" t="n">
        <v>0</v>
      </c>
      <c r="O69" t="n">
        <v>0</v>
      </c>
      <c r="P69" t="n">
        <v>0</v>
      </c>
      <c r="Q69" t="n">
        <v>0</v>
      </c>
      <c r="R69" s="2" t="inlineStr"/>
    </row>
    <row r="70" ht="15" customHeight="1">
      <c r="A70" t="inlineStr">
        <is>
          <t>A 66293-2021</t>
        </is>
      </c>
      <c r="B70" s="1" t="n">
        <v>44518</v>
      </c>
      <c r="C70" s="1" t="n">
        <v>45983</v>
      </c>
      <c r="D70" t="inlineStr">
        <is>
          <t>UPPSALA LÄN</t>
        </is>
      </c>
      <c r="E70" t="inlineStr">
        <is>
          <t>KNIVSTA</t>
        </is>
      </c>
      <c r="G70" t="n">
        <v>2.6</v>
      </c>
      <c r="H70" t="n">
        <v>0</v>
      </c>
      <c r="I70" t="n">
        <v>0</v>
      </c>
      <c r="J70" t="n">
        <v>0</v>
      </c>
      <c r="K70" t="n">
        <v>0</v>
      </c>
      <c r="L70" t="n">
        <v>0</v>
      </c>
      <c r="M70" t="n">
        <v>0</v>
      </c>
      <c r="N70" t="n">
        <v>0</v>
      </c>
      <c r="O70" t="n">
        <v>0</v>
      </c>
      <c r="P70" t="n">
        <v>0</v>
      </c>
      <c r="Q70" t="n">
        <v>0</v>
      </c>
      <c r="R70" s="2" t="inlineStr"/>
    </row>
    <row r="71" ht="15" customHeight="1">
      <c r="A71" t="inlineStr">
        <is>
          <t>A 68257-2020</t>
        </is>
      </c>
      <c r="B71" s="1" t="n">
        <v>44182</v>
      </c>
      <c r="C71" s="1" t="n">
        <v>45983</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66284-2021</t>
        </is>
      </c>
      <c r="B72" s="1" t="n">
        <v>44518</v>
      </c>
      <c r="C72" s="1" t="n">
        <v>45983</v>
      </c>
      <c r="D72" t="inlineStr">
        <is>
          <t>UPPSALA LÄN</t>
        </is>
      </c>
      <c r="E72" t="inlineStr">
        <is>
          <t>KNIVSTA</t>
        </is>
      </c>
      <c r="G72" t="n">
        <v>6.9</v>
      </c>
      <c r="H72" t="n">
        <v>0</v>
      </c>
      <c r="I72" t="n">
        <v>0</v>
      </c>
      <c r="J72" t="n">
        <v>0</v>
      </c>
      <c r="K72" t="n">
        <v>0</v>
      </c>
      <c r="L72" t="n">
        <v>0</v>
      </c>
      <c r="M72" t="n">
        <v>0</v>
      </c>
      <c r="N72" t="n">
        <v>0</v>
      </c>
      <c r="O72" t="n">
        <v>0</v>
      </c>
      <c r="P72" t="n">
        <v>0</v>
      </c>
      <c r="Q72" t="n">
        <v>0</v>
      </c>
      <c r="R72" s="2" t="inlineStr"/>
    </row>
    <row r="73" ht="15" customHeight="1">
      <c r="A73" t="inlineStr">
        <is>
          <t>A 19676-2025</t>
        </is>
      </c>
      <c r="B73" s="1" t="n">
        <v>45770</v>
      </c>
      <c r="C73" s="1" t="n">
        <v>45983</v>
      </c>
      <c r="D73" t="inlineStr">
        <is>
          <t>UPPSALA LÄN</t>
        </is>
      </c>
      <c r="E73" t="inlineStr">
        <is>
          <t>KNIVSTA</t>
        </is>
      </c>
      <c r="G73" t="n">
        <v>0.9</v>
      </c>
      <c r="H73" t="n">
        <v>0</v>
      </c>
      <c r="I73" t="n">
        <v>0</v>
      </c>
      <c r="J73" t="n">
        <v>0</v>
      </c>
      <c r="K73" t="n">
        <v>0</v>
      </c>
      <c r="L73" t="n">
        <v>0</v>
      </c>
      <c r="M73" t="n">
        <v>0</v>
      </c>
      <c r="N73" t="n">
        <v>0</v>
      </c>
      <c r="O73" t="n">
        <v>0</v>
      </c>
      <c r="P73" t="n">
        <v>0</v>
      </c>
      <c r="Q73" t="n">
        <v>0</v>
      </c>
      <c r="R73" s="2" t="inlineStr"/>
    </row>
    <row r="74" ht="15" customHeight="1">
      <c r="A74" t="inlineStr">
        <is>
          <t>A 8343-2024</t>
        </is>
      </c>
      <c r="B74" s="1" t="n">
        <v>45352</v>
      </c>
      <c r="C74" s="1" t="n">
        <v>45983</v>
      </c>
      <c r="D74" t="inlineStr">
        <is>
          <t>UPPSALA LÄN</t>
        </is>
      </c>
      <c r="E74" t="inlineStr">
        <is>
          <t>KNIVSTA</t>
        </is>
      </c>
      <c r="F74" t="inlineStr">
        <is>
          <t>Holmen skog AB</t>
        </is>
      </c>
      <c r="G74" t="n">
        <v>1.4</v>
      </c>
      <c r="H74" t="n">
        <v>0</v>
      </c>
      <c r="I74" t="n">
        <v>0</v>
      </c>
      <c r="J74" t="n">
        <v>0</v>
      </c>
      <c r="K74" t="n">
        <v>0</v>
      </c>
      <c r="L74" t="n">
        <v>0</v>
      </c>
      <c r="M74" t="n">
        <v>0</v>
      </c>
      <c r="N74" t="n">
        <v>0</v>
      </c>
      <c r="O74" t="n">
        <v>0</v>
      </c>
      <c r="P74" t="n">
        <v>0</v>
      </c>
      <c r="Q74" t="n">
        <v>0</v>
      </c>
      <c r="R74" s="2" t="inlineStr"/>
    </row>
    <row r="75" ht="15" customHeight="1">
      <c r="A75" t="inlineStr">
        <is>
          <t>A 30627-2023</t>
        </is>
      </c>
      <c r="B75" s="1" t="n">
        <v>45112</v>
      </c>
      <c r="C75" s="1" t="n">
        <v>45983</v>
      </c>
      <c r="D75" t="inlineStr">
        <is>
          <t>UPPSALA LÄN</t>
        </is>
      </c>
      <c r="E75" t="inlineStr">
        <is>
          <t>KNIVSTA</t>
        </is>
      </c>
      <c r="F75" t="inlineStr">
        <is>
          <t>Holmen skog AB</t>
        </is>
      </c>
      <c r="G75" t="n">
        <v>1.6</v>
      </c>
      <c r="H75" t="n">
        <v>0</v>
      </c>
      <c r="I75" t="n">
        <v>0</v>
      </c>
      <c r="J75" t="n">
        <v>0</v>
      </c>
      <c r="K75" t="n">
        <v>0</v>
      </c>
      <c r="L75" t="n">
        <v>0</v>
      </c>
      <c r="M75" t="n">
        <v>0</v>
      </c>
      <c r="N75" t="n">
        <v>0</v>
      </c>
      <c r="O75" t="n">
        <v>0</v>
      </c>
      <c r="P75" t="n">
        <v>0</v>
      </c>
      <c r="Q75" t="n">
        <v>0</v>
      </c>
      <c r="R75" s="2" t="inlineStr"/>
    </row>
    <row r="76" ht="15" customHeight="1">
      <c r="A76" t="inlineStr">
        <is>
          <t>A 1629-2024</t>
        </is>
      </c>
      <c r="B76" s="1" t="n">
        <v>45306</v>
      </c>
      <c r="C76" s="1" t="n">
        <v>45983</v>
      </c>
      <c r="D76" t="inlineStr">
        <is>
          <t>UPPSALA LÄN</t>
        </is>
      </c>
      <c r="E76" t="inlineStr">
        <is>
          <t>KNIVSTA</t>
        </is>
      </c>
      <c r="F76" t="inlineStr">
        <is>
          <t>Holmen skog AB</t>
        </is>
      </c>
      <c r="G76" t="n">
        <v>3.6</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45983</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3191-2024</t>
        </is>
      </c>
      <c r="B78" s="1" t="n">
        <v>45316.67186342592</v>
      </c>
      <c r="C78" s="1" t="n">
        <v>45983</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45525-2023</t>
        </is>
      </c>
      <c r="B79" s="1" t="n">
        <v>45194</v>
      </c>
      <c r="C79" s="1" t="n">
        <v>45983</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16773-2022</t>
        </is>
      </c>
      <c r="B80" s="1" t="n">
        <v>44673</v>
      </c>
      <c r="C80" s="1" t="n">
        <v>45983</v>
      </c>
      <c r="D80" t="inlineStr">
        <is>
          <t>UPPSALA LÄN</t>
        </is>
      </c>
      <c r="E80" t="inlineStr">
        <is>
          <t>KNIVSTA</t>
        </is>
      </c>
      <c r="G80" t="n">
        <v>1.9</v>
      </c>
      <c r="H80" t="n">
        <v>0</v>
      </c>
      <c r="I80" t="n">
        <v>0</v>
      </c>
      <c r="J80" t="n">
        <v>0</v>
      </c>
      <c r="K80" t="n">
        <v>0</v>
      </c>
      <c r="L80" t="n">
        <v>0</v>
      </c>
      <c r="M80" t="n">
        <v>0</v>
      </c>
      <c r="N80" t="n">
        <v>0</v>
      </c>
      <c r="O80" t="n">
        <v>0</v>
      </c>
      <c r="P80" t="n">
        <v>0</v>
      </c>
      <c r="Q80" t="n">
        <v>0</v>
      </c>
      <c r="R80" s="2" t="inlineStr"/>
    </row>
    <row r="81" ht="15" customHeight="1">
      <c r="A81" t="inlineStr">
        <is>
          <t>A 30764-2023</t>
        </is>
      </c>
      <c r="B81" s="1" t="n">
        <v>45112</v>
      </c>
      <c r="C81" s="1" t="n">
        <v>45983</v>
      </c>
      <c r="D81" t="inlineStr">
        <is>
          <t>UPPSALA LÄN</t>
        </is>
      </c>
      <c r="E81" t="inlineStr">
        <is>
          <t>KNIVSTA</t>
        </is>
      </c>
      <c r="F81" t="inlineStr">
        <is>
          <t>Holmen skog AB</t>
        </is>
      </c>
      <c r="G81" t="n">
        <v>0.9</v>
      </c>
      <c r="H81" t="n">
        <v>0</v>
      </c>
      <c r="I81" t="n">
        <v>0</v>
      </c>
      <c r="J81" t="n">
        <v>0</v>
      </c>
      <c r="K81" t="n">
        <v>0</v>
      </c>
      <c r="L81" t="n">
        <v>0</v>
      </c>
      <c r="M81" t="n">
        <v>0</v>
      </c>
      <c r="N81" t="n">
        <v>0</v>
      </c>
      <c r="O81" t="n">
        <v>0</v>
      </c>
      <c r="P81" t="n">
        <v>0</v>
      </c>
      <c r="Q81" t="n">
        <v>0</v>
      </c>
      <c r="R81" s="2" t="inlineStr"/>
    </row>
    <row r="82" ht="15" customHeight="1">
      <c r="A82" t="inlineStr">
        <is>
          <t>A 51849-2023</t>
        </is>
      </c>
      <c r="B82" s="1" t="n">
        <v>45223.34391203704</v>
      </c>
      <c r="C82" s="1" t="n">
        <v>45983</v>
      </c>
      <c r="D82" t="inlineStr">
        <is>
          <t>UPPSALA LÄN</t>
        </is>
      </c>
      <c r="E82" t="inlineStr">
        <is>
          <t>KNIVSTA</t>
        </is>
      </c>
      <c r="G82" t="n">
        <v>16.3</v>
      </c>
      <c r="H82" t="n">
        <v>0</v>
      </c>
      <c r="I82" t="n">
        <v>0</v>
      </c>
      <c r="J82" t="n">
        <v>0</v>
      </c>
      <c r="K82" t="n">
        <v>0</v>
      </c>
      <c r="L82" t="n">
        <v>0</v>
      </c>
      <c r="M82" t="n">
        <v>0</v>
      </c>
      <c r="N82" t="n">
        <v>0</v>
      </c>
      <c r="O82" t="n">
        <v>0</v>
      </c>
      <c r="P82" t="n">
        <v>0</v>
      </c>
      <c r="Q82" t="n">
        <v>0</v>
      </c>
      <c r="R82" s="2" t="inlineStr"/>
    </row>
    <row r="83" ht="15" customHeight="1">
      <c r="A83" t="inlineStr">
        <is>
          <t>A 60018-2024</t>
        </is>
      </c>
      <c r="B83" s="1" t="n">
        <v>45642</v>
      </c>
      <c r="C83" s="1" t="n">
        <v>45983</v>
      </c>
      <c r="D83" t="inlineStr">
        <is>
          <t>UPPSALA LÄN</t>
        </is>
      </c>
      <c r="E83" t="inlineStr">
        <is>
          <t>KNIVSTA</t>
        </is>
      </c>
      <c r="G83" t="n">
        <v>4.1</v>
      </c>
      <c r="H83" t="n">
        <v>0</v>
      </c>
      <c r="I83" t="n">
        <v>0</v>
      </c>
      <c r="J83" t="n">
        <v>0</v>
      </c>
      <c r="K83" t="n">
        <v>0</v>
      </c>
      <c r="L83" t="n">
        <v>0</v>
      </c>
      <c r="M83" t="n">
        <v>0</v>
      </c>
      <c r="N83" t="n">
        <v>0</v>
      </c>
      <c r="O83" t="n">
        <v>0</v>
      </c>
      <c r="P83" t="n">
        <v>0</v>
      </c>
      <c r="Q83" t="n">
        <v>0</v>
      </c>
      <c r="R83" s="2" t="inlineStr"/>
    </row>
    <row r="84" ht="15" customHeight="1">
      <c r="A84" t="inlineStr">
        <is>
          <t>A 17333-2024</t>
        </is>
      </c>
      <c r="B84" s="1" t="n">
        <v>45414.5625462963</v>
      </c>
      <c r="C84" s="1" t="n">
        <v>45983</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1791-2024</t>
        </is>
      </c>
      <c r="B85" s="1" t="n">
        <v>45307.574375</v>
      </c>
      <c r="C85" s="1" t="n">
        <v>45983</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66305-2021</t>
        </is>
      </c>
      <c r="B86" s="1" t="n">
        <v>44518</v>
      </c>
      <c r="C86" s="1" t="n">
        <v>45983</v>
      </c>
      <c r="D86" t="inlineStr">
        <is>
          <t>UPPSALA LÄN</t>
        </is>
      </c>
      <c r="E86" t="inlineStr">
        <is>
          <t>KNIVSTA</t>
        </is>
      </c>
      <c r="G86" t="n">
        <v>8.300000000000001</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45983</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11452-2023</t>
        </is>
      </c>
      <c r="B88" s="1" t="n">
        <v>44993</v>
      </c>
      <c r="C88" s="1" t="n">
        <v>45983</v>
      </c>
      <c r="D88" t="inlineStr">
        <is>
          <t>UPPSALA LÄN</t>
        </is>
      </c>
      <c r="E88" t="inlineStr">
        <is>
          <t>KNIVSTA</t>
        </is>
      </c>
      <c r="G88" t="n">
        <v>2.5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45983</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45983</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45983</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45983</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20505-2021</t>
        </is>
      </c>
      <c r="B93" s="1" t="n">
        <v>44313</v>
      </c>
      <c r="C93" s="1" t="n">
        <v>45983</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2629-2025</t>
        </is>
      </c>
      <c r="B94" s="1" t="n">
        <v>45675.6953587963</v>
      </c>
      <c r="C94" s="1" t="n">
        <v>45983</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5320-2023</t>
        </is>
      </c>
      <c r="B95" s="1" t="n">
        <v>44959</v>
      </c>
      <c r="C95" s="1" t="n">
        <v>45983</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5455-2025</t>
        </is>
      </c>
      <c r="B96" s="1" t="n">
        <v>45693</v>
      </c>
      <c r="C96" s="1" t="n">
        <v>45983</v>
      </c>
      <c r="D96" t="inlineStr">
        <is>
          <t>UPPSALA LÄN</t>
        </is>
      </c>
      <c r="E96" t="inlineStr">
        <is>
          <t>KNIVSTA</t>
        </is>
      </c>
      <c r="G96" t="n">
        <v>17.1</v>
      </c>
      <c r="H96" t="n">
        <v>0</v>
      </c>
      <c r="I96" t="n">
        <v>0</v>
      </c>
      <c r="J96" t="n">
        <v>0</v>
      </c>
      <c r="K96" t="n">
        <v>0</v>
      </c>
      <c r="L96" t="n">
        <v>0</v>
      </c>
      <c r="M96" t="n">
        <v>0</v>
      </c>
      <c r="N96" t="n">
        <v>0</v>
      </c>
      <c r="O96" t="n">
        <v>0</v>
      </c>
      <c r="P96" t="n">
        <v>0</v>
      </c>
      <c r="Q96" t="n">
        <v>0</v>
      </c>
      <c r="R96" s="2" t="inlineStr"/>
    </row>
    <row r="97" ht="15" customHeight="1">
      <c r="A97" t="inlineStr">
        <is>
          <t>A 45916-2022</t>
        </is>
      </c>
      <c r="B97" s="1" t="n">
        <v>44846</v>
      </c>
      <c r="C97" s="1" t="n">
        <v>45983</v>
      </c>
      <c r="D97" t="inlineStr">
        <is>
          <t>UPPSALA LÄN</t>
        </is>
      </c>
      <c r="E97" t="inlineStr">
        <is>
          <t>KNIVSTA</t>
        </is>
      </c>
      <c r="G97" t="n">
        <v>3.8</v>
      </c>
      <c r="H97" t="n">
        <v>0</v>
      </c>
      <c r="I97" t="n">
        <v>0</v>
      </c>
      <c r="J97" t="n">
        <v>0</v>
      </c>
      <c r="K97" t="n">
        <v>0</v>
      </c>
      <c r="L97" t="n">
        <v>0</v>
      </c>
      <c r="M97" t="n">
        <v>0</v>
      </c>
      <c r="N97" t="n">
        <v>0</v>
      </c>
      <c r="O97" t="n">
        <v>0</v>
      </c>
      <c r="P97" t="n">
        <v>0</v>
      </c>
      <c r="Q97" t="n">
        <v>0</v>
      </c>
      <c r="R97" s="2" t="inlineStr"/>
    </row>
    <row r="98" ht="15" customHeight="1">
      <c r="A98" t="inlineStr">
        <is>
          <t>A 16396-2025</t>
        </is>
      </c>
      <c r="B98" s="1" t="n">
        <v>45751.44219907407</v>
      </c>
      <c r="C98" s="1" t="n">
        <v>45983</v>
      </c>
      <c r="D98" t="inlineStr">
        <is>
          <t>UPPSALA LÄN</t>
        </is>
      </c>
      <c r="E98" t="inlineStr">
        <is>
          <t>KNIVSTA</t>
        </is>
      </c>
      <c r="G98" t="n">
        <v>5.1</v>
      </c>
      <c r="H98" t="n">
        <v>0</v>
      </c>
      <c r="I98" t="n">
        <v>0</v>
      </c>
      <c r="J98" t="n">
        <v>0</v>
      </c>
      <c r="K98" t="n">
        <v>0</v>
      </c>
      <c r="L98" t="n">
        <v>0</v>
      </c>
      <c r="M98" t="n">
        <v>0</v>
      </c>
      <c r="N98" t="n">
        <v>0</v>
      </c>
      <c r="O98" t="n">
        <v>0</v>
      </c>
      <c r="P98" t="n">
        <v>0</v>
      </c>
      <c r="Q98" t="n">
        <v>0</v>
      </c>
      <c r="R98" s="2" t="inlineStr"/>
    </row>
    <row r="99" ht="15" customHeight="1">
      <c r="A99" t="inlineStr">
        <is>
          <t>A 17091-2023</t>
        </is>
      </c>
      <c r="B99" s="1" t="n">
        <v>45034.53554398148</v>
      </c>
      <c r="C99" s="1" t="n">
        <v>45983</v>
      </c>
      <c r="D99" t="inlineStr">
        <is>
          <t>UPPSALA LÄN</t>
        </is>
      </c>
      <c r="E99" t="inlineStr">
        <is>
          <t>KNIVSTA</t>
        </is>
      </c>
      <c r="G99" t="n">
        <v>0.8</v>
      </c>
      <c r="H99" t="n">
        <v>0</v>
      </c>
      <c r="I99" t="n">
        <v>0</v>
      </c>
      <c r="J99" t="n">
        <v>0</v>
      </c>
      <c r="K99" t="n">
        <v>0</v>
      </c>
      <c r="L99" t="n">
        <v>0</v>
      </c>
      <c r="M99" t="n">
        <v>0</v>
      </c>
      <c r="N99" t="n">
        <v>0</v>
      </c>
      <c r="O99" t="n">
        <v>0</v>
      </c>
      <c r="P99" t="n">
        <v>0</v>
      </c>
      <c r="Q99" t="n">
        <v>0</v>
      </c>
      <c r="R99" s="2" t="inlineStr"/>
    </row>
    <row r="100" ht="15" customHeight="1">
      <c r="A100" t="inlineStr">
        <is>
          <t>A 2171-2024</t>
        </is>
      </c>
      <c r="B100" s="1" t="n">
        <v>45309</v>
      </c>
      <c r="C100" s="1" t="n">
        <v>45983</v>
      </c>
      <c r="D100" t="inlineStr">
        <is>
          <t>UPPSALA LÄN</t>
        </is>
      </c>
      <c r="E100" t="inlineStr">
        <is>
          <t>KNIVSTA</t>
        </is>
      </c>
      <c r="F100" t="inlineStr">
        <is>
          <t>Holmen skog AB</t>
        </is>
      </c>
      <c r="G100" t="n">
        <v>3.3</v>
      </c>
      <c r="H100" t="n">
        <v>0</v>
      </c>
      <c r="I100" t="n">
        <v>0</v>
      </c>
      <c r="J100" t="n">
        <v>0</v>
      </c>
      <c r="K100" t="n">
        <v>0</v>
      </c>
      <c r="L100" t="n">
        <v>0</v>
      </c>
      <c r="M100" t="n">
        <v>0</v>
      </c>
      <c r="N100" t="n">
        <v>0</v>
      </c>
      <c r="O100" t="n">
        <v>0</v>
      </c>
      <c r="P100" t="n">
        <v>0</v>
      </c>
      <c r="Q100" t="n">
        <v>0</v>
      </c>
      <c r="R100" s="2" t="inlineStr"/>
    </row>
    <row r="101" ht="15" customHeight="1">
      <c r="A101" t="inlineStr">
        <is>
          <t>A 21130-2025</t>
        </is>
      </c>
      <c r="B101" s="1" t="n">
        <v>45778.35857638889</v>
      </c>
      <c r="C101" s="1" t="n">
        <v>45983</v>
      </c>
      <c r="D101" t="inlineStr">
        <is>
          <t>UPPSALA LÄN</t>
        </is>
      </c>
      <c r="E101" t="inlineStr">
        <is>
          <t>KNIVSTA</t>
        </is>
      </c>
      <c r="G101" t="n">
        <v>2.2</v>
      </c>
      <c r="H101" t="n">
        <v>0</v>
      </c>
      <c r="I101" t="n">
        <v>0</v>
      </c>
      <c r="J101" t="n">
        <v>0</v>
      </c>
      <c r="K101" t="n">
        <v>0</v>
      </c>
      <c r="L101" t="n">
        <v>0</v>
      </c>
      <c r="M101" t="n">
        <v>0</v>
      </c>
      <c r="N101" t="n">
        <v>0</v>
      </c>
      <c r="O101" t="n">
        <v>0</v>
      </c>
      <c r="P101" t="n">
        <v>0</v>
      </c>
      <c r="Q101" t="n">
        <v>0</v>
      </c>
      <c r="R101" s="2" t="inlineStr"/>
    </row>
    <row r="102">
      <c r="A102" t="inlineStr">
        <is>
          <t>A 794-2024</t>
        </is>
      </c>
      <c r="B102" s="1" t="n">
        <v>45300.58149305556</v>
      </c>
      <c r="C102" s="1" t="n">
        <v>45983</v>
      </c>
      <c r="D102" t="inlineStr">
        <is>
          <t>UPPSALA LÄN</t>
        </is>
      </c>
      <c r="E102" t="inlineStr">
        <is>
          <t>KNIVSTA</t>
        </is>
      </c>
      <c r="G102" t="n">
        <v>1.6</v>
      </c>
      <c r="H102" t="n">
        <v>0</v>
      </c>
      <c r="I102" t="n">
        <v>0</v>
      </c>
      <c r="J102" t="n">
        <v>0</v>
      </c>
      <c r="K102" t="n">
        <v>0</v>
      </c>
      <c r="L102" t="n">
        <v>0</v>
      </c>
      <c r="M102" t="n">
        <v>0</v>
      </c>
      <c r="N102" t="n">
        <v>0</v>
      </c>
      <c r="O102" t="n">
        <v>0</v>
      </c>
      <c r="P102" t="n">
        <v>0</v>
      </c>
      <c r="Q102" t="n">
        <v>0</v>
      </c>
      <c r="R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2025-11-22T10:15:10Z</dcterms:created>
  <dcterms:modified xmlns:dcterms="http://purl.org/dc/terms/" xmlns:xsi="http://www.w3.org/2001/XMLSchema-instance" xsi:type="dcterms:W3CDTF">2025-11-22T10:15:10Z</dcterms:modified>
</cp:coreProperties>
</file>