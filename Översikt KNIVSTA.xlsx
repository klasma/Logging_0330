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46036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46036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46036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46036</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46036</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46036</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46036</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61768-2025</t>
        </is>
      </c>
      <c r="B11" s="1" t="n">
        <v>46002.63940972222</v>
      </c>
      <c r="C11" s="1" t="n">
        <v>46036</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53813-2025</t>
        </is>
      </c>
      <c r="B12" s="1" t="n">
        <v>45960</v>
      </c>
      <c r="C12" s="1" t="n">
        <v>46036</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33770-2023</t>
        </is>
      </c>
      <c r="B13" s="1" t="n">
        <v>45133</v>
      </c>
      <c r="C13" s="1" t="n">
        <v>46036</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46036</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46036</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16407-2025</t>
        </is>
      </c>
      <c r="B16" s="1" t="n">
        <v>45751.45120370371</v>
      </c>
      <c r="C16" s="1" t="n">
        <v>46036</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21831-2024</t>
        </is>
      </c>
      <c r="B17" s="1" t="n">
        <v>45442</v>
      </c>
      <c r="C17" s="1" t="n">
        <v>46036</v>
      </c>
      <c r="D17" t="inlineStr">
        <is>
          <t>UPPSALA LÄN</t>
        </is>
      </c>
      <c r="E17" t="inlineStr">
        <is>
          <t>KNIVSTA</t>
        </is>
      </c>
      <c r="G17" t="n">
        <v>4.5</v>
      </c>
      <c r="H17" t="n">
        <v>1</v>
      </c>
      <c r="I17" t="n">
        <v>0</v>
      </c>
      <c r="J17" t="n">
        <v>0</v>
      </c>
      <c r="K17" t="n">
        <v>0</v>
      </c>
      <c r="L17" t="n">
        <v>0</v>
      </c>
      <c r="M17" t="n">
        <v>0</v>
      </c>
      <c r="N17" t="n">
        <v>0</v>
      </c>
      <c r="O17" t="n">
        <v>0</v>
      </c>
      <c r="P17" t="n">
        <v>0</v>
      </c>
      <c r="Q17" t="n">
        <v>1</v>
      </c>
      <c r="R17" s="2" t="inlineStr">
        <is>
          <t>Blåsippa</t>
        </is>
      </c>
      <c r="S17">
        <f>HYPERLINK("https://klasma.github.io/Logging_0330/artfynd/A 21831-2024 artfynd.xlsx", "A 21831-2024")</f>
        <v/>
      </c>
      <c r="T17">
        <f>HYPERLINK("https://klasma.github.io/Logging_0330/kartor/A 21831-2024 karta.png", "A 21831-2024")</f>
        <v/>
      </c>
      <c r="V17">
        <f>HYPERLINK("https://klasma.github.io/Logging_0330/klagomål/A 21831-2024 FSC-klagomål.docx", "A 21831-2024")</f>
        <v/>
      </c>
      <c r="W17">
        <f>HYPERLINK("https://klasma.github.io/Logging_0330/klagomålsmail/A 21831-2024 FSC-klagomål mail.docx", "A 21831-2024")</f>
        <v/>
      </c>
      <c r="X17">
        <f>HYPERLINK("https://klasma.github.io/Logging_0330/tillsyn/A 21831-2024 tillsynsbegäran.docx", "A 21831-2024")</f>
        <v/>
      </c>
      <c r="Y17">
        <f>HYPERLINK("https://klasma.github.io/Logging_0330/tillsynsmail/A 21831-2024 tillsynsbegäran mail.docx", "A 21831-2024")</f>
        <v/>
      </c>
    </row>
    <row r="18" ht="15" customHeight="1">
      <c r="A18" t="inlineStr">
        <is>
          <t>A 9725-2021</t>
        </is>
      </c>
      <c r="B18" s="1" t="n">
        <v>44252</v>
      </c>
      <c r="C18" s="1" t="n">
        <v>46036</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46036</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46036</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46036</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46036</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46036</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46036</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46036</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46036</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46036</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46036</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46036</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46036</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46036</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46036</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46036</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46036</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46036</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46036</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46036</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46036</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46036</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46036</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46036</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46036</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46036</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17333-2024</t>
        </is>
      </c>
      <c r="B44" s="1" t="n">
        <v>45414.5625462963</v>
      </c>
      <c r="C44" s="1" t="n">
        <v>46036</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46036</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45525-2023</t>
        </is>
      </c>
      <c r="B46" s="1" t="n">
        <v>45194</v>
      </c>
      <c r="C46" s="1" t="n">
        <v>46036</v>
      </c>
      <c r="D46" t="inlineStr">
        <is>
          <t>UPPSALA LÄN</t>
        </is>
      </c>
      <c r="E46" t="inlineStr">
        <is>
          <t>KNIVSTA</t>
        </is>
      </c>
      <c r="G46" t="n">
        <v>0.7</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46036</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16773-2022</t>
        </is>
      </c>
      <c r="B48" s="1" t="n">
        <v>44673</v>
      </c>
      <c r="C48" s="1" t="n">
        <v>46036</v>
      </c>
      <c r="D48" t="inlineStr">
        <is>
          <t>UPPSALA LÄN</t>
        </is>
      </c>
      <c r="E48" t="inlineStr">
        <is>
          <t>KNIVSTA</t>
        </is>
      </c>
      <c r="G48" t="n">
        <v>1.9</v>
      </c>
      <c r="H48" t="n">
        <v>0</v>
      </c>
      <c r="I48" t="n">
        <v>0</v>
      </c>
      <c r="J48" t="n">
        <v>0</v>
      </c>
      <c r="K48" t="n">
        <v>0</v>
      </c>
      <c r="L48" t="n">
        <v>0</v>
      </c>
      <c r="M48" t="n">
        <v>0</v>
      </c>
      <c r="N48" t="n">
        <v>0</v>
      </c>
      <c r="O48" t="n">
        <v>0</v>
      </c>
      <c r="P48" t="n">
        <v>0</v>
      </c>
      <c r="Q48" t="n">
        <v>0</v>
      </c>
      <c r="R48" s="2" t="inlineStr"/>
    </row>
    <row r="49" ht="15" customHeight="1">
      <c r="A49" t="inlineStr">
        <is>
          <t>A 28189-2025</t>
        </is>
      </c>
      <c r="B49" s="1" t="n">
        <v>45818.41357638889</v>
      </c>
      <c r="C49" s="1" t="n">
        <v>46036</v>
      </c>
      <c r="D49" t="inlineStr">
        <is>
          <t>UPPSALA LÄN</t>
        </is>
      </c>
      <c r="E49" t="inlineStr">
        <is>
          <t>KNIVSTA</t>
        </is>
      </c>
      <c r="G49" t="n">
        <v>7.6</v>
      </c>
      <c r="H49" t="n">
        <v>0</v>
      </c>
      <c r="I49" t="n">
        <v>0</v>
      </c>
      <c r="J49" t="n">
        <v>0</v>
      </c>
      <c r="K49" t="n">
        <v>0</v>
      </c>
      <c r="L49" t="n">
        <v>0</v>
      </c>
      <c r="M49" t="n">
        <v>0</v>
      </c>
      <c r="N49" t="n">
        <v>0</v>
      </c>
      <c r="O49" t="n">
        <v>0</v>
      </c>
      <c r="P49" t="n">
        <v>0</v>
      </c>
      <c r="Q49" t="n">
        <v>0</v>
      </c>
      <c r="R49" s="2" t="inlineStr"/>
    </row>
    <row r="50" ht="15" customHeight="1">
      <c r="A50" t="inlineStr">
        <is>
          <t>A 20505-2021</t>
        </is>
      </c>
      <c r="B50" s="1" t="n">
        <v>44313</v>
      </c>
      <c r="C50" s="1" t="n">
        <v>46036</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60018-2024</t>
        </is>
      </c>
      <c r="B51" s="1" t="n">
        <v>45642</v>
      </c>
      <c r="C51" s="1" t="n">
        <v>46036</v>
      </c>
      <c r="D51" t="inlineStr">
        <is>
          <t>UPPSALA LÄN</t>
        </is>
      </c>
      <c r="E51" t="inlineStr">
        <is>
          <t>KNIVSTA</t>
        </is>
      </c>
      <c r="G51" t="n">
        <v>4.1</v>
      </c>
      <c r="H51" t="n">
        <v>0</v>
      </c>
      <c r="I51" t="n">
        <v>0</v>
      </c>
      <c r="J51" t="n">
        <v>0</v>
      </c>
      <c r="K51" t="n">
        <v>0</v>
      </c>
      <c r="L51" t="n">
        <v>0</v>
      </c>
      <c r="M51" t="n">
        <v>0</v>
      </c>
      <c r="N51" t="n">
        <v>0</v>
      </c>
      <c r="O51" t="n">
        <v>0</v>
      </c>
      <c r="P51" t="n">
        <v>0</v>
      </c>
      <c r="Q51" t="n">
        <v>0</v>
      </c>
      <c r="R51" s="2" t="inlineStr"/>
    </row>
    <row r="52" ht="15" customHeight="1">
      <c r="A52" t="inlineStr">
        <is>
          <t>A 16396-2025</t>
        </is>
      </c>
      <c r="B52" s="1" t="n">
        <v>45751.44219907407</v>
      </c>
      <c r="C52" s="1" t="n">
        <v>46036</v>
      </c>
      <c r="D52" t="inlineStr">
        <is>
          <t>UPPSALA LÄN</t>
        </is>
      </c>
      <c r="E52" t="inlineStr">
        <is>
          <t>KNIVSTA</t>
        </is>
      </c>
      <c r="G52" t="n">
        <v>5.1</v>
      </c>
      <c r="H52" t="n">
        <v>0</v>
      </c>
      <c r="I52" t="n">
        <v>0</v>
      </c>
      <c r="J52" t="n">
        <v>0</v>
      </c>
      <c r="K52" t="n">
        <v>0</v>
      </c>
      <c r="L52" t="n">
        <v>0</v>
      </c>
      <c r="M52" t="n">
        <v>0</v>
      </c>
      <c r="N52" t="n">
        <v>0</v>
      </c>
      <c r="O52" t="n">
        <v>0</v>
      </c>
      <c r="P52" t="n">
        <v>0</v>
      </c>
      <c r="Q52" t="n">
        <v>0</v>
      </c>
      <c r="R52" s="2" t="inlineStr"/>
    </row>
    <row r="53" ht="15" customHeight="1">
      <c r="A53" t="inlineStr">
        <is>
          <t>A 33976-2025</t>
        </is>
      </c>
      <c r="B53" s="1" t="n">
        <v>45843</v>
      </c>
      <c r="C53" s="1" t="n">
        <v>46036</v>
      </c>
      <c r="D53" t="inlineStr">
        <is>
          <t>UPPSALA LÄN</t>
        </is>
      </c>
      <c r="E53" t="inlineStr">
        <is>
          <t>KNIVSTA</t>
        </is>
      </c>
      <c r="G53" t="n">
        <v>6.1</v>
      </c>
      <c r="H53" t="n">
        <v>0</v>
      </c>
      <c r="I53" t="n">
        <v>0</v>
      </c>
      <c r="J53" t="n">
        <v>0</v>
      </c>
      <c r="K53" t="n">
        <v>0</v>
      </c>
      <c r="L53" t="n">
        <v>0</v>
      </c>
      <c r="M53" t="n">
        <v>0</v>
      </c>
      <c r="N53" t="n">
        <v>0</v>
      </c>
      <c r="O53" t="n">
        <v>0</v>
      </c>
      <c r="P53" t="n">
        <v>0</v>
      </c>
      <c r="Q53" t="n">
        <v>0</v>
      </c>
      <c r="R53" s="2" t="inlineStr"/>
    </row>
    <row r="54" ht="15" customHeight="1">
      <c r="A54" t="inlineStr">
        <is>
          <t>A 33974-2025</t>
        </is>
      </c>
      <c r="B54" s="1" t="n">
        <v>45843.305625</v>
      </c>
      <c r="C54" s="1" t="n">
        <v>46036</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46036</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34859-2025</t>
        </is>
      </c>
      <c r="B56" s="1" t="n">
        <v>45849.43511574074</v>
      </c>
      <c r="C56" s="1" t="n">
        <v>46036</v>
      </c>
      <c r="D56" t="inlineStr">
        <is>
          <t>UPPSALA LÄN</t>
        </is>
      </c>
      <c r="E56" t="inlineStr">
        <is>
          <t>KNIVSTA</t>
        </is>
      </c>
      <c r="F56" t="inlineStr">
        <is>
          <t>Holmen skog AB</t>
        </is>
      </c>
      <c r="G56" t="n">
        <v>6.1</v>
      </c>
      <c r="H56" t="n">
        <v>0</v>
      </c>
      <c r="I56" t="n">
        <v>0</v>
      </c>
      <c r="J56" t="n">
        <v>0</v>
      </c>
      <c r="K56" t="n">
        <v>0</v>
      </c>
      <c r="L56" t="n">
        <v>0</v>
      </c>
      <c r="M56" t="n">
        <v>0</v>
      </c>
      <c r="N56" t="n">
        <v>0</v>
      </c>
      <c r="O56" t="n">
        <v>0</v>
      </c>
      <c r="P56" t="n">
        <v>0</v>
      </c>
      <c r="Q56" t="n">
        <v>0</v>
      </c>
      <c r="R56" s="2" t="inlineStr"/>
    </row>
    <row r="57" ht="15" customHeight="1">
      <c r="A57" t="inlineStr">
        <is>
          <t>A 34864-2025</t>
        </is>
      </c>
      <c r="B57" s="1" t="n">
        <v>45849.44028935185</v>
      </c>
      <c r="C57" s="1" t="n">
        <v>46036</v>
      </c>
      <c r="D57" t="inlineStr">
        <is>
          <t>UPPSALA LÄN</t>
        </is>
      </c>
      <c r="E57" t="inlineStr">
        <is>
          <t>KNIVSTA</t>
        </is>
      </c>
      <c r="F57" t="inlineStr">
        <is>
          <t>Holmen skog AB</t>
        </is>
      </c>
      <c r="G57" t="n">
        <v>1.3</v>
      </c>
      <c r="H57" t="n">
        <v>0</v>
      </c>
      <c r="I57" t="n">
        <v>0</v>
      </c>
      <c r="J57" t="n">
        <v>0</v>
      </c>
      <c r="K57" t="n">
        <v>0</v>
      </c>
      <c r="L57" t="n">
        <v>0</v>
      </c>
      <c r="M57" t="n">
        <v>0</v>
      </c>
      <c r="N57" t="n">
        <v>0</v>
      </c>
      <c r="O57" t="n">
        <v>0</v>
      </c>
      <c r="P57" t="n">
        <v>0</v>
      </c>
      <c r="Q57" t="n">
        <v>0</v>
      </c>
      <c r="R57" s="2" t="inlineStr"/>
    </row>
    <row r="58" ht="15" customHeight="1">
      <c r="A58" t="inlineStr">
        <is>
          <t>A 1791-2024</t>
        </is>
      </c>
      <c r="B58" s="1" t="n">
        <v>45307.574375</v>
      </c>
      <c r="C58" s="1" t="n">
        <v>46036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35318-2025</t>
        </is>
      </c>
      <c r="B59" s="1" t="n">
        <v>45854.47917824074</v>
      </c>
      <c r="C59" s="1" t="n">
        <v>46036</v>
      </c>
      <c r="D59" t="inlineStr">
        <is>
          <t>UPPSALA LÄN</t>
        </is>
      </c>
      <c r="E59" t="inlineStr">
        <is>
          <t>KNIVSTA</t>
        </is>
      </c>
      <c r="F59" t="inlineStr">
        <is>
          <t>Holmen skog AB</t>
        </is>
      </c>
      <c r="G59" t="n">
        <v>2.2</v>
      </c>
      <c r="H59" t="n">
        <v>0</v>
      </c>
      <c r="I59" t="n">
        <v>0</v>
      </c>
      <c r="J59" t="n">
        <v>0</v>
      </c>
      <c r="K59" t="n">
        <v>0</v>
      </c>
      <c r="L59" t="n">
        <v>0</v>
      </c>
      <c r="M59" t="n">
        <v>0</v>
      </c>
      <c r="N59" t="n">
        <v>0</v>
      </c>
      <c r="O59" t="n">
        <v>0</v>
      </c>
      <c r="P59" t="n">
        <v>0</v>
      </c>
      <c r="Q59" t="n">
        <v>0</v>
      </c>
      <c r="R59" s="2" t="inlineStr"/>
    </row>
    <row r="60" ht="15" customHeight="1">
      <c r="A60" t="inlineStr">
        <is>
          <t>A 44869-2025</t>
        </is>
      </c>
      <c r="B60" s="1" t="n">
        <v>45918.46758101852</v>
      </c>
      <c r="C60" s="1" t="n">
        <v>46036</v>
      </c>
      <c r="D60" t="inlineStr">
        <is>
          <t>UPPSALA LÄN</t>
        </is>
      </c>
      <c r="E60" t="inlineStr">
        <is>
          <t>KNIVSTA</t>
        </is>
      </c>
      <c r="G60" t="n">
        <v>17.1</v>
      </c>
      <c r="H60" t="n">
        <v>0</v>
      </c>
      <c r="I60" t="n">
        <v>0</v>
      </c>
      <c r="J60" t="n">
        <v>0</v>
      </c>
      <c r="K60" t="n">
        <v>0</v>
      </c>
      <c r="L60" t="n">
        <v>0</v>
      </c>
      <c r="M60" t="n">
        <v>0</v>
      </c>
      <c r="N60" t="n">
        <v>0</v>
      </c>
      <c r="O60" t="n">
        <v>0</v>
      </c>
      <c r="P60" t="n">
        <v>0</v>
      </c>
      <c r="Q60" t="n">
        <v>0</v>
      </c>
      <c r="R60" s="2" t="inlineStr"/>
    </row>
    <row r="61" ht="15" customHeight="1">
      <c r="A61" t="inlineStr">
        <is>
          <t>A 36472-2025</t>
        </is>
      </c>
      <c r="B61" s="1" t="n">
        <v>45869.48162037037</v>
      </c>
      <c r="C61" s="1" t="n">
        <v>46036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36473-2025</t>
        </is>
      </c>
      <c r="B62" s="1" t="n">
        <v>45869.48333333333</v>
      </c>
      <c r="C62" s="1" t="n">
        <v>46036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45453-2025</t>
        </is>
      </c>
      <c r="B63" s="1" t="n">
        <v>45922.48702546296</v>
      </c>
      <c r="C63" s="1" t="n">
        <v>46036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36470-2025</t>
        </is>
      </c>
      <c r="B64" s="1" t="n">
        <v>45869.47915509259</v>
      </c>
      <c r="C64" s="1" t="n">
        <v>46036</v>
      </c>
      <c r="D64" t="inlineStr">
        <is>
          <t>UPPSALA LÄN</t>
        </is>
      </c>
      <c r="E64" t="inlineStr">
        <is>
          <t>KNIVSTA</t>
        </is>
      </c>
      <c r="G64" t="n">
        <v>3.6</v>
      </c>
      <c r="H64" t="n">
        <v>0</v>
      </c>
      <c r="I64" t="n">
        <v>0</v>
      </c>
      <c r="J64" t="n">
        <v>0</v>
      </c>
      <c r="K64" t="n">
        <v>0</v>
      </c>
      <c r="L64" t="n">
        <v>0</v>
      </c>
      <c r="M64" t="n">
        <v>0</v>
      </c>
      <c r="N64" t="n">
        <v>0</v>
      </c>
      <c r="O64" t="n">
        <v>0</v>
      </c>
      <c r="P64" t="n">
        <v>0</v>
      </c>
      <c r="Q64" t="n">
        <v>0</v>
      </c>
      <c r="R64" s="2" t="inlineStr"/>
    </row>
    <row r="65" ht="15" customHeight="1">
      <c r="A65" t="inlineStr">
        <is>
          <t>A 13040-2025</t>
        </is>
      </c>
      <c r="B65" s="1" t="n">
        <v>45734</v>
      </c>
      <c r="C65" s="1" t="n">
        <v>46036</v>
      </c>
      <c r="D65" t="inlineStr">
        <is>
          <t>UPPSALA LÄN</t>
        </is>
      </c>
      <c r="E65" t="inlineStr">
        <is>
          <t>KNIVSTA</t>
        </is>
      </c>
      <c r="F65" t="inlineStr">
        <is>
          <t>Allmännings- och besparingsskogar</t>
        </is>
      </c>
      <c r="G65" t="n">
        <v>1.6</v>
      </c>
      <c r="H65" t="n">
        <v>0</v>
      </c>
      <c r="I65" t="n">
        <v>0</v>
      </c>
      <c r="J65" t="n">
        <v>0</v>
      </c>
      <c r="K65" t="n">
        <v>0</v>
      </c>
      <c r="L65" t="n">
        <v>0</v>
      </c>
      <c r="M65" t="n">
        <v>0</v>
      </c>
      <c r="N65" t="n">
        <v>0</v>
      </c>
      <c r="O65" t="n">
        <v>0</v>
      </c>
      <c r="P65" t="n">
        <v>0</v>
      </c>
      <c r="Q65" t="n">
        <v>0</v>
      </c>
      <c r="R65" s="2" t="inlineStr"/>
    </row>
    <row r="66" ht="15" customHeight="1">
      <c r="A66" t="inlineStr">
        <is>
          <t>A 47803-2025</t>
        </is>
      </c>
      <c r="B66" s="1" t="n">
        <v>45931</v>
      </c>
      <c r="C66" s="1" t="n">
        <v>46036</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23239-2023</t>
        </is>
      </c>
      <c r="B67" s="1" t="n">
        <v>45075</v>
      </c>
      <c r="C67" s="1" t="n">
        <v>46036</v>
      </c>
      <c r="D67" t="inlineStr">
        <is>
          <t>UPPSALA LÄN</t>
        </is>
      </c>
      <c r="E67" t="inlineStr">
        <is>
          <t>KNIVSTA</t>
        </is>
      </c>
      <c r="G67" t="n">
        <v>1.8</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46036</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5402-2023</t>
        </is>
      </c>
      <c r="B69" s="1" t="n">
        <v>44959</v>
      </c>
      <c r="C69" s="1" t="n">
        <v>46036</v>
      </c>
      <c r="D69" t="inlineStr">
        <is>
          <t>UPPSALA LÄN</t>
        </is>
      </c>
      <c r="E69" t="inlineStr">
        <is>
          <t>KNIVSTA</t>
        </is>
      </c>
      <c r="G69" t="n">
        <v>4.3</v>
      </c>
      <c r="H69" t="n">
        <v>0</v>
      </c>
      <c r="I69" t="n">
        <v>0</v>
      </c>
      <c r="J69" t="n">
        <v>0</v>
      </c>
      <c r="K69" t="n">
        <v>0</v>
      </c>
      <c r="L69" t="n">
        <v>0</v>
      </c>
      <c r="M69" t="n">
        <v>0</v>
      </c>
      <c r="N69" t="n">
        <v>0</v>
      </c>
      <c r="O69" t="n">
        <v>0</v>
      </c>
      <c r="P69" t="n">
        <v>0</v>
      </c>
      <c r="Q69" t="n">
        <v>0</v>
      </c>
      <c r="R69" s="2" t="inlineStr"/>
    </row>
    <row r="70" ht="15" customHeight="1">
      <c r="A70" t="inlineStr">
        <is>
          <t>A 66284-2021</t>
        </is>
      </c>
      <c r="B70" s="1" t="n">
        <v>44518</v>
      </c>
      <c r="C70" s="1" t="n">
        <v>46036</v>
      </c>
      <c r="D70" t="inlineStr">
        <is>
          <t>UPPSALA LÄN</t>
        </is>
      </c>
      <c r="E70" t="inlineStr">
        <is>
          <t>KNIVSTA</t>
        </is>
      </c>
      <c r="G70" t="n">
        <v>6.9</v>
      </c>
      <c r="H70" t="n">
        <v>0</v>
      </c>
      <c r="I70" t="n">
        <v>0</v>
      </c>
      <c r="J70" t="n">
        <v>0</v>
      </c>
      <c r="K70" t="n">
        <v>0</v>
      </c>
      <c r="L70" t="n">
        <v>0</v>
      </c>
      <c r="M70" t="n">
        <v>0</v>
      </c>
      <c r="N70" t="n">
        <v>0</v>
      </c>
      <c r="O70" t="n">
        <v>0</v>
      </c>
      <c r="P70" t="n">
        <v>0</v>
      </c>
      <c r="Q70" t="n">
        <v>0</v>
      </c>
      <c r="R70" s="2" t="inlineStr"/>
    </row>
    <row r="71" ht="15" customHeight="1">
      <c r="A71" t="inlineStr">
        <is>
          <t>A 60243-2025</t>
        </is>
      </c>
      <c r="B71" s="1" t="n">
        <v>45994.58650462963</v>
      </c>
      <c r="C71" s="1" t="n">
        <v>46036</v>
      </c>
      <c r="D71" t="inlineStr">
        <is>
          <t>UPPSALA LÄN</t>
        </is>
      </c>
      <c r="E71" t="inlineStr">
        <is>
          <t>KNIVSTA</t>
        </is>
      </c>
      <c r="F71" t="inlineStr">
        <is>
          <t>Holmen skog AB</t>
        </is>
      </c>
      <c r="G71" t="n">
        <v>2.4</v>
      </c>
      <c r="H71" t="n">
        <v>0</v>
      </c>
      <c r="I71" t="n">
        <v>0</v>
      </c>
      <c r="J71" t="n">
        <v>0</v>
      </c>
      <c r="K71" t="n">
        <v>0</v>
      </c>
      <c r="L71" t="n">
        <v>0</v>
      </c>
      <c r="M71" t="n">
        <v>0</v>
      </c>
      <c r="N71" t="n">
        <v>0</v>
      </c>
      <c r="O71" t="n">
        <v>0</v>
      </c>
      <c r="P71" t="n">
        <v>0</v>
      </c>
      <c r="Q71" t="n">
        <v>0</v>
      </c>
      <c r="R71" s="2" t="inlineStr"/>
    </row>
    <row r="72" ht="15" customHeight="1">
      <c r="A72" t="inlineStr">
        <is>
          <t>A 52666-2025</t>
        </is>
      </c>
      <c r="B72" s="1" t="n">
        <v>45955.74299768519</v>
      </c>
      <c r="C72" s="1" t="n">
        <v>46036</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52667-2025</t>
        </is>
      </c>
      <c r="B73" s="1" t="n">
        <v>45955.74666666667</v>
      </c>
      <c r="C73" s="1" t="n">
        <v>46036</v>
      </c>
      <c r="D73" t="inlineStr">
        <is>
          <t>UPPSALA LÄN</t>
        </is>
      </c>
      <c r="E73" t="inlineStr">
        <is>
          <t>KNIVSTA</t>
        </is>
      </c>
      <c r="G73" t="n">
        <v>1</v>
      </c>
      <c r="H73" t="n">
        <v>0</v>
      </c>
      <c r="I73" t="n">
        <v>0</v>
      </c>
      <c r="J73" t="n">
        <v>0</v>
      </c>
      <c r="K73" t="n">
        <v>0</v>
      </c>
      <c r="L73" t="n">
        <v>0</v>
      </c>
      <c r="M73" t="n">
        <v>0</v>
      </c>
      <c r="N73" t="n">
        <v>0</v>
      </c>
      <c r="O73" t="n">
        <v>0</v>
      </c>
      <c r="P73" t="n">
        <v>0</v>
      </c>
      <c r="Q73" t="n">
        <v>0</v>
      </c>
      <c r="R73" s="2" t="inlineStr"/>
    </row>
    <row r="74" ht="15" customHeight="1">
      <c r="A74" t="inlineStr">
        <is>
          <t>A 32975-2021</t>
        </is>
      </c>
      <c r="B74" s="1" t="n">
        <v>44376</v>
      </c>
      <c r="C74" s="1" t="n">
        <v>46036</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46036</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11847-2023</t>
        </is>
      </c>
      <c r="B76" s="1" t="n">
        <v>44995.33957175926</v>
      </c>
      <c r="C76" s="1" t="n">
        <v>46036</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46036</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662-2026</t>
        </is>
      </c>
      <c r="B78" s="1" t="n">
        <v>46029.58549768518</v>
      </c>
      <c r="C78" s="1" t="n">
        <v>46036</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666-2026</t>
        </is>
      </c>
      <c r="B79" s="1" t="n">
        <v>46029.58832175926</v>
      </c>
      <c r="C79" s="1" t="n">
        <v>46036</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53812-2025</t>
        </is>
      </c>
      <c r="B80" s="1" t="n">
        <v>45960</v>
      </c>
      <c r="C80" s="1" t="n">
        <v>46036</v>
      </c>
      <c r="D80" t="inlineStr">
        <is>
          <t>UPPSALA LÄN</t>
        </is>
      </c>
      <c r="E80" t="inlineStr">
        <is>
          <t>KNIVSTA</t>
        </is>
      </c>
      <c r="G80" t="n">
        <v>5.8</v>
      </c>
      <c r="H80" t="n">
        <v>0</v>
      </c>
      <c r="I80" t="n">
        <v>0</v>
      </c>
      <c r="J80" t="n">
        <v>0</v>
      </c>
      <c r="K80" t="n">
        <v>0</v>
      </c>
      <c r="L80" t="n">
        <v>0</v>
      </c>
      <c r="M80" t="n">
        <v>0</v>
      </c>
      <c r="N80" t="n">
        <v>0</v>
      </c>
      <c r="O80" t="n">
        <v>0</v>
      </c>
      <c r="P80" t="n">
        <v>0</v>
      </c>
      <c r="Q80" t="n">
        <v>0</v>
      </c>
      <c r="R80" s="2" t="inlineStr"/>
    </row>
    <row r="81" ht="15" customHeight="1">
      <c r="A81" t="inlineStr">
        <is>
          <t>A 30351-2022</t>
        </is>
      </c>
      <c r="B81" s="1" t="n">
        <v>44757</v>
      </c>
      <c r="C81" s="1" t="n">
        <v>46036</v>
      </c>
      <c r="D81" t="inlineStr">
        <is>
          <t>UPPSALA LÄN</t>
        </is>
      </c>
      <c r="E81" t="inlineStr">
        <is>
          <t>KNIVSTA</t>
        </is>
      </c>
      <c r="G81" t="n">
        <v>5.7</v>
      </c>
      <c r="H81" t="n">
        <v>0</v>
      </c>
      <c r="I81" t="n">
        <v>0</v>
      </c>
      <c r="J81" t="n">
        <v>0</v>
      </c>
      <c r="K81" t="n">
        <v>0</v>
      </c>
      <c r="L81" t="n">
        <v>0</v>
      </c>
      <c r="M81" t="n">
        <v>0</v>
      </c>
      <c r="N81" t="n">
        <v>0</v>
      </c>
      <c r="O81" t="n">
        <v>0</v>
      </c>
      <c r="P81" t="n">
        <v>0</v>
      </c>
      <c r="Q81" t="n">
        <v>0</v>
      </c>
      <c r="R81" s="2" t="inlineStr"/>
    </row>
    <row r="82" ht="15" customHeight="1">
      <c r="A82" t="inlineStr">
        <is>
          <t>A 3191-2024</t>
        </is>
      </c>
      <c r="B82" s="1" t="n">
        <v>45316.67186342592</v>
      </c>
      <c r="C82" s="1" t="n">
        <v>46036</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31875-2022</t>
        </is>
      </c>
      <c r="B83" s="1" t="n">
        <v>44777</v>
      </c>
      <c r="C83" s="1" t="n">
        <v>46036</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46036</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46036</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45916-2022</t>
        </is>
      </c>
      <c r="B86" s="1" t="n">
        <v>44846</v>
      </c>
      <c r="C86" s="1" t="n">
        <v>46036</v>
      </c>
      <c r="D86" t="inlineStr">
        <is>
          <t>UPPSALA LÄN</t>
        </is>
      </c>
      <c r="E86" t="inlineStr">
        <is>
          <t>KNIVSTA</t>
        </is>
      </c>
      <c r="G86" t="n">
        <v>3.8</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46036</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46036</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11452-2023</t>
        </is>
      </c>
      <c r="B89" s="1" t="n">
        <v>44993</v>
      </c>
      <c r="C89" s="1" t="n">
        <v>46036</v>
      </c>
      <c r="D89" t="inlineStr">
        <is>
          <t>UPPSALA LÄN</t>
        </is>
      </c>
      <c r="E89" t="inlineStr">
        <is>
          <t>KNIVSTA</t>
        </is>
      </c>
      <c r="G89" t="n">
        <v>2.5</v>
      </c>
      <c r="H89" t="n">
        <v>0</v>
      </c>
      <c r="I89" t="n">
        <v>0</v>
      </c>
      <c r="J89" t="n">
        <v>0</v>
      </c>
      <c r="K89" t="n">
        <v>0</v>
      </c>
      <c r="L89" t="n">
        <v>0</v>
      </c>
      <c r="M89" t="n">
        <v>0</v>
      </c>
      <c r="N89" t="n">
        <v>0</v>
      </c>
      <c r="O89" t="n">
        <v>0</v>
      </c>
      <c r="P89" t="n">
        <v>0</v>
      </c>
      <c r="Q89" t="n">
        <v>0</v>
      </c>
      <c r="R89" s="2" t="inlineStr"/>
    </row>
    <row r="90" ht="15" customHeight="1">
      <c r="A90" t="inlineStr">
        <is>
          <t>A 30627-2023</t>
        </is>
      </c>
      <c r="B90" s="1" t="n">
        <v>45112</v>
      </c>
      <c r="C90" s="1" t="n">
        <v>46036</v>
      </c>
      <c r="D90" t="inlineStr">
        <is>
          <t>UPPSALA LÄN</t>
        </is>
      </c>
      <c r="E90" t="inlineStr">
        <is>
          <t>KNIVSTA</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46036</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8343-2024</t>
        </is>
      </c>
      <c r="B92" s="1" t="n">
        <v>45352</v>
      </c>
      <c r="C92" s="1" t="n">
        <v>46036</v>
      </c>
      <c r="D92" t="inlineStr">
        <is>
          <t>UPPSALA LÄN</t>
        </is>
      </c>
      <c r="E92" t="inlineStr">
        <is>
          <t>KNIVSTA</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60885-2021</t>
        </is>
      </c>
      <c r="B93" s="1" t="n">
        <v>44497</v>
      </c>
      <c r="C93" s="1" t="n">
        <v>46036</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19676-2025</t>
        </is>
      </c>
      <c r="B94" s="1" t="n">
        <v>45770</v>
      </c>
      <c r="C94" s="1" t="n">
        <v>46036</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14267-2025</t>
        </is>
      </c>
      <c r="B95" s="1" t="n">
        <v>45740.63686342593</v>
      </c>
      <c r="C95" s="1" t="n">
        <v>46036</v>
      </c>
      <c r="D95" t="inlineStr">
        <is>
          <t>UPPSALA LÄN</t>
        </is>
      </c>
      <c r="E95" t="inlineStr">
        <is>
          <t>KNIVSTA</t>
        </is>
      </c>
      <c r="G95" t="n">
        <v>3.9</v>
      </c>
      <c r="H95" t="n">
        <v>0</v>
      </c>
      <c r="I95" t="n">
        <v>0</v>
      </c>
      <c r="J95" t="n">
        <v>0</v>
      </c>
      <c r="K95" t="n">
        <v>0</v>
      </c>
      <c r="L95" t="n">
        <v>0</v>
      </c>
      <c r="M95" t="n">
        <v>0</v>
      </c>
      <c r="N95" t="n">
        <v>0</v>
      </c>
      <c r="O95" t="n">
        <v>0</v>
      </c>
      <c r="P95" t="n">
        <v>0</v>
      </c>
      <c r="Q95" t="n">
        <v>0</v>
      </c>
      <c r="R95" s="2" t="inlineStr"/>
    </row>
    <row r="96" ht="15" customHeight="1">
      <c r="A96" t="inlineStr">
        <is>
          <t>A 13697-2024</t>
        </is>
      </c>
      <c r="B96" s="1" t="n">
        <v>45390</v>
      </c>
      <c r="C96" s="1" t="n">
        <v>46036</v>
      </c>
      <c r="D96" t="inlineStr">
        <is>
          <t>UPPSALA LÄN</t>
        </is>
      </c>
      <c r="E96" t="inlineStr">
        <is>
          <t>KNIVSTA</t>
        </is>
      </c>
      <c r="F96" t="inlineStr">
        <is>
          <t>Holmen skog AB</t>
        </is>
      </c>
      <c r="G96" t="n">
        <v>1.3</v>
      </c>
      <c r="H96" t="n">
        <v>0</v>
      </c>
      <c r="I96" t="n">
        <v>0</v>
      </c>
      <c r="J96" t="n">
        <v>0</v>
      </c>
      <c r="K96" t="n">
        <v>0</v>
      </c>
      <c r="L96" t="n">
        <v>0</v>
      </c>
      <c r="M96" t="n">
        <v>0</v>
      </c>
      <c r="N96" t="n">
        <v>0</v>
      </c>
      <c r="O96" t="n">
        <v>0</v>
      </c>
      <c r="P96" t="n">
        <v>0</v>
      </c>
      <c r="Q96" t="n">
        <v>0</v>
      </c>
      <c r="R96" s="2" t="inlineStr"/>
    </row>
    <row r="97" ht="15" customHeight="1">
      <c r="A97" t="inlineStr">
        <is>
          <t>A 66305-2021</t>
        </is>
      </c>
      <c r="B97" s="1" t="n">
        <v>44518</v>
      </c>
      <c r="C97" s="1" t="n">
        <v>46036</v>
      </c>
      <c r="D97" t="inlineStr">
        <is>
          <t>UPPSALA LÄN</t>
        </is>
      </c>
      <c r="E97" t="inlineStr">
        <is>
          <t>KNIVSTA</t>
        </is>
      </c>
      <c r="G97" t="n">
        <v>8.300000000000001</v>
      </c>
      <c r="H97" t="n">
        <v>0</v>
      </c>
      <c r="I97" t="n">
        <v>0</v>
      </c>
      <c r="J97" t="n">
        <v>0</v>
      </c>
      <c r="K97" t="n">
        <v>0</v>
      </c>
      <c r="L97" t="n">
        <v>0</v>
      </c>
      <c r="M97" t="n">
        <v>0</v>
      </c>
      <c r="N97" t="n">
        <v>0</v>
      </c>
      <c r="O97" t="n">
        <v>0</v>
      </c>
      <c r="P97" t="n">
        <v>0</v>
      </c>
      <c r="Q97" t="n">
        <v>0</v>
      </c>
      <c r="R97" s="2" t="inlineStr"/>
    </row>
    <row r="98" ht="15" customHeight="1">
      <c r="A98" t="inlineStr">
        <is>
          <t>A 1629-2024</t>
        </is>
      </c>
      <c r="B98" s="1" t="n">
        <v>45306</v>
      </c>
      <c r="C98" s="1" t="n">
        <v>46036</v>
      </c>
      <c r="D98" t="inlineStr">
        <is>
          <t>UPPSALA LÄN</t>
        </is>
      </c>
      <c r="E98" t="inlineStr">
        <is>
          <t>KNIVSTA</t>
        </is>
      </c>
      <c r="F98" t="inlineStr">
        <is>
          <t>Holmen skog AB</t>
        </is>
      </c>
      <c r="G98" t="n">
        <v>3.6</v>
      </c>
      <c r="H98" t="n">
        <v>0</v>
      </c>
      <c r="I98" t="n">
        <v>0</v>
      </c>
      <c r="J98" t="n">
        <v>0</v>
      </c>
      <c r="K98" t="n">
        <v>0</v>
      </c>
      <c r="L98" t="n">
        <v>0</v>
      </c>
      <c r="M98" t="n">
        <v>0</v>
      </c>
      <c r="N98" t="n">
        <v>0</v>
      </c>
      <c r="O98" t="n">
        <v>0</v>
      </c>
      <c r="P98" t="n">
        <v>0</v>
      </c>
      <c r="Q98" t="n">
        <v>0</v>
      </c>
      <c r="R98" s="2" t="inlineStr"/>
    </row>
    <row r="99" ht="15" customHeight="1">
      <c r="A99" t="inlineStr">
        <is>
          <t>A 30764-2023</t>
        </is>
      </c>
      <c r="B99" s="1" t="n">
        <v>45112</v>
      </c>
      <c r="C99" s="1" t="n">
        <v>46036</v>
      </c>
      <c r="D99" t="inlineStr">
        <is>
          <t>UPPSALA LÄN</t>
        </is>
      </c>
      <c r="E99" t="inlineStr">
        <is>
          <t>KNIVSTA</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46036</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46036</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ht="15" customHeight="1">
      <c r="A102" t="inlineStr">
        <is>
          <t>A 794-2024</t>
        </is>
      </c>
      <c r="B102" s="1" t="n">
        <v>45300.58149305556</v>
      </c>
      <c r="C102" s="1" t="n">
        <v>46036</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row r="103" ht="15" customHeight="1">
      <c r="A103" t="inlineStr">
        <is>
          <t>A 20902-2024</t>
        </is>
      </c>
      <c r="B103" s="1" t="n">
        <v>45439.48104166667</v>
      </c>
      <c r="C103" s="1" t="n">
        <v>46036</v>
      </c>
      <c r="D103" t="inlineStr">
        <is>
          <t>UPPSALA LÄN</t>
        </is>
      </c>
      <c r="E103" t="inlineStr">
        <is>
          <t>KNIVSTA</t>
        </is>
      </c>
      <c r="G103" t="n">
        <v>1</v>
      </c>
      <c r="H103" t="n">
        <v>0</v>
      </c>
      <c r="I103" t="n">
        <v>0</v>
      </c>
      <c r="J103" t="n">
        <v>0</v>
      </c>
      <c r="K103" t="n">
        <v>0</v>
      </c>
      <c r="L103" t="n">
        <v>0</v>
      </c>
      <c r="M103" t="n">
        <v>0</v>
      </c>
      <c r="N103" t="n">
        <v>0</v>
      </c>
      <c r="O103" t="n">
        <v>0</v>
      </c>
      <c r="P103" t="n">
        <v>0</v>
      </c>
      <c r="Q103" t="n">
        <v>0</v>
      </c>
      <c r="R103" s="2" t="inlineStr"/>
    </row>
    <row r="104">
      <c r="A104" t="inlineStr">
        <is>
          <t>A 26226-2025</t>
        </is>
      </c>
      <c r="B104" s="1" t="n">
        <v>45805.55829861111</v>
      </c>
      <c r="C104" s="1" t="n">
        <v>46036</v>
      </c>
      <c r="D104" t="inlineStr">
        <is>
          <t>UPPSALA LÄN</t>
        </is>
      </c>
      <c r="E104" t="inlineStr">
        <is>
          <t>KNIVSTA</t>
        </is>
      </c>
      <c r="G104" t="n">
        <v>9.1</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2026-01-14T10:53:26Z</dcterms:created>
  <dcterms:modified xmlns:dcterms="http://purl.org/dc/terms/" xmlns:xsi="http://www.w3.org/2001/XMLSchema-instance" xsi:type="dcterms:W3CDTF">2026-01-14T10:53:26Z</dcterms:modified>
</cp:coreProperties>
</file>