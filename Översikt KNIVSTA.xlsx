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46235</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46235</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46235</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46235</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46235</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46235</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46235</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46235</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46235</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46235</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46235</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46235</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46235</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46235</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5402-2023</t>
        </is>
      </c>
      <c r="B23" t="inlineStr">
        <is>
          <t>avverkningsanmälan</t>
        </is>
      </c>
      <c r="C23" t="inlineStr">
        <is>
          <t>Föryngringsavverkning</t>
        </is>
      </c>
      <c r="D23" s="1" t="n">
        <v>44959</v>
      </c>
      <c r="E23" s="1" t="n">
        <v>46235</v>
      </c>
      <c r="F23" t="inlineStr">
        <is>
          <t>UPPSALA LÄN</t>
        </is>
      </c>
      <c r="G23" t="inlineStr">
        <is>
          <t>KNIVSTA</t>
        </is>
      </c>
      <c r="I23" t="n">
        <v>4.3</v>
      </c>
      <c r="J23" t="n">
        <v>0</v>
      </c>
      <c r="K23" t="n">
        <v>0</v>
      </c>
      <c r="L23" t="n">
        <v>0</v>
      </c>
      <c r="M23" t="n">
        <v>1</v>
      </c>
      <c r="N23" t="n">
        <v>0</v>
      </c>
      <c r="O23" t="n">
        <v>0</v>
      </c>
      <c r="P23" t="n">
        <v>0</v>
      </c>
      <c r="Q23" t="n">
        <v>1</v>
      </c>
      <c r="R23" t="n">
        <v>1</v>
      </c>
      <c r="S23" t="n">
        <v>1</v>
      </c>
      <c r="T23" t="n">
        <v>1</v>
      </c>
      <c r="U23" t="n">
        <v>0</v>
      </c>
      <c r="V23" s="2" t="inlineStr">
        <is>
          <t>Askfingersvamp</t>
        </is>
      </c>
      <c r="W23">
        <f>HYPERLINK("https://klasma.github.io/Logging_0330/artfynd/A 5402-2023 artfynd.xlsx", "A 5402-2023")</f>
        <v/>
      </c>
      <c r="X23">
        <f>HYPERLINK("https://klasma.github.io/Logging_0330/kartor/A 5402-2023 karta.png", "A 5402-2023")</f>
        <v/>
      </c>
      <c r="Y23">
        <f>HYPERLINK("https://klasma.github.io/Logging_0330/kartor_geotiff/A 5402-2023 georefererad karta.tif", "A 5402-2023")</f>
        <v/>
      </c>
      <c r="AA23">
        <f>HYPERLINK("https://klasma.github.io/Logging_0330/klagomål/A 5402-2023 FSC-klagomål.docx", "A 5402-2023")</f>
        <v/>
      </c>
      <c r="AB23">
        <f>HYPERLINK("https://klasma.github.io/Logging_0330/klagomålsmail/A 5402-2023 FSC-klagomål mail.docx", "A 5402-2023")</f>
        <v/>
      </c>
      <c r="AC23">
        <f>HYPERLINK("https://klasma.github.io/Logging_0330/tillsyn/A 5402-2023 tillsynsbegäran.docx", "A 5402-2023")</f>
        <v/>
      </c>
      <c r="AD23">
        <f>HYPERLINK("https://klasma.github.io/Logging_0330/tillsynsmail/A 5402-2023 tillsynsbegäran mail.docx", "A 5402-2023")</f>
        <v/>
      </c>
    </row>
    <row r="24" ht="15" customHeight="1">
      <c r="A24" t="inlineStr">
        <is>
          <t>A 666-2026</t>
        </is>
      </c>
      <c r="B24" t="inlineStr">
        <is>
          <t>avverkningsanmälan</t>
        </is>
      </c>
      <c r="C24" t="inlineStr">
        <is>
          <t>Föryngringsavverkning</t>
        </is>
      </c>
      <c r="D24" s="1" t="n">
        <v>46029</v>
      </c>
      <c r="E24" s="1" t="n">
        <v>46235</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46235</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60885-2021</t>
        </is>
      </c>
      <c r="B26" t="inlineStr">
        <is>
          <t>avverkningsanmälan</t>
        </is>
      </c>
      <c r="C26" t="inlineStr">
        <is>
          <t>Föryngringsavverkning</t>
        </is>
      </c>
      <c r="D26" s="1" t="n">
        <v>44497</v>
      </c>
      <c r="E26" s="1" t="n">
        <v>46235</v>
      </c>
      <c r="F26" t="inlineStr">
        <is>
          <t>UPPSALA LÄN</t>
        </is>
      </c>
      <c r="G26" t="inlineStr">
        <is>
          <t>KNIVSTA</t>
        </is>
      </c>
      <c r="I26" t="n">
        <v>1.5</v>
      </c>
      <c r="J26" t="n">
        <v>0</v>
      </c>
      <c r="K26" t="n">
        <v>1</v>
      </c>
      <c r="L26" t="n">
        <v>0</v>
      </c>
      <c r="M26" t="n">
        <v>0</v>
      </c>
      <c r="N26" t="n">
        <v>0</v>
      </c>
      <c r="O26" t="n">
        <v>0</v>
      </c>
      <c r="P26" t="n">
        <v>0</v>
      </c>
      <c r="Q26" t="n">
        <v>0</v>
      </c>
      <c r="R26" t="n">
        <v>0</v>
      </c>
      <c r="S26" t="n">
        <v>1</v>
      </c>
      <c r="T26" t="n">
        <v>1</v>
      </c>
      <c r="U26" t="n">
        <v>1</v>
      </c>
      <c r="V26" s="2" t="inlineStr">
        <is>
          <t>Sotlav</t>
        </is>
      </c>
      <c r="W26">
        <f>HYPERLINK("https://klasma.github.io/Logging_0330/artfynd/A 60885-2021 artfynd.xlsx", "A 60885-2021")</f>
        <v/>
      </c>
      <c r="X26">
        <f>HYPERLINK("https://klasma.github.io/Logging_0330/kartor/A 60885-2021 karta.png", "A 60885-2021")</f>
        <v/>
      </c>
      <c r="Y26">
        <f>HYPERLINK("https://klasma.github.io/Logging_0330/kartor_geotiff/A 60885-2021 georefererad karta.tif", "A 60885-2021")</f>
        <v/>
      </c>
      <c r="AA26">
        <f>HYPERLINK("https://klasma.github.io/Logging_0330/klagomål/A 60885-2021 FSC-klagomål.docx", "A 60885-2021")</f>
        <v/>
      </c>
      <c r="AB26">
        <f>HYPERLINK("https://klasma.github.io/Logging_0330/klagomålsmail/A 60885-2021 FSC-klagomål mail.docx", "A 60885-2021")</f>
        <v/>
      </c>
      <c r="AC26">
        <f>HYPERLINK("https://klasma.github.io/Logging_0330/tillsyn/A 60885-2021 tillsynsbegäran.docx", "A 60885-2021")</f>
        <v/>
      </c>
      <c r="AD26">
        <f>HYPERLINK("https://klasma.github.io/Logging_0330/tillsynsmail/A 60885-2021 tillsynsbegäran mail.docx", "A 60885-2021")</f>
        <v/>
      </c>
    </row>
    <row r="27" ht="15" customHeight="1">
      <c r="A27" t="inlineStr">
        <is>
          <t>A 9561-2026</t>
        </is>
      </c>
      <c r="B27" t="inlineStr">
        <is>
          <t>avverkningsanmälan</t>
        </is>
      </c>
      <c r="C27" t="inlineStr">
        <is>
          <t>Föryngringsavverkning</t>
        </is>
      </c>
      <c r="D27" s="1" t="n">
        <v>46071</v>
      </c>
      <c r="E27" s="1" t="n">
        <v>46235</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46235</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46235</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46235</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2171-2024</t>
        </is>
      </c>
      <c r="B31" t="inlineStr">
        <is>
          <t>avverkningsanmälan</t>
        </is>
      </c>
      <c r="C31" t="inlineStr">
        <is>
          <t>Föryngringsavverkning</t>
        </is>
      </c>
      <c r="D31" s="1" t="n">
        <v>45309</v>
      </c>
      <c r="E31" s="1" t="n">
        <v>46235</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66305-2021</t>
        </is>
      </c>
      <c r="B32" t="inlineStr">
        <is>
          <t>avverkningsanmälan</t>
        </is>
      </c>
      <c r="C32" t="inlineStr">
        <is>
          <t>Föryngringsavverkning</t>
        </is>
      </c>
      <c r="D32" s="1" t="n">
        <v>44518</v>
      </c>
      <c r="E32" s="1" t="n">
        <v>46235</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46235</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46235</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46235</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46235</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46235</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46235</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46235</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46235</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46235</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46235</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46235</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11452-2023</t>
        </is>
      </c>
      <c r="B44" t="inlineStr">
        <is>
          <t>avverkningsanmälan</t>
        </is>
      </c>
      <c r="C44" t="inlineStr">
        <is>
          <t>Föryngringsavverkning</t>
        </is>
      </c>
      <c r="D44" s="1" t="n">
        <v>44993</v>
      </c>
      <c r="E44" s="1" t="n">
        <v>46235</v>
      </c>
      <c r="F44" t="inlineStr">
        <is>
          <t>UPPSALA LÄN</t>
        </is>
      </c>
      <c r="G44" t="inlineStr">
        <is>
          <t>KNIVSTA</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46235</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46235</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43908-2023</t>
        </is>
      </c>
      <c r="B47" t="inlineStr">
        <is>
          <t>avverkningsanmälan</t>
        </is>
      </c>
      <c r="C47" t="inlineStr">
        <is>
          <t>Föryngringsavverkning</t>
        </is>
      </c>
      <c r="D47" s="1" t="n">
        <v>45187</v>
      </c>
      <c r="E47" s="1" t="n">
        <v>46235</v>
      </c>
      <c r="F47" t="inlineStr">
        <is>
          <t>UPPSALA LÄN</t>
        </is>
      </c>
      <c r="G47" t="inlineStr">
        <is>
          <t>KNIVSTA</t>
        </is>
      </c>
      <c r="H47" t="inlineStr">
        <is>
          <t>Kyrkan</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46235</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46235</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34078-2022</t>
        </is>
      </c>
      <c r="B50" t="inlineStr">
        <is>
          <t>avverkningsanmälan</t>
        </is>
      </c>
      <c r="C50" t="inlineStr">
        <is>
          <t>Föryngringsavverkning</t>
        </is>
      </c>
      <c r="D50" s="1" t="n">
        <v>44791</v>
      </c>
      <c r="E50" s="1" t="n">
        <v>46235</v>
      </c>
      <c r="F50" t="inlineStr">
        <is>
          <t>UPPSALA LÄN</t>
        </is>
      </c>
      <c r="G50" t="inlineStr">
        <is>
          <t>KNIVSTA</t>
        </is>
      </c>
      <c r="H50" t="inlineStr">
        <is>
          <t>Övriga statliga verk och myndigheter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52666-2025</t>
        </is>
      </c>
      <c r="B51" t="inlineStr">
        <is>
          <t>avverkningsanmälan</t>
        </is>
      </c>
      <c r="C51" t="inlineStr">
        <is>
          <t>Föryngringsavverkning</t>
        </is>
      </c>
      <c r="D51" s="1" t="n">
        <v>45955</v>
      </c>
      <c r="E51" s="1" t="n">
        <v>46235</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46235</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33974-2025</t>
        </is>
      </c>
      <c r="B53" t="inlineStr">
        <is>
          <t>avverkningsanmälan</t>
        </is>
      </c>
      <c r="C53" t="inlineStr">
        <is>
          <t>Föryngringsavverkning</t>
        </is>
      </c>
      <c r="D53" s="1" t="n">
        <v>45843</v>
      </c>
      <c r="E53" s="1" t="n">
        <v>46235</v>
      </c>
      <c r="F53" t="inlineStr">
        <is>
          <t>UPPSALA LÄN</t>
        </is>
      </c>
      <c r="G53" t="inlineStr">
        <is>
          <t>KNIVSTA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30351-2022</t>
        </is>
      </c>
      <c r="B54" t="inlineStr">
        <is>
          <t>avverkningsanmälan</t>
        </is>
      </c>
      <c r="C54" t="inlineStr">
        <is>
          <t>Föryngringsavverkning</t>
        </is>
      </c>
      <c r="D54" s="1" t="n">
        <v>44757</v>
      </c>
      <c r="E54" s="1" t="n">
        <v>46235</v>
      </c>
      <c r="F54" t="inlineStr">
        <is>
          <t>UPPSALA LÄN</t>
        </is>
      </c>
      <c r="G54" t="inlineStr">
        <is>
          <t>KNIVSTA</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11847-2023</t>
        </is>
      </c>
      <c r="B55" t="inlineStr">
        <is>
          <t>avverkningsanmälan</t>
        </is>
      </c>
      <c r="C55" t="inlineStr">
        <is>
          <t>Föryngringsavverkning</t>
        </is>
      </c>
      <c r="D55" s="1" t="n">
        <v>44995</v>
      </c>
      <c r="E55" s="1" t="n">
        <v>46235</v>
      </c>
      <c r="F55" t="inlineStr">
        <is>
          <t>UPPSALA LÄN</t>
        </is>
      </c>
      <c r="G55" t="inlineStr">
        <is>
          <t>KNIVSTA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11450-2023</t>
        </is>
      </c>
      <c r="B56" t="inlineStr">
        <is>
          <t>avverkningsanmälan</t>
        </is>
      </c>
      <c r="C56" t="inlineStr">
        <is>
          <t>Föryngringsavverkning</t>
        </is>
      </c>
      <c r="D56" s="1" t="n">
        <v>44993</v>
      </c>
      <c r="E56" s="1" t="n">
        <v>46235</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46235</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31875-2022</t>
        </is>
      </c>
      <c r="B58" t="inlineStr">
        <is>
          <t>avverkningsanmälan</t>
        </is>
      </c>
      <c r="C58" t="inlineStr">
        <is>
          <t>Föryngringsavverkning</t>
        </is>
      </c>
      <c r="D58" s="1" t="n">
        <v>44777</v>
      </c>
      <c r="E58" s="1" t="n">
        <v>46235</v>
      </c>
      <c r="F58" t="inlineStr">
        <is>
          <t>UPPSALA LÄN</t>
        </is>
      </c>
      <c r="G58" t="inlineStr">
        <is>
          <t>KNIVSTA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46235</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46235</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19777-2026</t>
        </is>
      </c>
      <c r="B61" t="inlineStr">
        <is>
          <t>avverkningsanmälan</t>
        </is>
      </c>
      <c r="C61" t="inlineStr">
        <is>
          <t>Föryngringsavverkning</t>
        </is>
      </c>
      <c r="D61" s="1" t="n">
        <v>46135</v>
      </c>
      <c r="E61" s="1" t="n">
        <v>46235</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46235</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46235</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26182-2022</t>
        </is>
      </c>
      <c r="B64" t="inlineStr">
        <is>
          <t>avverkningsanmälan</t>
        </is>
      </c>
      <c r="C64" t="inlineStr">
        <is>
          <t>Föryngringsavverkning</t>
        </is>
      </c>
      <c r="D64" s="1" t="n">
        <v>44735</v>
      </c>
      <c r="E64" s="1" t="n">
        <v>46235</v>
      </c>
      <c r="F64" t="inlineStr">
        <is>
          <t>UPPSALA LÄN</t>
        </is>
      </c>
      <c r="G64" t="inlineStr">
        <is>
          <t>KNIVSTA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28668-2026</t>
        </is>
      </c>
      <c r="B65" t="inlineStr">
        <is>
          <t>avverkningsanmälan</t>
        </is>
      </c>
      <c r="C65" t="inlineStr">
        <is>
          <t>Avverkning för annat ändamål</t>
        </is>
      </c>
      <c r="D65" s="1" t="n">
        <v>46193</v>
      </c>
      <c r="E65" s="1" t="n">
        <v>46235</v>
      </c>
      <c r="F65" t="inlineStr">
        <is>
          <t>UPPSALA LÄN</t>
        </is>
      </c>
      <c r="G65" t="inlineStr">
        <is>
          <t>KNIVSTA</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46235</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2629-2025</t>
        </is>
      </c>
      <c r="B67" t="inlineStr">
        <is>
          <t>avverkningsanmälan</t>
        </is>
      </c>
      <c r="C67" t="inlineStr">
        <is>
          <t>Föryngringsavverkning</t>
        </is>
      </c>
      <c r="D67" s="1" t="n">
        <v>45675</v>
      </c>
      <c r="E67" s="1" t="n">
        <v>46235</v>
      </c>
      <c r="F67" t="inlineStr">
        <is>
          <t>UPPSALA LÄN</t>
        </is>
      </c>
      <c r="G67" t="inlineStr">
        <is>
          <t>KNIVSTA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46235</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5320-2023</t>
        </is>
      </c>
      <c r="B69" t="inlineStr">
        <is>
          <t>avverkningsanmälan</t>
        </is>
      </c>
      <c r="C69" t="inlineStr">
        <is>
          <t>Föryngringsavverkning</t>
        </is>
      </c>
      <c r="D69" s="1" t="n">
        <v>44959</v>
      </c>
      <c r="E69" s="1" t="n">
        <v>46235</v>
      </c>
      <c r="F69" t="inlineStr">
        <is>
          <t>UPPSALA LÄN</t>
        </is>
      </c>
      <c r="G69" t="inlineStr">
        <is>
          <t>KNIVSTA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23969-2026</t>
        </is>
      </c>
      <c r="B70" t="inlineStr">
        <is>
          <t>avverkningsanmälan</t>
        </is>
      </c>
      <c r="C70" t="inlineStr">
        <is>
          <t>Föryngringsavverkning</t>
        </is>
      </c>
      <c r="D70" s="1" t="n">
        <v>46167</v>
      </c>
      <c r="E70" s="1" t="n">
        <v>46235</v>
      </c>
      <c r="F70" t="inlineStr">
        <is>
          <t>UPPSALA LÄN</t>
        </is>
      </c>
      <c r="G70" t="inlineStr">
        <is>
          <t>KNIVSTA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45916-2022</t>
        </is>
      </c>
      <c r="B71" t="inlineStr">
        <is>
          <t>avverkningsanmälan</t>
        </is>
      </c>
      <c r="C71" t="inlineStr">
        <is>
          <t>Föryngringsavverkning</t>
        </is>
      </c>
      <c r="D71" s="1" t="n">
        <v>44846</v>
      </c>
      <c r="E71" s="1" t="n">
        <v>46235</v>
      </c>
      <c r="F71" t="inlineStr">
        <is>
          <t>UPPSALA LÄN</t>
        </is>
      </c>
      <c r="G71" t="inlineStr">
        <is>
          <t>KNIVSTA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66284-2021</t>
        </is>
      </c>
      <c r="B72" t="inlineStr">
        <is>
          <t>avverkningsanmälan</t>
        </is>
      </c>
      <c r="C72" t="inlineStr">
        <is>
          <t>Föryngringsavverkning</t>
        </is>
      </c>
      <c r="D72" s="1" t="n">
        <v>44518</v>
      </c>
      <c r="E72" s="1" t="n">
        <v>46235</v>
      </c>
      <c r="F72" t="inlineStr">
        <is>
          <t>UPPSALA LÄN</t>
        </is>
      </c>
      <c r="G72" t="inlineStr">
        <is>
          <t>KNIVSTA</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19676-2025</t>
        </is>
      </c>
      <c r="B73" t="inlineStr">
        <is>
          <t>avverkningsanmälan</t>
        </is>
      </c>
      <c r="C73" t="inlineStr">
        <is>
          <t>Föryngringsavverkning</t>
        </is>
      </c>
      <c r="D73" s="1" t="n">
        <v>45770</v>
      </c>
      <c r="E73" s="1" t="n">
        <v>46235</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662-2026</t>
        </is>
      </c>
      <c r="B74" t="inlineStr">
        <is>
          <t>avverkningsanmälan</t>
        </is>
      </c>
      <c r="C74" t="inlineStr">
        <is>
          <t>Föryngringsavverkning</t>
        </is>
      </c>
      <c r="D74" s="1" t="n">
        <v>46029</v>
      </c>
      <c r="E74" s="1" t="n">
        <v>46235</v>
      </c>
      <c r="F74" t="inlineStr">
        <is>
          <t>UPPSALA LÄN</t>
        </is>
      </c>
      <c r="G74" t="inlineStr">
        <is>
          <t>KNIVSTA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8343-2024</t>
        </is>
      </c>
      <c r="B75" t="inlineStr">
        <is>
          <t>avverkningsanmälan</t>
        </is>
      </c>
      <c r="C75" t="inlineStr">
        <is>
          <t>Föryngringsavverkning</t>
        </is>
      </c>
      <c r="D75" s="1" t="n">
        <v>45352</v>
      </c>
      <c r="E75" s="1" t="n">
        <v>46235</v>
      </c>
      <c r="F75" t="inlineStr">
        <is>
          <t>UPPSALA LÄN</t>
        </is>
      </c>
      <c r="G75" t="inlineStr">
        <is>
          <t>KNIVSTA</t>
        </is>
      </c>
      <c r="H75" t="inlineStr">
        <is>
          <t>Holmen skog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30627-2023</t>
        </is>
      </c>
      <c r="B76" t="inlineStr">
        <is>
          <t>avverkningsanmälan</t>
        </is>
      </c>
      <c r="C76" t="inlineStr">
        <is>
          <t>Föryngringsavverkning</t>
        </is>
      </c>
      <c r="D76" s="1" t="n">
        <v>45112</v>
      </c>
      <c r="E76" s="1" t="n">
        <v>46235</v>
      </c>
      <c r="F76" t="inlineStr">
        <is>
          <t>UPPSALA LÄN</t>
        </is>
      </c>
      <c r="G76" t="inlineStr">
        <is>
          <t>KNIVSTA</t>
        </is>
      </c>
      <c r="H76" t="inlineStr">
        <is>
          <t>Holmen skog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5276-2026</t>
        </is>
      </c>
      <c r="B77" t="inlineStr">
        <is>
          <t>avverkningsanmälan</t>
        </is>
      </c>
      <c r="C77" t="inlineStr">
        <is>
          <t>Föryngringsavverkning</t>
        </is>
      </c>
      <c r="D77" s="1" t="n">
        <v>46037</v>
      </c>
      <c r="E77" s="1" t="n">
        <v>46235</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3375-2026</t>
        </is>
      </c>
      <c r="B78" t="inlineStr">
        <is>
          <t>avverkningsanmälan</t>
        </is>
      </c>
      <c r="C78" t="inlineStr">
        <is>
          <t>Föryngringsavverkning</t>
        </is>
      </c>
      <c r="D78" s="1" t="n">
        <v>46042</v>
      </c>
      <c r="E78" s="1" t="n">
        <v>46235</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1629-2024</t>
        </is>
      </c>
      <c r="B79" t="inlineStr">
        <is>
          <t>avverkningsanmälan</t>
        </is>
      </c>
      <c r="C79" t="inlineStr">
        <is>
          <t>Föryngringsavverkning</t>
        </is>
      </c>
      <c r="D79" s="1" t="n">
        <v>45306</v>
      </c>
      <c r="E79" s="1" t="n">
        <v>46235</v>
      </c>
      <c r="F79" t="inlineStr">
        <is>
          <t>UPPSALA LÄN</t>
        </is>
      </c>
      <c r="G79" t="inlineStr">
        <is>
          <t>KNIVSTA</t>
        </is>
      </c>
      <c r="H79" t="inlineStr">
        <is>
          <t>Holmen skog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3824-2026</t>
        </is>
      </c>
      <c r="B80" t="inlineStr">
        <is>
          <t>avverkningsanmälan</t>
        </is>
      </c>
      <c r="C80" t="inlineStr">
        <is>
          <t>Föryngringsavverkning</t>
        </is>
      </c>
      <c r="D80" s="1" t="n">
        <v>46043</v>
      </c>
      <c r="E80" s="1" t="n">
        <v>46235</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5908-2026</t>
        </is>
      </c>
      <c r="B81" t="inlineStr">
        <is>
          <t>avverkningsanmälan</t>
        </is>
      </c>
      <c r="C81" t="inlineStr">
        <is>
          <t>Föryngringsavverkning</t>
        </is>
      </c>
      <c r="D81" s="1" t="n">
        <v>46052</v>
      </c>
      <c r="E81" s="1" t="n">
        <v>46235</v>
      </c>
      <c r="F81" t="inlineStr">
        <is>
          <t>UPPSALA LÄN</t>
        </is>
      </c>
      <c r="G81" t="inlineStr">
        <is>
          <t>KNIVSTA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5910-2026</t>
        </is>
      </c>
      <c r="B82" t="inlineStr">
        <is>
          <t>avverkningsanmälan</t>
        </is>
      </c>
      <c r="C82" t="inlineStr">
        <is>
          <t>Föryngringsavverkning</t>
        </is>
      </c>
      <c r="D82" s="1" t="n">
        <v>46052</v>
      </c>
      <c r="E82" s="1" t="n">
        <v>46235</v>
      </c>
      <c r="F82" t="inlineStr">
        <is>
          <t>UPPSALA LÄN</t>
        </is>
      </c>
      <c r="G82" t="inlineStr">
        <is>
          <t>KNIVSTA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17091-2023</t>
        </is>
      </c>
      <c r="B83" t="inlineStr">
        <is>
          <t>avverkningsanmälan</t>
        </is>
      </c>
      <c r="C83" t="inlineStr">
        <is>
          <t>Föryngringsavverkning</t>
        </is>
      </c>
      <c r="D83" s="1" t="n">
        <v>45034</v>
      </c>
      <c r="E83" s="1" t="n">
        <v>46235</v>
      </c>
      <c r="F83" t="inlineStr">
        <is>
          <t>UPPSALA LÄN</t>
        </is>
      </c>
      <c r="G83" t="inlineStr">
        <is>
          <t>KNIVSTA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9744-2026</t>
        </is>
      </c>
      <c r="B84" t="inlineStr">
        <is>
          <t>avverkningsanmälan</t>
        </is>
      </c>
      <c r="C84" t="inlineStr">
        <is>
          <t>Föryngringsavverkning</t>
        </is>
      </c>
      <c r="D84" s="1" t="n">
        <v>46072</v>
      </c>
      <c r="E84" s="1" t="n">
        <v>46235</v>
      </c>
      <c r="F84" t="inlineStr">
        <is>
          <t>UPPSALA LÄN</t>
        </is>
      </c>
      <c r="G84" t="inlineStr">
        <is>
          <t>KNIVSTA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46235</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12027-2026</t>
        </is>
      </c>
      <c r="B86" t="inlineStr">
        <is>
          <t>avverkningsanmälan</t>
        </is>
      </c>
      <c r="C86" t="inlineStr">
        <is>
          <t>Avverkning för annat ändamål</t>
        </is>
      </c>
      <c r="D86" s="1" t="n">
        <v>46085</v>
      </c>
      <c r="E86" s="1" t="n">
        <v>46235</v>
      </c>
      <c r="F86" t="inlineStr">
        <is>
          <t>UPPSALA LÄN</t>
        </is>
      </c>
      <c r="G86" t="inlineStr">
        <is>
          <t>KNIVSTA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12774-2026</t>
        </is>
      </c>
      <c r="B87" t="inlineStr">
        <is>
          <t>avverkningsanmälan</t>
        </is>
      </c>
      <c r="C87" t="inlineStr">
        <is>
          <t>Föryngringsavverkning</t>
        </is>
      </c>
      <c r="D87" s="1" t="n">
        <v>46091</v>
      </c>
      <c r="E87" s="1" t="n">
        <v>46235</v>
      </c>
      <c r="F87" t="inlineStr">
        <is>
          <t>UPPSALA LÄN</t>
        </is>
      </c>
      <c r="G87" t="inlineStr">
        <is>
          <t>KNIVSTA</t>
        </is>
      </c>
      <c r="H87" t="inlineStr">
        <is>
          <t>Holmen skog AB</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13013-2026</t>
        </is>
      </c>
      <c r="B88" t="inlineStr">
        <is>
          <t>avverkningsanmälan</t>
        </is>
      </c>
      <c r="C88" t="inlineStr">
        <is>
          <t>Föryngringsavverkning</t>
        </is>
      </c>
      <c r="D88" s="1" t="n">
        <v>46092</v>
      </c>
      <c r="E88" s="1" t="n">
        <v>46235</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13011-2026</t>
        </is>
      </c>
      <c r="B89" t="inlineStr">
        <is>
          <t>avverkningsanmälan</t>
        </is>
      </c>
      <c r="C89" t="inlineStr">
        <is>
          <t>Föryngringsavverkning</t>
        </is>
      </c>
      <c r="D89" s="1" t="n">
        <v>46092</v>
      </c>
      <c r="E89" s="1" t="n">
        <v>46235</v>
      </c>
      <c r="F89" t="inlineStr">
        <is>
          <t>UPPSALA LÄN</t>
        </is>
      </c>
      <c r="G89" t="inlineStr">
        <is>
          <t>KNIVSTA</t>
        </is>
      </c>
      <c r="H89" t="inlineStr">
        <is>
          <t>Holmen skog AB</t>
        </is>
      </c>
      <c r="I89" t="n">
        <v>1.9</v>
      </c>
      <c r="J89" t="n">
        <v>0</v>
      </c>
      <c r="K89" t="n">
        <v>0</v>
      </c>
      <c r="L89" t="n">
        <v>0</v>
      </c>
      <c r="M89" t="n">
        <v>0</v>
      </c>
      <c r="N89" t="n">
        <v>0</v>
      </c>
      <c r="O89" t="n">
        <v>0</v>
      </c>
      <c r="P89" t="n">
        <v>0</v>
      </c>
      <c r="Q89" t="n">
        <v>0</v>
      </c>
      <c r="R89" t="n">
        <v>0</v>
      </c>
      <c r="S89" t="n">
        <v>0</v>
      </c>
      <c r="T89" t="n">
        <v>0</v>
      </c>
      <c r="U89" t="n">
        <v>0</v>
      </c>
      <c r="V89" s="2" t="inlineStr"/>
      <c r="Z89">
        <f>HYPERLINK("https://klasma.github.io/Logging_0330/knärot/A 13011-2026 karta knärot.png", "A 13011-2026")</f>
        <v/>
      </c>
      <c r="AA89">
        <f>HYPERLINK("https://klasma.github.io/Logging_0330/klagomål/A 13011-2026 FSC-klagomål.docx", "A 13011-2026")</f>
        <v/>
      </c>
      <c r="AB89">
        <f>HYPERLINK("https://klasma.github.io/Logging_0330/klagomålsmail/A 13011-2026 FSC-klagomål mail.docx", "A 13011-2026")</f>
        <v/>
      </c>
      <c r="AC89">
        <f>HYPERLINK("https://klasma.github.io/Logging_0330/tillsyn/A 13011-2026 tillsynsbegäran.docx", "A 13011-2026")</f>
        <v/>
      </c>
      <c r="AD89">
        <f>HYPERLINK("https://klasma.github.io/Logging_0330/tillsynsmail/A 13011-2026 tillsynsbegäran mail.docx", "A 13011-2026")</f>
        <v/>
      </c>
    </row>
    <row r="90" ht="15" customHeight="1">
      <c r="A90" t="inlineStr">
        <is>
          <t>A 13016-2026</t>
        </is>
      </c>
      <c r="B90" t="inlineStr">
        <is>
          <t>avverkningsanmälan</t>
        </is>
      </c>
      <c r="C90" t="inlineStr">
        <is>
          <t>Föryngringsavverkning</t>
        </is>
      </c>
      <c r="D90" s="1" t="n">
        <v>46092</v>
      </c>
      <c r="E90" s="1" t="n">
        <v>46235</v>
      </c>
      <c r="F90" t="inlineStr">
        <is>
          <t>UPPSALA LÄN</t>
        </is>
      </c>
      <c r="G90" t="inlineStr">
        <is>
          <t>KNIVSTA</t>
        </is>
      </c>
      <c r="H90" t="inlineStr">
        <is>
          <t>Holmen skog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13001-2026</t>
        </is>
      </c>
      <c r="B91" t="inlineStr">
        <is>
          <t>avverkningsanmälan</t>
        </is>
      </c>
      <c r="C91" t="inlineStr">
        <is>
          <t>Föryngringsavverkning</t>
        </is>
      </c>
      <c r="D91" s="1" t="n">
        <v>46092</v>
      </c>
      <c r="E91" s="1" t="n">
        <v>46235</v>
      </c>
      <c r="F91" t="inlineStr">
        <is>
          <t>UPPSALA LÄN</t>
        </is>
      </c>
      <c r="G91" t="inlineStr">
        <is>
          <t>KNIVSTA</t>
        </is>
      </c>
      <c r="H91" t="inlineStr">
        <is>
          <t>Holmen skog AB</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13005-2026</t>
        </is>
      </c>
      <c r="B92" t="inlineStr">
        <is>
          <t>avverkningsanmälan</t>
        </is>
      </c>
      <c r="C92" t="inlineStr">
        <is>
          <t>Föryngringsavverkning</t>
        </is>
      </c>
      <c r="D92" s="1" t="n">
        <v>46092</v>
      </c>
      <c r="E92" s="1" t="n">
        <v>46235</v>
      </c>
      <c r="F92" t="inlineStr">
        <is>
          <t>UPPSALA LÄN</t>
        </is>
      </c>
      <c r="G92" t="inlineStr">
        <is>
          <t>KNIVSTA</t>
        </is>
      </c>
      <c r="H92" t="inlineStr">
        <is>
          <t>Holmen skog AB</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16773-2022</t>
        </is>
      </c>
      <c r="B93" t="inlineStr">
        <is>
          <t>avverkningsanmälan</t>
        </is>
      </c>
      <c r="C93" t="inlineStr">
        <is>
          <t>Avverkning för annat ändamål</t>
        </is>
      </c>
      <c r="D93" s="1" t="n">
        <v>44673</v>
      </c>
      <c r="E93" s="1" t="n">
        <v>46235</v>
      </c>
      <c r="F93" t="inlineStr">
        <is>
          <t>UPPSALA LÄN</t>
        </is>
      </c>
      <c r="G93" t="inlineStr">
        <is>
          <t>KNIVSTA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30764-2023</t>
        </is>
      </c>
      <c r="B94" t="inlineStr">
        <is>
          <t>avverkningsanmälan</t>
        </is>
      </c>
      <c r="C94" t="inlineStr">
        <is>
          <t>Föryngringsavverkning</t>
        </is>
      </c>
      <c r="D94" s="1" t="n">
        <v>45112</v>
      </c>
      <c r="E94" s="1" t="n">
        <v>46235</v>
      </c>
      <c r="F94" t="inlineStr">
        <is>
          <t>UPPSALA LÄN</t>
        </is>
      </c>
      <c r="G94" t="inlineStr">
        <is>
          <t>KNIVSTA</t>
        </is>
      </c>
      <c r="H94" t="inlineStr">
        <is>
          <t>Holmen skog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51849-2023</t>
        </is>
      </c>
      <c r="B95" t="inlineStr">
        <is>
          <t>avverkningsanmälan</t>
        </is>
      </c>
      <c r="C95" t="inlineStr">
        <is>
          <t>Föryngringsavverkning</t>
        </is>
      </c>
      <c r="D95" s="1" t="n">
        <v>45223</v>
      </c>
      <c r="E95" s="1" t="n">
        <v>46235</v>
      </c>
      <c r="F95" t="inlineStr">
        <is>
          <t>UPPSALA LÄN</t>
        </is>
      </c>
      <c r="G95" t="inlineStr">
        <is>
          <t>KNIVSTA</t>
        </is>
      </c>
      <c r="I95" t="n">
        <v>16.3</v>
      </c>
      <c r="J95" t="n">
        <v>0</v>
      </c>
      <c r="K95" t="n">
        <v>0</v>
      </c>
      <c r="L95" t="n">
        <v>0</v>
      </c>
      <c r="M95" t="n">
        <v>0</v>
      </c>
      <c r="N95" t="n">
        <v>0</v>
      </c>
      <c r="O95" t="n">
        <v>0</v>
      </c>
      <c r="P95" t="n">
        <v>0</v>
      </c>
      <c r="Q95" t="n">
        <v>0</v>
      </c>
      <c r="R95" t="n">
        <v>0</v>
      </c>
      <c r="S95" t="n">
        <v>0</v>
      </c>
      <c r="T95" t="n">
        <v>0</v>
      </c>
      <c r="U95" t="n">
        <v>0</v>
      </c>
      <c r="V95" s="2" t="inlineStr"/>
    </row>
    <row r="96" ht="15" customHeight="1">
      <c r="A96" t="inlineStr">
        <is>
          <t>A 60018-2024</t>
        </is>
      </c>
      <c r="B96" t="inlineStr">
        <is>
          <t>avverkningsanmälan</t>
        </is>
      </c>
      <c r="C96" t="inlineStr">
        <is>
          <t>Föryngringsavverkning</t>
        </is>
      </c>
      <c r="D96" s="1" t="n">
        <v>45642</v>
      </c>
      <c r="E96" s="1" t="n">
        <v>46235</v>
      </c>
      <c r="F96" t="inlineStr">
        <is>
          <t>UPPSALA LÄN</t>
        </is>
      </c>
      <c r="G96" t="inlineStr">
        <is>
          <t>KNIVSTA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17333-2024</t>
        </is>
      </c>
      <c r="B97" t="inlineStr">
        <is>
          <t>avverkningsanmälan</t>
        </is>
      </c>
      <c r="C97" t="inlineStr">
        <is>
          <t>Föryngringsavverkning</t>
        </is>
      </c>
      <c r="D97" s="1" t="n">
        <v>45414</v>
      </c>
      <c r="E97" s="1" t="n">
        <v>46235</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1791-2024</t>
        </is>
      </c>
      <c r="B98" t="inlineStr">
        <is>
          <t>avverkningsanmälan</t>
        </is>
      </c>
      <c r="C98" t="inlineStr">
        <is>
          <t>Föryngringsavverkning</t>
        </is>
      </c>
      <c r="D98" s="1" t="n">
        <v>45307</v>
      </c>
      <c r="E98" s="1" t="n">
        <v>46235</v>
      </c>
      <c r="F98" t="inlineStr">
        <is>
          <t>UPPSALA LÄN</t>
        </is>
      </c>
      <c r="G98" t="inlineStr">
        <is>
          <t>KNIVSTA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794-2024</t>
        </is>
      </c>
      <c r="B99" t="inlineStr">
        <is>
          <t>avverkningsanmälan</t>
        </is>
      </c>
      <c r="C99" t="inlineStr">
        <is>
          <t>Föryngringsavverkning</t>
        </is>
      </c>
      <c r="D99" s="1" t="n">
        <v>45300</v>
      </c>
      <c r="E99" s="1" t="n">
        <v>46235</v>
      </c>
      <c r="F99" t="inlineStr">
        <is>
          <t>UPPSALA LÄN</t>
        </is>
      </c>
      <c r="G99" t="inlineStr">
        <is>
          <t>KNIVSTA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19774-2026</t>
        </is>
      </c>
      <c r="B100" t="inlineStr">
        <is>
          <t>avverkningsanmälan</t>
        </is>
      </c>
      <c r="C100" t="inlineStr">
        <is>
          <t>Föryngringsavverkning</t>
        </is>
      </c>
      <c r="D100" s="1" t="n">
        <v>46135</v>
      </c>
      <c r="E100" s="1" t="n">
        <v>46235</v>
      </c>
      <c r="F100" t="inlineStr">
        <is>
          <t>UPPSALA LÄN</t>
        </is>
      </c>
      <c r="G100" t="inlineStr">
        <is>
          <t>KNIVSTA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2628-2025</t>
        </is>
      </c>
      <c r="B101" t="inlineStr">
        <is>
          <t>avverkningsanmälan</t>
        </is>
      </c>
      <c r="C101" t="inlineStr">
        <is>
          <t>Föryngringsavverkning</t>
        </is>
      </c>
      <c r="D101" s="1" t="n">
        <v>45675</v>
      </c>
      <c r="E101" s="1" t="n">
        <v>46235</v>
      </c>
      <c r="F101" t="inlineStr">
        <is>
          <t>UPPSALA LÄN</t>
        </is>
      </c>
      <c r="G101" t="inlineStr">
        <is>
          <t>KNIVSTA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46235</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46235</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46235</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36473-2025</t>
        </is>
      </c>
      <c r="B105" t="inlineStr">
        <is>
          <t>avverkningsanmälan</t>
        </is>
      </c>
      <c r="C105" t="inlineStr">
        <is>
          <t>Föryngringsavverkning</t>
        </is>
      </c>
      <c r="D105" s="1" t="n">
        <v>45869</v>
      </c>
      <c r="E105" s="1" t="n">
        <v>46235</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46235</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2026-08-01T01:50:31Z</dcterms:created>
  <dcterms:modified xmlns:dcterms="http://purl.org/dc/terms/" xmlns:xsi="http://www.w3.org/2001/XMLSchema-instance" xsi:type="dcterms:W3CDTF">2026-08-01T01:50:31Z</dcterms:modified>
</cp:coreProperties>
</file>