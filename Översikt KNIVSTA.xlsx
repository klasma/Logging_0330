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4056-2022</t>
        </is>
      </c>
      <c r="B2" t="inlineStr">
        <is>
          <t>avverkningsanmälan</t>
        </is>
      </c>
      <c r="C2" t="inlineStr">
        <is>
          <t>Föryngringsavverkning</t>
        </is>
      </c>
      <c r="D2" s="1" t="n">
        <v>44588</v>
      </c>
      <c r="E2" s="1" t="n">
        <v>46222</v>
      </c>
      <c r="F2" t="inlineStr">
        <is>
          <t>UPPSALA LÄN</t>
        </is>
      </c>
      <c r="G2" t="inlineStr">
        <is>
          <t>KNIVSTA</t>
        </is>
      </c>
      <c r="I2" t="n">
        <v>14.4</v>
      </c>
      <c r="J2" t="n">
        <v>8</v>
      </c>
      <c r="K2" t="n">
        <v>11</v>
      </c>
      <c r="L2" t="n">
        <v>14</v>
      </c>
      <c r="M2" t="n">
        <v>4</v>
      </c>
      <c r="N2" t="n">
        <v>3</v>
      </c>
      <c r="O2" t="n">
        <v>0</v>
      </c>
      <c r="P2" t="n">
        <v>0</v>
      </c>
      <c r="Q2" t="n">
        <v>21</v>
      </c>
      <c r="R2" t="n">
        <v>7</v>
      </c>
      <c r="S2" t="n">
        <v>37</v>
      </c>
      <c r="T2" t="n">
        <v>104</v>
      </c>
      <c r="U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2">
        <f>HYPERLINK("https://klasma.github.io/Logging_0330/artfynd/A 4056-2022 artfynd.xlsx", "A 4056-2022")</f>
        <v/>
      </c>
      <c r="W2">
        <f>HYPERLINK("https://klasma.github.io/Logging_0330/kartor/A 4056-2022 karta.png", "A 4056-2022")</f>
        <v/>
      </c>
      <c r="X2">
        <f>HYPERLINK("https://klasma.github.io/Logging_0330/knärot/A 4056-2022 karta knärot.png", "A 4056-2022")</f>
        <v/>
      </c>
      <c r="Y2">
        <f>HYPERLINK("https://klasma.github.io/Logging_0330/klagomål/A 4056-2022 FSC-klagomål.docx", "A 4056-2022")</f>
        <v/>
      </c>
      <c r="Z2">
        <f>HYPERLINK("https://klasma.github.io/Logging_0330/klagomålsmail/A 4056-2022 FSC-klagomål mail.docx", "A 4056-2022")</f>
        <v/>
      </c>
      <c r="AA2">
        <f>HYPERLINK("https://klasma.github.io/Logging_0330/tillsyn/A 4056-2022 tillsynsbegäran.docx", "A 4056-2022")</f>
        <v/>
      </c>
      <c r="AB2">
        <f>HYPERLINK("https://klasma.github.io/Logging_0330/tillsynsmail/A 4056-2022 tillsynsbegäran mail.docx", "A 4056-2022")</f>
        <v/>
      </c>
      <c r="AC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46222</v>
      </c>
      <c r="F3" t="inlineStr">
        <is>
          <t>UPPSALA LÄN</t>
        </is>
      </c>
      <c r="G3" t="inlineStr">
        <is>
          <t>KNIVSTA</t>
        </is>
      </c>
      <c r="I3" t="n">
        <v>17.1</v>
      </c>
      <c r="J3" t="n">
        <v>3</v>
      </c>
      <c r="K3" t="n">
        <v>18</v>
      </c>
      <c r="L3" t="n">
        <v>10</v>
      </c>
      <c r="M3" t="n">
        <v>1</v>
      </c>
      <c r="N3" t="n">
        <v>0</v>
      </c>
      <c r="O3" t="n">
        <v>0</v>
      </c>
      <c r="P3" t="n">
        <v>0</v>
      </c>
      <c r="Q3" t="n">
        <v>12</v>
      </c>
      <c r="R3" t="n">
        <v>1</v>
      </c>
      <c r="S3" t="n">
        <v>34</v>
      </c>
      <c r="T3" t="n">
        <v>153</v>
      </c>
      <c r="U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3">
        <f>HYPERLINK("https://klasma.github.io/Logging_0330/artfynd/A 5455-2025 artfynd.xlsx", "A 5455-2025")</f>
        <v/>
      </c>
      <c r="W3">
        <f>HYPERLINK("https://klasma.github.io/Logging_0330/kartor/A 5455-2025 karta.png", "A 5455-2025")</f>
        <v/>
      </c>
      <c r="Y3">
        <f>HYPERLINK("https://klasma.github.io/Logging_0330/klagomål/A 5455-2025 FSC-klagomål.docx", "A 5455-2025")</f>
        <v/>
      </c>
      <c r="Z3">
        <f>HYPERLINK("https://klasma.github.io/Logging_0330/klagomålsmail/A 5455-2025 FSC-klagomål mail.docx", "A 5455-2025")</f>
        <v/>
      </c>
      <c r="AA3">
        <f>HYPERLINK("https://klasma.github.io/Logging_0330/tillsyn/A 5455-2025 tillsynsbegäran.docx", "A 5455-2025")</f>
        <v/>
      </c>
      <c r="AB3">
        <f>HYPERLINK("https://klasma.github.io/Logging_0330/tillsynsmail/A 5455-2025 tillsynsbegäran mail.docx", "A 5455-2025")</f>
        <v/>
      </c>
      <c r="AC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46222</v>
      </c>
      <c r="F4" t="inlineStr">
        <is>
          <t>UPPSALA LÄN</t>
        </is>
      </c>
      <c r="G4" t="inlineStr">
        <is>
          <t>KNIVSTA</t>
        </is>
      </c>
      <c r="I4" t="n">
        <v>7.8</v>
      </c>
      <c r="J4" t="n">
        <v>5</v>
      </c>
      <c r="K4" t="n">
        <v>12</v>
      </c>
      <c r="L4" t="n">
        <v>10</v>
      </c>
      <c r="M4" t="n">
        <v>1</v>
      </c>
      <c r="N4" t="n">
        <v>1</v>
      </c>
      <c r="O4" t="n">
        <v>0</v>
      </c>
      <c r="P4" t="n">
        <v>0</v>
      </c>
      <c r="Q4" t="n">
        <v>12</v>
      </c>
      <c r="R4" t="n">
        <v>2</v>
      </c>
      <c r="S4" t="n">
        <v>27</v>
      </c>
      <c r="T4" t="n">
        <v>44</v>
      </c>
      <c r="U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4">
        <f>HYPERLINK("https://klasma.github.io/Logging_0330/artfynd/A 44867-2023 artfynd.xlsx", "A 44867-2023")</f>
        <v/>
      </c>
      <c r="W4">
        <f>HYPERLINK("https://klasma.github.io/Logging_0330/kartor/A 44867-2023 karta.png", "A 44867-2023")</f>
        <v/>
      </c>
      <c r="Y4">
        <f>HYPERLINK("https://klasma.github.io/Logging_0330/klagomål/A 44867-2023 FSC-klagomål.docx", "A 44867-2023")</f>
        <v/>
      </c>
      <c r="Z4">
        <f>HYPERLINK("https://klasma.github.io/Logging_0330/klagomålsmail/A 44867-2023 FSC-klagomål mail.docx", "A 44867-2023")</f>
        <v/>
      </c>
      <c r="AA4">
        <f>HYPERLINK("https://klasma.github.io/Logging_0330/tillsyn/A 44867-2023 tillsynsbegäran.docx", "A 44867-2023")</f>
        <v/>
      </c>
      <c r="AB4">
        <f>HYPERLINK("https://klasma.github.io/Logging_0330/tillsynsmail/A 44867-2023 tillsynsbegäran mail.docx", "A 44867-2023")</f>
        <v/>
      </c>
      <c r="AC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46222</v>
      </c>
      <c r="F5" t="inlineStr">
        <is>
          <t>UPPSALA LÄN</t>
        </is>
      </c>
      <c r="G5" t="inlineStr">
        <is>
          <t>KNIVSTA</t>
        </is>
      </c>
      <c r="I5" t="n">
        <v>5</v>
      </c>
      <c r="J5" t="n">
        <v>5</v>
      </c>
      <c r="K5" t="n">
        <v>11</v>
      </c>
      <c r="L5" t="n">
        <v>8</v>
      </c>
      <c r="M5" t="n">
        <v>2</v>
      </c>
      <c r="N5" t="n">
        <v>1</v>
      </c>
      <c r="O5" t="n">
        <v>0</v>
      </c>
      <c r="P5" t="n">
        <v>0</v>
      </c>
      <c r="Q5" t="n">
        <v>11</v>
      </c>
      <c r="R5" t="n">
        <v>3</v>
      </c>
      <c r="S5" t="n">
        <v>25</v>
      </c>
      <c r="T5" t="n">
        <v>124</v>
      </c>
      <c r="U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5">
        <f>HYPERLINK("https://klasma.github.io/Logging_0330/artfynd/A 46302-2025 artfynd.xlsx", "A 46302-2025")</f>
        <v/>
      </c>
      <c r="W5">
        <f>HYPERLINK("https://klasma.github.io/Logging_0330/kartor/A 46302-2025 karta.png", "A 46302-2025")</f>
        <v/>
      </c>
      <c r="X5">
        <f>HYPERLINK("https://klasma.github.io/Logging_0330/knärot/A 46302-2025 karta knärot.png", "A 46302-2025")</f>
        <v/>
      </c>
      <c r="Y5">
        <f>HYPERLINK("https://klasma.github.io/Logging_0330/klagomål/A 46302-2025 FSC-klagomål.docx", "A 46302-2025")</f>
        <v/>
      </c>
      <c r="Z5">
        <f>HYPERLINK("https://klasma.github.io/Logging_0330/klagomålsmail/A 46302-2025 FSC-klagomål mail.docx", "A 46302-2025")</f>
        <v/>
      </c>
      <c r="AA5">
        <f>HYPERLINK("https://klasma.github.io/Logging_0330/tillsyn/A 46302-2025 tillsynsbegäran.docx", "A 46302-2025")</f>
        <v/>
      </c>
      <c r="AB5">
        <f>HYPERLINK("https://klasma.github.io/Logging_0330/tillsynsmail/A 46302-2025 tillsynsbegäran mail.docx", "A 46302-2025")</f>
        <v/>
      </c>
      <c r="AC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46222</v>
      </c>
      <c r="F6" t="inlineStr">
        <is>
          <t>UPPSALA LÄN</t>
        </is>
      </c>
      <c r="G6" t="inlineStr">
        <is>
          <t>KNIVSTA</t>
        </is>
      </c>
      <c r="I6" t="n">
        <v>0.7</v>
      </c>
      <c r="J6" t="n">
        <v>0</v>
      </c>
      <c r="K6" t="n">
        <v>9</v>
      </c>
      <c r="L6" t="n">
        <v>6</v>
      </c>
      <c r="M6" t="n">
        <v>3</v>
      </c>
      <c r="N6" t="n">
        <v>0</v>
      </c>
      <c r="O6" t="n">
        <v>0</v>
      </c>
      <c r="P6" t="n">
        <v>0</v>
      </c>
      <c r="Q6" t="n">
        <v>9</v>
      </c>
      <c r="R6" t="n">
        <v>3</v>
      </c>
      <c r="S6" t="n">
        <v>18</v>
      </c>
      <c r="T6" t="n">
        <v>33</v>
      </c>
      <c r="U6" s="2" t="inlineStr">
        <is>
          <t>Apelticka
Aspfjädermossa
Kärnticka
Blastenia relicta
Grönhjon
Kandelabersvamp
Koralltaggsvamp
Lunglav
Ullticka
Bronshjon
Bårdlav
Dvärgtufs
Granbarkgnagare
Platt fjädermossa
Rävticka
Stekelbock
Stor aspticka
Thomsons trägnagare</t>
        </is>
      </c>
      <c r="V6">
        <f>HYPERLINK("https://klasma.github.io/Logging_0330/artfynd/A 7444-2023 artfynd.xlsx", "A 7444-2023")</f>
        <v/>
      </c>
      <c r="W6">
        <f>HYPERLINK("https://klasma.github.io/Logging_0330/kartor/A 7444-2023 karta.png", "A 7444-2023")</f>
        <v/>
      </c>
      <c r="Y6">
        <f>HYPERLINK("https://klasma.github.io/Logging_0330/klagomål/A 7444-2023 FSC-klagomål.docx", "A 7444-2023")</f>
        <v/>
      </c>
      <c r="Z6">
        <f>HYPERLINK("https://klasma.github.io/Logging_0330/klagomålsmail/A 7444-2023 FSC-klagomål mail.docx", "A 7444-2023")</f>
        <v/>
      </c>
      <c r="AA6">
        <f>HYPERLINK("https://klasma.github.io/Logging_0330/tillsyn/A 7444-2023 tillsynsbegäran.docx", "A 7444-2023")</f>
        <v/>
      </c>
      <c r="AB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46222</v>
      </c>
      <c r="F7" t="inlineStr">
        <is>
          <t>UPPSALA LÄN</t>
        </is>
      </c>
      <c r="G7" t="inlineStr">
        <is>
          <t>KNIVSTA</t>
        </is>
      </c>
      <c r="I7" t="n">
        <v>17.8</v>
      </c>
      <c r="J7" t="n">
        <v>12</v>
      </c>
      <c r="K7" t="n">
        <v>4</v>
      </c>
      <c r="L7" t="n">
        <v>5</v>
      </c>
      <c r="M7" t="n">
        <v>1</v>
      </c>
      <c r="N7" t="n">
        <v>0</v>
      </c>
      <c r="O7" t="n">
        <v>0</v>
      </c>
      <c r="P7" t="n">
        <v>0</v>
      </c>
      <c r="Q7" t="n">
        <v>6</v>
      </c>
      <c r="R7" t="n">
        <v>1</v>
      </c>
      <c r="S7" t="n">
        <v>17</v>
      </c>
      <c r="T7" t="n">
        <v>51</v>
      </c>
      <c r="U7" s="2" t="inlineStr">
        <is>
          <t>Grönfink
Grönsångare
Gulsparv
Järnsparv
Rödvingetrast
Ullticka
Granbarkgnagare
Grön sköldmossa
Mindre märgborre
Vedticka
Blåsippa
Kransmossa
Spillkråka
Grönsiska
Havsörn
Kråka
Kungsfågel</t>
        </is>
      </c>
      <c r="V7">
        <f>HYPERLINK("https://klasma.github.io/Logging_0330/artfynd/A 49894-2023 artfynd.xlsx", "A 49894-2023")</f>
        <v/>
      </c>
      <c r="W7">
        <f>HYPERLINK("https://klasma.github.io/Logging_0330/kartor/A 49894-2023 karta.png", "A 49894-2023")</f>
        <v/>
      </c>
      <c r="X7">
        <f>HYPERLINK("https://klasma.github.io/Logging_0330/knärot/A 49894-2023 karta knärot.png", "A 49894-2023")</f>
        <v/>
      </c>
      <c r="Y7">
        <f>HYPERLINK("https://klasma.github.io/Logging_0330/klagomål/A 49894-2023 FSC-klagomål.docx", "A 49894-2023")</f>
        <v/>
      </c>
      <c r="Z7">
        <f>HYPERLINK("https://klasma.github.io/Logging_0330/klagomålsmail/A 49894-2023 FSC-klagomål mail.docx", "A 49894-2023")</f>
        <v/>
      </c>
      <c r="AA7">
        <f>HYPERLINK("https://klasma.github.io/Logging_0330/tillsyn/A 49894-2023 tillsynsbegäran.docx", "A 49894-2023")</f>
        <v/>
      </c>
      <c r="AB7">
        <f>HYPERLINK("https://klasma.github.io/Logging_0330/tillsynsmail/A 49894-2023 tillsynsbegäran mail.docx", "A 49894-2023")</f>
        <v/>
      </c>
      <c r="AC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46222</v>
      </c>
      <c r="F8" t="inlineStr">
        <is>
          <t>UPPSALA LÄN</t>
        </is>
      </c>
      <c r="G8" t="inlineStr">
        <is>
          <t>KNIVSTA</t>
        </is>
      </c>
      <c r="I8" t="n">
        <v>1.4</v>
      </c>
      <c r="J8" t="n">
        <v>4</v>
      </c>
      <c r="K8" t="n">
        <v>6</v>
      </c>
      <c r="L8" t="n">
        <v>1</v>
      </c>
      <c r="M8" t="n">
        <v>1</v>
      </c>
      <c r="N8" t="n">
        <v>1</v>
      </c>
      <c r="O8" t="n">
        <v>0</v>
      </c>
      <c r="P8" t="n">
        <v>0</v>
      </c>
      <c r="Q8" t="n">
        <v>3</v>
      </c>
      <c r="R8" t="n">
        <v>2</v>
      </c>
      <c r="S8" t="n">
        <v>12</v>
      </c>
      <c r="T8" t="n">
        <v>26</v>
      </c>
      <c r="U8" s="2" t="inlineStr">
        <is>
          <t>Bombmurkla
Knärot
Ullticka
Granbarkgnagare
Grov fjädermossa
Grönpyrola
Kamjordstjärna
Platt fjädermossa
Svart trolldruva
Blåsippa
Kransmossa
Spillkråka</t>
        </is>
      </c>
      <c r="V8">
        <f>HYPERLINK("https://klasma.github.io/Logging_0330/artfynd/A 22258-2022 artfynd.xlsx", "A 22258-2022")</f>
        <v/>
      </c>
      <c r="W8">
        <f>HYPERLINK("https://klasma.github.io/Logging_0330/kartor/A 22258-2022 karta.png", "A 22258-2022")</f>
        <v/>
      </c>
      <c r="X8">
        <f>HYPERLINK("https://klasma.github.io/Logging_0330/knärot/A 22258-2022 karta knärot.png", "A 22258-2022")</f>
        <v/>
      </c>
      <c r="Y8">
        <f>HYPERLINK("https://klasma.github.io/Logging_0330/klagomål/A 22258-2022 FSC-klagomål.docx", "A 22258-2022")</f>
        <v/>
      </c>
      <c r="Z8">
        <f>HYPERLINK("https://klasma.github.io/Logging_0330/klagomålsmail/A 22258-2022 FSC-klagomål mail.docx", "A 22258-2022")</f>
        <v/>
      </c>
      <c r="AA8">
        <f>HYPERLINK("https://klasma.github.io/Logging_0330/tillsyn/A 22258-2022 tillsynsbegäran.docx", "A 22258-2022")</f>
        <v/>
      </c>
      <c r="AB8">
        <f>HYPERLINK("https://klasma.github.io/Logging_0330/tillsynsmail/A 22258-2022 tillsynsbegäran mail.docx", "A 22258-2022")</f>
        <v/>
      </c>
      <c r="AC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46222</v>
      </c>
      <c r="F9" t="inlineStr">
        <is>
          <t>UPPSALA LÄN</t>
        </is>
      </c>
      <c r="G9" t="inlineStr">
        <is>
          <t>KNIVSTA</t>
        </is>
      </c>
      <c r="I9" t="n">
        <v>4.4</v>
      </c>
      <c r="J9" t="n">
        <v>2</v>
      </c>
      <c r="K9" t="n">
        <v>1</v>
      </c>
      <c r="L9" t="n">
        <v>5</v>
      </c>
      <c r="M9" t="n">
        <v>1</v>
      </c>
      <c r="N9" t="n">
        <v>0</v>
      </c>
      <c r="O9" t="n">
        <v>0</v>
      </c>
      <c r="P9" t="n">
        <v>0</v>
      </c>
      <c r="Q9" t="n">
        <v>6</v>
      </c>
      <c r="R9" t="n">
        <v>1</v>
      </c>
      <c r="S9" t="n">
        <v>8</v>
      </c>
      <c r="T9" t="n">
        <v>19</v>
      </c>
      <c r="U9" s="2" t="inlineStr">
        <is>
          <t>Knärot
Dropptaggsvamp
Motaggsvamp
Tallticka
Ullticka
Vintertagging
Blomkålssvamp
Fläcknycklar</t>
        </is>
      </c>
      <c r="V9">
        <f>HYPERLINK("https://klasma.github.io/Logging_0330/artfynd/A 2214-2026 artfynd.xlsx", "A 2214-2026")</f>
        <v/>
      </c>
      <c r="W9">
        <f>HYPERLINK("https://klasma.github.io/Logging_0330/kartor/A 2214-2026 karta.png", "A 2214-2026")</f>
        <v/>
      </c>
      <c r="X9">
        <f>HYPERLINK("https://klasma.github.io/Logging_0330/knärot/A 2214-2026 karta knärot.png", "A 2214-2026")</f>
        <v/>
      </c>
      <c r="Y9">
        <f>HYPERLINK("https://klasma.github.io/Logging_0330/klagomål/A 2214-2026 FSC-klagomål.docx", "A 2214-2026")</f>
        <v/>
      </c>
      <c r="Z9">
        <f>HYPERLINK("https://klasma.github.io/Logging_0330/klagomålsmail/A 2214-2026 FSC-klagomål mail.docx", "A 2214-2026")</f>
        <v/>
      </c>
      <c r="AA9">
        <f>HYPERLINK("https://klasma.github.io/Logging_0330/tillsyn/A 2214-2026 tillsynsbegäran.docx", "A 2214-2026")</f>
        <v/>
      </c>
      <c r="AB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46222</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s="2" t="inlineStr">
        <is>
          <t>Franstandad barkskinnbagge
Skrovlig taggsvamp
Tallticka
Järpe
Havsörn
Fläcknycklar</t>
        </is>
      </c>
      <c r="V10">
        <f>HYPERLINK("https://klasma.github.io/Logging_0330/artfynd/S 4597-2022 artfynd.xlsx", "S 4597-2022")</f>
        <v/>
      </c>
      <c r="W10">
        <f>HYPERLINK("https://klasma.github.io/Logging_0330/kartor/S 4597-2022 karta.png", "S 4597-2022")</f>
        <v/>
      </c>
      <c r="Y10">
        <f>HYPERLINK("https://klasma.github.io/Logging_0330/klagomål/S 4597-2022 FSC-klagomål.docx", "S 4597-2022")</f>
        <v/>
      </c>
      <c r="Z10">
        <f>HYPERLINK("https://klasma.github.io/Logging_0330/klagomålsmail/S 4597-2022 FSC-klagomål mail.docx", "S 4597-2022")</f>
        <v/>
      </c>
      <c r="AA10">
        <f>HYPERLINK("https://klasma.github.io/Logging_0330/tillsyn/S 4597-2022 tillsynsbegäran.docx", "S 4597-2022")</f>
        <v/>
      </c>
      <c r="AB10">
        <f>HYPERLINK("https://klasma.github.io/Logging_0330/tillsynsmail/S 4597-2022 tillsynsbegäran mail.docx", "S 4597-2022")</f>
        <v/>
      </c>
      <c r="AC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46222</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s="2" t="inlineStr">
        <is>
          <t>Mindre bastardsvärmare
Grönpyrola
Ljus vedstrit
Mörk vedstrit
Vanlig flatbagge
Tjäder</t>
        </is>
      </c>
      <c r="V11">
        <f>HYPERLINK("https://klasma.github.io/Logging_0330/artfynd/S 3400-2025 artfynd.xlsx", "S 3400-2025")</f>
        <v/>
      </c>
      <c r="W11">
        <f>HYPERLINK("https://klasma.github.io/Logging_0330/kartor/S 3400-2025 karta.png", "S 3400-2025")</f>
        <v/>
      </c>
      <c r="Y11">
        <f>HYPERLINK("https://klasma.github.io/Logging_0330/klagomål/S 3400-2025 FSC-klagomål.docx", "S 3400-2025")</f>
        <v/>
      </c>
      <c r="Z11">
        <f>HYPERLINK("https://klasma.github.io/Logging_0330/klagomålsmail/S 3400-2025 FSC-klagomål mail.docx", "S 3400-2025")</f>
        <v/>
      </c>
      <c r="AA11">
        <f>HYPERLINK("https://klasma.github.io/Logging_0330/tillsyn/S 3400-2025 tillsynsbegäran.docx", "S 3400-2025")</f>
        <v/>
      </c>
      <c r="AB11">
        <f>HYPERLINK("https://klasma.github.io/Logging_0330/tillsynsmail/S 3400-2025 tillsynsbegäran mail.docx", "S 3400-2025")</f>
        <v/>
      </c>
      <c r="AC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46222</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s="2" t="inlineStr">
        <is>
          <t>Tallkötticka
Ullticka
Blodticka
Vågbandad barkbock
Tjäder</t>
        </is>
      </c>
      <c r="V12">
        <f>HYPERLINK("https://klasma.github.io/Logging_0330/artfynd/A 12958-2026 artfynd.xlsx", "A 12958-2026")</f>
        <v/>
      </c>
      <c r="W12">
        <f>HYPERLINK("https://klasma.github.io/Logging_0330/kartor/A 12958-2026 karta.png", "A 12958-2026")</f>
        <v/>
      </c>
      <c r="Y12">
        <f>HYPERLINK("https://klasma.github.io/Logging_0330/klagomål/A 12958-2026 FSC-klagomål.docx", "A 12958-2026")</f>
        <v/>
      </c>
      <c r="Z12">
        <f>HYPERLINK("https://klasma.github.io/Logging_0330/klagomålsmail/A 12958-2026 FSC-klagomål mail.docx", "A 12958-2026")</f>
        <v/>
      </c>
      <c r="AA12">
        <f>HYPERLINK("https://klasma.github.io/Logging_0330/tillsyn/A 12958-2026 tillsynsbegäran.docx", "A 12958-2026")</f>
        <v/>
      </c>
      <c r="AB12">
        <f>HYPERLINK("https://klasma.github.io/Logging_0330/tillsynsmail/A 12958-2026 tillsynsbegäran mail.docx", "A 12958-2026")</f>
        <v/>
      </c>
      <c r="AC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46222</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s="2" t="inlineStr">
        <is>
          <t>Entita
Mindre hackspett
Ullticka
Grön sköldmossa
Trådticka</t>
        </is>
      </c>
      <c r="V13">
        <f>HYPERLINK("https://klasma.github.io/Logging_0330/artfynd/A 17101-2023 artfynd.xlsx", "A 17101-2023")</f>
        <v/>
      </c>
      <c r="W13">
        <f>HYPERLINK("https://klasma.github.io/Logging_0330/kartor/A 17101-2023 karta.png", "A 17101-2023")</f>
        <v/>
      </c>
      <c r="Y13">
        <f>HYPERLINK("https://klasma.github.io/Logging_0330/klagomål/A 17101-2023 FSC-klagomål.docx", "A 17101-2023")</f>
        <v/>
      </c>
      <c r="Z13">
        <f>HYPERLINK("https://klasma.github.io/Logging_0330/klagomålsmail/A 17101-2023 FSC-klagomål mail.docx", "A 17101-2023")</f>
        <v/>
      </c>
      <c r="AA13">
        <f>HYPERLINK("https://klasma.github.io/Logging_0330/tillsyn/A 17101-2023 tillsynsbegäran.docx", "A 17101-2023")</f>
        <v/>
      </c>
      <c r="AB13">
        <f>HYPERLINK("https://klasma.github.io/Logging_0330/tillsynsmail/A 17101-2023 tillsynsbegäran mail.docx", "A 17101-2023")</f>
        <v/>
      </c>
      <c r="AC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46222</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s="2" t="inlineStr">
        <is>
          <t>Gulvit blekspik
Veckticka
Fällmossa
Nattviol</t>
        </is>
      </c>
      <c r="V14">
        <f>HYPERLINK("https://klasma.github.io/Logging_0330/artfynd/A 9553-2025 artfynd.xlsx", "A 9553-2025")</f>
        <v/>
      </c>
      <c r="W14">
        <f>HYPERLINK("https://klasma.github.io/Logging_0330/kartor/A 9553-2025 karta.png", "A 9553-2025")</f>
        <v/>
      </c>
      <c r="Y14">
        <f>HYPERLINK("https://klasma.github.io/Logging_0330/klagomål/A 9553-2025 FSC-klagomål.docx", "A 9553-2025")</f>
        <v/>
      </c>
      <c r="Z14">
        <f>HYPERLINK("https://klasma.github.io/Logging_0330/klagomålsmail/A 9553-2025 FSC-klagomål mail.docx", "A 9553-2025")</f>
        <v/>
      </c>
      <c r="AA14">
        <f>HYPERLINK("https://klasma.github.io/Logging_0330/tillsyn/A 9553-2025 tillsynsbegäran.docx", "A 9553-2025")</f>
        <v/>
      </c>
      <c r="AB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46222</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s="2" t="inlineStr">
        <is>
          <t>Grönfink
Järnsparv
Grönsiska</t>
        </is>
      </c>
      <c r="V15">
        <f>HYPERLINK("https://klasma.github.io/Logging_0330/artfynd/A 26239-2022 artfynd.xlsx", "A 26239-2022")</f>
        <v/>
      </c>
      <c r="W15">
        <f>HYPERLINK("https://klasma.github.io/Logging_0330/kartor/A 26239-2022 karta.png", "A 26239-2022")</f>
        <v/>
      </c>
      <c r="Y15">
        <f>HYPERLINK("https://klasma.github.io/Logging_0330/klagomål/A 26239-2022 FSC-klagomål.docx", "A 26239-2022")</f>
        <v/>
      </c>
      <c r="Z15">
        <f>HYPERLINK("https://klasma.github.io/Logging_0330/klagomålsmail/A 26239-2022 FSC-klagomål mail.docx", "A 26239-2022")</f>
        <v/>
      </c>
      <c r="AA15">
        <f>HYPERLINK("https://klasma.github.io/Logging_0330/tillsyn/A 26239-2022 tillsynsbegäran.docx", "A 26239-2022")</f>
        <v/>
      </c>
      <c r="AB15">
        <f>HYPERLINK("https://klasma.github.io/Logging_0330/tillsynsmail/A 26239-2022 tillsynsbegäran mail.docx", "A 26239-2022")</f>
        <v/>
      </c>
      <c r="AC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46222</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s="2" t="inlineStr">
        <is>
          <t>Mörk husmossa
Rostfläck</t>
        </is>
      </c>
      <c r="V16">
        <f>HYPERLINK("https://klasma.github.io/Logging_0330/artfynd/A 34859-2025 artfynd.xlsx", "A 34859-2025")</f>
        <v/>
      </c>
      <c r="W16">
        <f>HYPERLINK("https://klasma.github.io/Logging_0330/kartor/A 34859-2025 karta.png", "A 34859-2025")</f>
        <v/>
      </c>
      <c r="Y16">
        <f>HYPERLINK("https://klasma.github.io/Logging_0330/klagomål/A 34859-2025 FSC-klagomål.docx", "A 34859-2025")</f>
        <v/>
      </c>
      <c r="Z16">
        <f>HYPERLINK("https://klasma.github.io/Logging_0330/klagomålsmail/A 34859-2025 FSC-klagomål mail.docx", "A 34859-2025")</f>
        <v/>
      </c>
      <c r="AA16">
        <f>HYPERLINK("https://klasma.github.io/Logging_0330/tillsyn/A 34859-2025 tillsynsbegäran.docx", "A 34859-2025")</f>
        <v/>
      </c>
      <c r="AB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46222</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s="2" t="inlineStr">
        <is>
          <t>Knärot
Spillkråka</t>
        </is>
      </c>
      <c r="V17">
        <f>HYPERLINK("https://klasma.github.io/Logging_0330/artfynd/A 13004-2026 artfynd.xlsx", "A 13004-2026")</f>
        <v/>
      </c>
      <c r="W17">
        <f>HYPERLINK("https://klasma.github.io/Logging_0330/kartor/A 13004-2026 karta.png", "A 13004-2026")</f>
        <v/>
      </c>
      <c r="X17">
        <f>HYPERLINK("https://klasma.github.io/Logging_0330/knärot/A 13004-2026 karta knärot.png", "A 13004-2026")</f>
        <v/>
      </c>
      <c r="Y17">
        <f>HYPERLINK("https://klasma.github.io/Logging_0330/klagomål/A 13004-2026 FSC-klagomål.docx", "A 13004-2026")</f>
        <v/>
      </c>
      <c r="Z17">
        <f>HYPERLINK("https://klasma.github.io/Logging_0330/klagomålsmail/A 13004-2026 FSC-klagomål mail.docx", "A 13004-2026")</f>
        <v/>
      </c>
      <c r="AA17">
        <f>HYPERLINK("https://klasma.github.io/Logging_0330/tillsyn/A 13004-2026 tillsynsbegäran.docx", "A 13004-2026")</f>
        <v/>
      </c>
      <c r="AB17">
        <f>HYPERLINK("https://klasma.github.io/Logging_0330/tillsynsmail/A 13004-2026 tillsynsbegäran mail.docx", "A 13004-2026")</f>
        <v/>
      </c>
      <c r="AC17">
        <f>HYPERLINK("https://klasma.github.io/Logging_0330/fåglar/A 13004-2026 prioriterade fågelarter.docx", "A 13004-2026")</f>
        <v/>
      </c>
    </row>
    <row r="18" ht="15" customHeight="1">
      <c r="A18" t="inlineStr">
        <is>
          <t>A 61768-2025</t>
        </is>
      </c>
      <c r="B18" t="inlineStr">
        <is>
          <t>avverkningsanmälan</t>
        </is>
      </c>
      <c r="C18" t="inlineStr">
        <is>
          <t>Föryngringsavverkning</t>
        </is>
      </c>
      <c r="D18" s="1" t="n">
        <v>46002</v>
      </c>
      <c r="E18" s="1" t="n">
        <v>46222</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s="2" t="inlineStr">
        <is>
          <t>Gullpudra
Kamjordstjärna</t>
        </is>
      </c>
      <c r="V18">
        <f>HYPERLINK("https://klasma.github.io/Logging_0330/artfynd/A 61768-2025 artfynd.xlsx", "A 61768-2025")</f>
        <v/>
      </c>
      <c r="W18">
        <f>HYPERLINK("https://klasma.github.io/Logging_0330/kartor/A 61768-2025 karta.png", "A 61768-2025")</f>
        <v/>
      </c>
      <c r="Y18">
        <f>HYPERLINK("https://klasma.github.io/Logging_0330/klagomål/A 61768-2025 FSC-klagomål.docx", "A 61768-2025")</f>
        <v/>
      </c>
      <c r="Z18">
        <f>HYPERLINK("https://klasma.github.io/Logging_0330/klagomålsmail/A 61768-2025 FSC-klagomål mail.docx", "A 61768-2025")</f>
        <v/>
      </c>
      <c r="AA18">
        <f>HYPERLINK("https://klasma.github.io/Logging_0330/tillsyn/A 61768-2025 tillsynsbegäran.docx", "A 61768-2025")</f>
        <v/>
      </c>
      <c r="AB18">
        <f>HYPERLINK("https://klasma.github.io/Logging_0330/tillsynsmail/A 61768-2025 tillsynsbegäran mail.docx", "A 61768-2025")</f>
        <v/>
      </c>
    </row>
    <row r="19" ht="15" customHeight="1">
      <c r="A19" t="inlineStr">
        <is>
          <t>A 18576-2026</t>
        </is>
      </c>
      <c r="B19" t="inlineStr">
        <is>
          <t>avverkningsanmälan</t>
        </is>
      </c>
      <c r="C19" t="inlineStr">
        <is>
          <t>Föryngringsavverkning</t>
        </is>
      </c>
      <c r="D19" s="1" t="n">
        <v>46127</v>
      </c>
      <c r="E19" s="1" t="n">
        <v>46222</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s="2" t="inlineStr">
        <is>
          <t>Blåsippa
Kransmossa</t>
        </is>
      </c>
      <c r="V19">
        <f>HYPERLINK("https://klasma.github.io/Logging_0330/artfynd/A 18576-2026 artfynd.xlsx", "A 18576-2026")</f>
        <v/>
      </c>
      <c r="W19">
        <f>HYPERLINK("https://klasma.github.io/Logging_0330/kartor/A 18576-2026 karta.png", "A 18576-2026")</f>
        <v/>
      </c>
      <c r="Y19">
        <f>HYPERLINK("https://klasma.github.io/Logging_0330/klagomål/A 18576-2026 FSC-klagomål.docx", "A 18576-2026")</f>
        <v/>
      </c>
      <c r="Z19">
        <f>HYPERLINK("https://klasma.github.io/Logging_0330/klagomålsmail/A 18576-2026 FSC-klagomål mail.docx", "A 18576-2026")</f>
        <v/>
      </c>
      <c r="AA19">
        <f>HYPERLINK("https://klasma.github.io/Logging_0330/tillsyn/A 18576-2026 tillsynsbegäran.docx", "A 18576-2026")</f>
        <v/>
      </c>
      <c r="AB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46222</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s="2" t="inlineStr">
        <is>
          <t>Tallticka
Grovticka</t>
        </is>
      </c>
      <c r="V20">
        <f>HYPERLINK("https://klasma.github.io/Logging_0330/artfynd/S 194-2025 artfynd.xlsx", "S 194-2025")</f>
        <v/>
      </c>
      <c r="W20">
        <f>HYPERLINK("https://klasma.github.io/Logging_0330/kartor/S 194-2025 karta.png", "S 194-2025")</f>
        <v/>
      </c>
      <c r="Y20">
        <f>HYPERLINK("https://klasma.github.io/Logging_0330/klagomål/S 194-2025 FSC-klagomål.docx", "S 194-2025")</f>
        <v/>
      </c>
      <c r="Z20">
        <f>HYPERLINK("https://klasma.github.io/Logging_0330/klagomålsmail/S 194-2025 FSC-klagomål mail.docx", "S 194-2025")</f>
        <v/>
      </c>
      <c r="AA20">
        <f>HYPERLINK("https://klasma.github.io/Logging_0330/tillsyn/S 194-2025 tillsynsbegäran.docx", "S 194-2025")</f>
        <v/>
      </c>
      <c r="AB20">
        <f>HYPERLINK("https://klasma.github.io/Logging_0330/tillsynsmail/S 194-2025 tillsynsbegäran mail.docx", "S 194-2025")</f>
        <v/>
      </c>
    </row>
    <row r="21" ht="15" customHeight="1">
      <c r="A21" t="inlineStr">
        <is>
          <t>A 3836-2026</t>
        </is>
      </c>
      <c r="B21" t="inlineStr">
        <is>
          <t>avverkningsanmälan</t>
        </is>
      </c>
      <c r="C21" t="inlineStr">
        <is>
          <t>Föryngringsavverkning</t>
        </is>
      </c>
      <c r="D21" s="1" t="n">
        <v>46043</v>
      </c>
      <c r="E21" s="1" t="n">
        <v>46222</v>
      </c>
      <c r="F21" t="inlineStr">
        <is>
          <t>UPPSALA LÄN</t>
        </is>
      </c>
      <c r="G21" t="inlineStr">
        <is>
          <t>KNIVSTA</t>
        </is>
      </c>
      <c r="I21" t="n">
        <v>3.7</v>
      </c>
      <c r="J21" t="n">
        <v>1</v>
      </c>
      <c r="K21" t="n">
        <v>0</v>
      </c>
      <c r="L21" t="n">
        <v>0</v>
      </c>
      <c r="M21" t="n">
        <v>0</v>
      </c>
      <c r="N21" t="n">
        <v>0</v>
      </c>
      <c r="O21" t="n">
        <v>0</v>
      </c>
      <c r="P21" t="n">
        <v>0</v>
      </c>
      <c r="Q21" t="n">
        <v>0</v>
      </c>
      <c r="R21" t="n">
        <v>0</v>
      </c>
      <c r="S21" t="n">
        <v>1</v>
      </c>
      <c r="T21" t="n">
        <v>1</v>
      </c>
      <c r="U21" s="2" t="inlineStr">
        <is>
          <t>Spillkråka</t>
        </is>
      </c>
      <c r="V21">
        <f>HYPERLINK("https://klasma.github.io/Logging_0330/artfynd/A 3836-2026 artfynd.xlsx", "A 3836-2026")</f>
        <v/>
      </c>
      <c r="W21">
        <f>HYPERLINK("https://klasma.github.io/Logging_0330/kartor/A 3836-2026 karta.png", "A 3836-2026")</f>
        <v/>
      </c>
      <c r="Y21">
        <f>HYPERLINK("https://klasma.github.io/Logging_0330/klagomål/A 3836-2026 FSC-klagomål.docx", "A 3836-2026")</f>
        <v/>
      </c>
      <c r="Z21">
        <f>HYPERLINK("https://klasma.github.io/Logging_0330/klagomålsmail/A 3836-2026 FSC-klagomål mail.docx", "A 3836-2026")</f>
        <v/>
      </c>
      <c r="AA21">
        <f>HYPERLINK("https://klasma.github.io/Logging_0330/tillsyn/A 3836-2026 tillsynsbegäran.docx", "A 3836-2026")</f>
        <v/>
      </c>
      <c r="AB21">
        <f>HYPERLINK("https://klasma.github.io/Logging_0330/tillsynsmail/A 3836-2026 tillsynsbegäran mail.docx", "A 3836-2026")</f>
        <v/>
      </c>
      <c r="AC21">
        <f>HYPERLINK("https://klasma.github.io/Logging_0330/fåglar/A 3836-2026 prioriterade fågelarter.docx", "A 3836-2026")</f>
        <v/>
      </c>
    </row>
    <row r="22" ht="15" customHeight="1">
      <c r="A22" t="inlineStr">
        <is>
          <t>A 11405-2025</t>
        </is>
      </c>
      <c r="B22" t="inlineStr">
        <is>
          <t>avverkningsanmälan</t>
        </is>
      </c>
      <c r="C22" t="inlineStr">
        <is>
          <t>Föryngringsavverkning</t>
        </is>
      </c>
      <c r="D22" s="1" t="n">
        <v>45726</v>
      </c>
      <c r="E22" s="1" t="n">
        <v>46222</v>
      </c>
      <c r="F22" t="inlineStr">
        <is>
          <t>UPPSALA LÄN</t>
        </is>
      </c>
      <c r="G22" t="inlineStr">
        <is>
          <t>KNIVSTA</t>
        </is>
      </c>
      <c r="I22" t="n">
        <v>1.6</v>
      </c>
      <c r="J22" t="n">
        <v>0</v>
      </c>
      <c r="K22" t="n">
        <v>0</v>
      </c>
      <c r="L22" t="n">
        <v>0</v>
      </c>
      <c r="M22" t="n">
        <v>1</v>
      </c>
      <c r="N22" t="n">
        <v>0</v>
      </c>
      <c r="O22" t="n">
        <v>0</v>
      </c>
      <c r="P22" t="n">
        <v>0</v>
      </c>
      <c r="Q22" t="n">
        <v>1</v>
      </c>
      <c r="R22" t="n">
        <v>1</v>
      </c>
      <c r="S22" t="n">
        <v>1</v>
      </c>
      <c r="T22" t="n">
        <v>1</v>
      </c>
      <c r="U22" s="2" t="inlineStr">
        <is>
          <t>Fältgentiana</t>
        </is>
      </c>
      <c r="V22">
        <f>HYPERLINK("https://klasma.github.io/Logging_0330/artfynd/A 11405-2025 artfynd.xlsx", "A 11405-2025")</f>
        <v/>
      </c>
      <c r="W22">
        <f>HYPERLINK("https://klasma.github.io/Logging_0330/kartor/A 11405-2025 karta.png", "A 11405-2025")</f>
        <v/>
      </c>
      <c r="Y22">
        <f>HYPERLINK("https://klasma.github.io/Logging_0330/klagomål/A 11405-2025 FSC-klagomål.docx", "A 11405-2025")</f>
        <v/>
      </c>
      <c r="Z22">
        <f>HYPERLINK("https://klasma.github.io/Logging_0330/klagomålsmail/A 11405-2025 FSC-klagomål mail.docx", "A 11405-2025")</f>
        <v/>
      </c>
      <c r="AA22">
        <f>HYPERLINK("https://klasma.github.io/Logging_0330/tillsyn/A 11405-2025 tillsynsbegäran.docx", "A 11405-2025")</f>
        <v/>
      </c>
      <c r="AB22">
        <f>HYPERLINK("https://klasma.github.io/Logging_0330/tillsynsmail/A 11405-2025 tillsynsbegäran mail.docx", "A 11405-2025")</f>
        <v/>
      </c>
    </row>
    <row r="23" ht="15" customHeight="1">
      <c r="A23" t="inlineStr">
        <is>
          <t>A 9561-2026</t>
        </is>
      </c>
      <c r="B23" t="inlineStr">
        <is>
          <t>avverkningsanmälan</t>
        </is>
      </c>
      <c r="C23" t="inlineStr">
        <is>
          <t>Föryngringsavverkning</t>
        </is>
      </c>
      <c r="D23" s="1" t="n">
        <v>46071</v>
      </c>
      <c r="E23" s="1" t="n">
        <v>46222</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s="2" t="inlineStr">
        <is>
          <t>Svartöra</t>
        </is>
      </c>
      <c r="V23">
        <f>HYPERLINK("https://klasma.github.io/Logging_0330/artfynd/A 9561-2026 artfynd.xlsx", "A 9561-2026")</f>
        <v/>
      </c>
      <c r="W23">
        <f>HYPERLINK("https://klasma.github.io/Logging_0330/kartor/A 9561-2026 karta.png", "A 9561-2026")</f>
        <v/>
      </c>
      <c r="Y23">
        <f>HYPERLINK("https://klasma.github.io/Logging_0330/klagomål/A 9561-2026 FSC-klagomål.docx", "A 9561-2026")</f>
        <v/>
      </c>
      <c r="Z23">
        <f>HYPERLINK("https://klasma.github.io/Logging_0330/klagomålsmail/A 9561-2026 FSC-klagomål mail.docx", "A 9561-2026")</f>
        <v/>
      </c>
      <c r="AA23">
        <f>HYPERLINK("https://klasma.github.io/Logging_0330/tillsyn/A 9561-2026 tillsynsbegäran.docx", "A 9561-2026")</f>
        <v/>
      </c>
      <c r="AB23">
        <f>HYPERLINK("https://klasma.github.io/Logging_0330/tillsynsmail/A 9561-2026 tillsynsbegäran mail.docx", "A 9561-2026")</f>
        <v/>
      </c>
    </row>
    <row r="24" ht="15" customHeight="1">
      <c r="A24" t="inlineStr">
        <is>
          <t>A 33770-2023</t>
        </is>
      </c>
      <c r="B24" t="inlineStr">
        <is>
          <t>avverkningsanmälan</t>
        </is>
      </c>
      <c r="C24" t="inlineStr">
        <is>
          <t>Föryngringsavverkning</t>
        </is>
      </c>
      <c r="D24" s="1" t="n">
        <v>45133</v>
      </c>
      <c r="E24" s="1" t="n">
        <v>46222</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s="2" t="inlineStr">
        <is>
          <t>Slaguggla</t>
        </is>
      </c>
      <c r="V24">
        <f>HYPERLINK("https://klasma.github.io/Logging_0330/artfynd/A 33770-2023 artfynd.xlsx", "A 33770-2023")</f>
        <v/>
      </c>
      <c r="W24">
        <f>HYPERLINK("https://klasma.github.io/Logging_0330/kartor/A 33770-2023 karta.png", "A 33770-2023")</f>
        <v/>
      </c>
      <c r="Y24">
        <f>HYPERLINK("https://klasma.github.io/Logging_0330/klagomål/A 33770-2023 FSC-klagomål.docx", "A 33770-2023")</f>
        <v/>
      </c>
      <c r="Z24">
        <f>HYPERLINK("https://klasma.github.io/Logging_0330/klagomålsmail/A 33770-2023 FSC-klagomål mail.docx", "A 33770-2023")</f>
        <v/>
      </c>
      <c r="AA24">
        <f>HYPERLINK("https://klasma.github.io/Logging_0330/tillsyn/A 33770-2023 tillsynsbegäran.docx", "A 33770-2023")</f>
        <v/>
      </c>
      <c r="AB24">
        <f>HYPERLINK("https://klasma.github.io/Logging_0330/tillsynsmail/A 33770-2023 tillsynsbegäran mail.docx", "A 33770-2023")</f>
        <v/>
      </c>
      <c r="AC24">
        <f>HYPERLINK("https://klasma.github.io/Logging_0330/fåglar/A 33770-2023 prioriterade fågelarter.docx", "A 33770-2023")</f>
        <v/>
      </c>
    </row>
    <row r="25" ht="15" customHeight="1">
      <c r="A25" t="inlineStr">
        <is>
          <t>A 12991-2026</t>
        </is>
      </c>
      <c r="B25" t="inlineStr">
        <is>
          <t>avverkningsanmälan</t>
        </is>
      </c>
      <c r="C25" t="inlineStr">
        <is>
          <t>Föryngringsavverkning</t>
        </is>
      </c>
      <c r="D25" s="1" t="n">
        <v>46092</v>
      </c>
      <c r="E25" s="1" t="n">
        <v>46222</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s="2" t="inlineStr">
        <is>
          <t>Tjäder</t>
        </is>
      </c>
      <c r="V25">
        <f>HYPERLINK("https://klasma.github.io/Logging_0330/artfynd/A 12991-2026 artfynd.xlsx", "A 12991-2026")</f>
        <v/>
      </c>
      <c r="W25">
        <f>HYPERLINK("https://klasma.github.io/Logging_0330/kartor/A 12991-2026 karta.png", "A 12991-2026")</f>
        <v/>
      </c>
      <c r="Y25">
        <f>HYPERLINK("https://klasma.github.io/Logging_0330/klagomål/A 12991-2026 FSC-klagomål.docx", "A 12991-2026")</f>
        <v/>
      </c>
      <c r="Z25">
        <f>HYPERLINK("https://klasma.github.io/Logging_0330/klagomålsmail/A 12991-2026 FSC-klagomål mail.docx", "A 12991-2026")</f>
        <v/>
      </c>
      <c r="AA25">
        <f>HYPERLINK("https://klasma.github.io/Logging_0330/tillsyn/A 12991-2026 tillsynsbegäran.docx", "A 12991-2026")</f>
        <v/>
      </c>
      <c r="AB25">
        <f>HYPERLINK("https://klasma.github.io/Logging_0330/tillsynsmail/A 12991-2026 tillsynsbegäran mail.docx", "A 12991-2026")</f>
        <v/>
      </c>
      <c r="AC25">
        <f>HYPERLINK("https://klasma.github.io/Logging_0330/fåglar/A 12991-2026 prioriterade fågelarter.docx", "A 12991-2026")</f>
        <v/>
      </c>
    </row>
    <row r="26" ht="15" customHeight="1">
      <c r="A26" t="inlineStr">
        <is>
          <t>A 13002-2026</t>
        </is>
      </c>
      <c r="B26" t="inlineStr">
        <is>
          <t>avverkningsanmälan</t>
        </is>
      </c>
      <c r="C26" t="inlineStr">
        <is>
          <t>Föryngringsavverkning</t>
        </is>
      </c>
      <c r="D26" s="1" t="n">
        <v>46092</v>
      </c>
      <c r="E26" s="1" t="n">
        <v>46222</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s="2" t="inlineStr">
        <is>
          <t>Knärot</t>
        </is>
      </c>
      <c r="V26">
        <f>HYPERLINK("https://klasma.github.io/Logging_0330/artfynd/A 13002-2026 artfynd.xlsx", "A 13002-2026")</f>
        <v/>
      </c>
      <c r="W26">
        <f>HYPERLINK("https://klasma.github.io/Logging_0330/kartor/A 13002-2026 karta.png", "A 13002-2026")</f>
        <v/>
      </c>
      <c r="X26">
        <f>HYPERLINK("https://klasma.github.io/Logging_0330/knärot/A 13002-2026 karta knärot.png", "A 13002-2026")</f>
        <v/>
      </c>
      <c r="Y26">
        <f>HYPERLINK("https://klasma.github.io/Logging_0330/klagomål/A 13002-2026 FSC-klagomål.docx", "A 13002-2026")</f>
        <v/>
      </c>
      <c r="Z26">
        <f>HYPERLINK("https://klasma.github.io/Logging_0330/klagomålsmail/A 13002-2026 FSC-klagomål mail.docx", "A 13002-2026")</f>
        <v/>
      </c>
      <c r="AA26">
        <f>HYPERLINK("https://klasma.github.io/Logging_0330/tillsyn/A 13002-2026 tillsynsbegäran.docx", "A 13002-2026")</f>
        <v/>
      </c>
      <c r="AB26">
        <f>HYPERLINK("https://klasma.github.io/Logging_0330/tillsynsmail/A 13002-2026 tillsynsbegäran mail.docx", "A 13002-2026")</f>
        <v/>
      </c>
    </row>
    <row r="27" ht="15" customHeight="1">
      <c r="A27" t="inlineStr">
        <is>
          <t>A 13380-2026</t>
        </is>
      </c>
      <c r="B27" t="inlineStr">
        <is>
          <t>avverkningsanmälan</t>
        </is>
      </c>
      <c r="C27" t="inlineStr">
        <is>
          <t>Föryngringsavverkning</t>
        </is>
      </c>
      <c r="D27" s="1" t="n">
        <v>46094</v>
      </c>
      <c r="E27" s="1" t="n">
        <v>46222</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s="2" t="inlineStr">
        <is>
          <t>Spillkråka</t>
        </is>
      </c>
      <c r="V27">
        <f>HYPERLINK("https://klasma.github.io/Logging_0330/artfynd/A 13380-2026 artfynd.xlsx", "A 13380-2026")</f>
        <v/>
      </c>
      <c r="W27">
        <f>HYPERLINK("https://klasma.github.io/Logging_0330/kartor/A 13380-2026 karta.png", "A 13380-2026")</f>
        <v/>
      </c>
      <c r="Y27">
        <f>HYPERLINK("https://klasma.github.io/Logging_0330/klagomål/A 13380-2026 FSC-klagomål.docx", "A 13380-2026")</f>
        <v/>
      </c>
      <c r="Z27">
        <f>HYPERLINK("https://klasma.github.io/Logging_0330/klagomålsmail/A 13380-2026 FSC-klagomål mail.docx", "A 13380-2026")</f>
        <v/>
      </c>
      <c r="AA27">
        <f>HYPERLINK("https://klasma.github.io/Logging_0330/tillsyn/A 13380-2026 tillsynsbegäran.docx", "A 13380-2026")</f>
        <v/>
      </c>
      <c r="AB27">
        <f>HYPERLINK("https://klasma.github.io/Logging_0330/tillsynsmail/A 13380-2026 tillsynsbegäran mail.docx", "A 13380-2026")</f>
        <v/>
      </c>
      <c r="AC27">
        <f>HYPERLINK("https://klasma.github.io/Logging_0330/fåglar/A 13380-2026 prioriterade fågelarter.docx", "A 13380-2026")</f>
        <v/>
      </c>
    </row>
    <row r="28" ht="15" customHeight="1">
      <c r="A28" t="inlineStr">
        <is>
          <t>A 5402-2023</t>
        </is>
      </c>
      <c r="B28" t="inlineStr">
        <is>
          <t>avverkningsanmälan</t>
        </is>
      </c>
      <c r="C28" t="inlineStr">
        <is>
          <t>Föryngringsavverkning</t>
        </is>
      </c>
      <c r="D28" s="1" t="n">
        <v>44959</v>
      </c>
      <c r="E28" s="1" t="n">
        <v>46222</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s="2" t="inlineStr">
        <is>
          <t>Askfingersvamp</t>
        </is>
      </c>
      <c r="V28">
        <f>HYPERLINK("https://klasma.github.io/Logging_0330/artfynd/A 5402-2023 artfynd.xlsx", "A 5402-2023")</f>
        <v/>
      </c>
      <c r="W28">
        <f>HYPERLINK("https://klasma.github.io/Logging_0330/kartor/A 5402-2023 karta.png", "A 5402-2023")</f>
        <v/>
      </c>
      <c r="Y28">
        <f>HYPERLINK("https://klasma.github.io/Logging_0330/klagomål/A 5402-2023 FSC-klagomål.docx", "A 5402-2023")</f>
        <v/>
      </c>
      <c r="Z28">
        <f>HYPERLINK("https://klasma.github.io/Logging_0330/klagomålsmail/A 5402-2023 FSC-klagomål mail.docx", "A 5402-2023")</f>
        <v/>
      </c>
      <c r="AA28">
        <f>HYPERLINK("https://klasma.github.io/Logging_0330/tillsyn/A 5402-2023 tillsynsbegäran.docx", "A 5402-2023")</f>
        <v/>
      </c>
      <c r="AB28">
        <f>HYPERLINK("https://klasma.github.io/Logging_0330/tillsynsmail/A 5402-2023 tillsynsbegäran mail.docx", "A 5402-2023")</f>
        <v/>
      </c>
    </row>
    <row r="29" ht="15" customHeight="1">
      <c r="A29" t="inlineStr">
        <is>
          <t>A 666-2026</t>
        </is>
      </c>
      <c r="B29" t="inlineStr">
        <is>
          <t>avverkningsanmälan</t>
        </is>
      </c>
      <c r="C29" t="inlineStr">
        <is>
          <t>Föryngringsavverkning</t>
        </is>
      </c>
      <c r="D29" s="1" t="n">
        <v>46029</v>
      </c>
      <c r="E29" s="1" t="n">
        <v>46222</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s="2" t="inlineStr">
        <is>
          <t>Havsörn</t>
        </is>
      </c>
      <c r="V29">
        <f>HYPERLINK("https://klasma.github.io/Logging_0330/artfynd/A 666-2026 artfynd.xlsx", "A 666-2026")</f>
        <v/>
      </c>
      <c r="W29">
        <f>HYPERLINK("https://klasma.github.io/Logging_0330/kartor/A 666-2026 karta.png", "A 666-2026")</f>
        <v/>
      </c>
      <c r="Y29">
        <f>HYPERLINK("https://klasma.github.io/Logging_0330/klagomål/A 666-2026 FSC-klagomål.docx", "A 666-2026")</f>
        <v/>
      </c>
      <c r="Z29">
        <f>HYPERLINK("https://klasma.github.io/Logging_0330/klagomålsmail/A 666-2026 FSC-klagomål mail.docx", "A 666-2026")</f>
        <v/>
      </c>
      <c r="AA29">
        <f>HYPERLINK("https://klasma.github.io/Logging_0330/tillsyn/A 666-2026 tillsynsbegäran.docx", "A 666-2026")</f>
        <v/>
      </c>
      <c r="AB29">
        <f>HYPERLINK("https://klasma.github.io/Logging_0330/tillsynsmail/A 666-2026 tillsynsbegäran mail.docx", "A 666-2026")</f>
        <v/>
      </c>
      <c r="AC29">
        <f>HYPERLINK("https://klasma.github.io/Logging_0330/fåglar/A 666-2026 prioriterade fågelarter.docx", "A 666-2026")</f>
        <v/>
      </c>
    </row>
    <row r="30" ht="15" customHeight="1">
      <c r="A30" t="inlineStr">
        <is>
          <t>A 60885-2021</t>
        </is>
      </c>
      <c r="B30" t="inlineStr">
        <is>
          <t>avverkningsanmälan</t>
        </is>
      </c>
      <c r="C30" t="inlineStr">
        <is>
          <t>Föryngringsavverkning</t>
        </is>
      </c>
      <c r="D30" s="1" t="n">
        <v>44497</v>
      </c>
      <c r="E30" s="1" t="n">
        <v>46222</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s="2" t="inlineStr">
        <is>
          <t>Sotlav</t>
        </is>
      </c>
      <c r="V30">
        <f>HYPERLINK("https://klasma.github.io/Logging_0330/artfynd/A 60885-2021 artfynd.xlsx", "A 60885-2021")</f>
        <v/>
      </c>
      <c r="W30">
        <f>HYPERLINK("https://klasma.github.io/Logging_0330/kartor/A 60885-2021 karta.png", "A 60885-2021")</f>
        <v/>
      </c>
      <c r="Y30">
        <f>HYPERLINK("https://klasma.github.io/Logging_0330/klagomål/A 60885-2021 FSC-klagomål.docx", "A 60885-2021")</f>
        <v/>
      </c>
      <c r="Z30">
        <f>HYPERLINK("https://klasma.github.io/Logging_0330/klagomålsmail/A 60885-2021 FSC-klagomål mail.docx", "A 60885-2021")</f>
        <v/>
      </c>
      <c r="AA30">
        <f>HYPERLINK("https://klasma.github.io/Logging_0330/tillsyn/A 60885-2021 tillsynsbegäran.docx", "A 60885-2021")</f>
        <v/>
      </c>
      <c r="AB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46222</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s="2" t="inlineStr">
        <is>
          <t>Silverblåvinge</t>
        </is>
      </c>
      <c r="V31">
        <f>HYPERLINK("https://klasma.github.io/Logging_0330/artfynd/A 66305-2021 artfynd.xlsx", "A 66305-2021")</f>
        <v/>
      </c>
      <c r="W31">
        <f>HYPERLINK("https://klasma.github.io/Logging_0330/kartor/A 66305-2021 karta.png", "A 66305-2021")</f>
        <v/>
      </c>
      <c r="Y31">
        <f>HYPERLINK("https://klasma.github.io/Logging_0330/klagomål/A 66305-2021 FSC-klagomål.docx", "A 66305-2021")</f>
        <v/>
      </c>
      <c r="Z31">
        <f>HYPERLINK("https://klasma.github.io/Logging_0330/klagomålsmail/A 66305-2021 FSC-klagomål mail.docx", "A 66305-2021")</f>
        <v/>
      </c>
      <c r="AA31">
        <f>HYPERLINK("https://klasma.github.io/Logging_0330/tillsyn/A 66305-2021 tillsynsbegäran.docx", "A 66305-2021")</f>
        <v/>
      </c>
      <c r="AB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46222</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s="2" t="inlineStr">
        <is>
          <t>Blåsippa</t>
        </is>
      </c>
      <c r="V32">
        <f>HYPERLINK("https://klasma.github.io/Logging_0330/artfynd/A 2171-2024 artfynd.xlsx", "A 2171-2024")</f>
        <v/>
      </c>
      <c r="W32">
        <f>HYPERLINK("https://klasma.github.io/Logging_0330/kartor/A 2171-2024 karta.png", "A 2171-2024")</f>
        <v/>
      </c>
      <c r="Y32">
        <f>HYPERLINK("https://klasma.github.io/Logging_0330/klagomål/A 2171-2024 FSC-klagomål.docx", "A 2171-2024")</f>
        <v/>
      </c>
      <c r="Z32">
        <f>HYPERLINK("https://klasma.github.io/Logging_0330/klagomålsmail/A 2171-2024 FSC-klagomål mail.docx", "A 2171-2024")</f>
        <v/>
      </c>
      <c r="AA32">
        <f>HYPERLINK("https://klasma.github.io/Logging_0330/tillsyn/A 2171-2024 tillsynsbegäran.docx", "A 2171-2024")</f>
        <v/>
      </c>
      <c r="AB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46222</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s="2" t="inlineStr">
        <is>
          <t>Tallticka</t>
        </is>
      </c>
      <c r="V33">
        <f>HYPERLINK("https://klasma.github.io/Logging_0330/artfynd/S 1786-2022 artfynd.xlsx", "S 1786-2022")</f>
        <v/>
      </c>
      <c r="W33">
        <f>HYPERLINK("https://klasma.github.io/Logging_0330/kartor/S 1786-2022 karta.png", "S 1786-2022")</f>
        <v/>
      </c>
      <c r="Y33">
        <f>HYPERLINK("https://klasma.github.io/Logging_0330/klagomål/S 1786-2022 FSC-klagomål.docx", "S 1786-2022")</f>
        <v/>
      </c>
      <c r="Z33">
        <f>HYPERLINK("https://klasma.github.io/Logging_0330/klagomålsmail/S 1786-2022 FSC-klagomål mail.docx", "S 1786-2022")</f>
        <v/>
      </c>
      <c r="AA33">
        <f>HYPERLINK("https://klasma.github.io/Logging_0330/tillsyn/S 1786-2022 tillsynsbegäran.docx", "S 1786-2022")</f>
        <v/>
      </c>
      <c r="AB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46222</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s="2" t="inlineStr"/>
    </row>
    <row r="35" ht="15" customHeight="1">
      <c r="A35" t="inlineStr">
        <is>
          <t>A 46149-2022</t>
        </is>
      </c>
      <c r="B35" t="inlineStr">
        <is>
          <t>avverkningsanmälan</t>
        </is>
      </c>
      <c r="C35" t="inlineStr">
        <is>
          <t>Föryngringsavverkning</t>
        </is>
      </c>
      <c r="D35" s="1" t="n">
        <v>44847</v>
      </c>
      <c r="E35" s="1" t="n">
        <v>46222</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s="2" t="inlineStr"/>
    </row>
    <row r="36" ht="15" customHeight="1">
      <c r="A36" t="inlineStr">
        <is>
          <t>A 16775-2022</t>
        </is>
      </c>
      <c r="B36" t="inlineStr">
        <is>
          <t>avverkningsanmälan</t>
        </is>
      </c>
      <c r="C36" t="inlineStr">
        <is>
          <t>Avverkning för annat ändamål</t>
        </is>
      </c>
      <c r="D36" s="1" t="n">
        <v>44673</v>
      </c>
      <c r="E36" s="1" t="n">
        <v>46222</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s="2" t="inlineStr"/>
    </row>
    <row r="37" ht="15" customHeight="1">
      <c r="A37" t="inlineStr">
        <is>
          <t>A 62451-2021</t>
        </is>
      </c>
      <c r="B37" t="inlineStr">
        <is>
          <t>avverkningsanmälan</t>
        </is>
      </c>
      <c r="C37" t="inlineStr">
        <is>
          <t>Föryngringsavverkning</t>
        </is>
      </c>
      <c r="D37" s="1" t="n">
        <v>44509</v>
      </c>
      <c r="E37" s="1" t="n">
        <v>46222</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s="2" t="inlineStr"/>
    </row>
    <row r="38" ht="15" customHeight="1">
      <c r="A38" t="inlineStr">
        <is>
          <t>A 64044-2021</t>
        </is>
      </c>
      <c r="B38" t="inlineStr">
        <is>
          <t>avverkningsanmälan</t>
        </is>
      </c>
      <c r="C38" t="inlineStr">
        <is>
          <t>Föryngringsavverkning</t>
        </is>
      </c>
      <c r="D38" s="1" t="n">
        <v>44510</v>
      </c>
      <c r="E38" s="1" t="n">
        <v>46222</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s="2" t="inlineStr"/>
    </row>
    <row r="39" ht="15" customHeight="1">
      <c r="A39" t="inlineStr">
        <is>
          <t>A 47652-2021</t>
        </is>
      </c>
      <c r="B39" t="inlineStr">
        <is>
          <t>avverkningsanmälan</t>
        </is>
      </c>
      <c r="C39" t="inlineStr">
        <is>
          <t>Föryngringsavverkning</t>
        </is>
      </c>
      <c r="D39" s="1" t="n">
        <v>44448</v>
      </c>
      <c r="E39" s="1" t="n">
        <v>46222</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s="2" t="inlineStr"/>
    </row>
    <row r="40" ht="15" customHeight="1">
      <c r="A40" t="inlineStr">
        <is>
          <t>A 47654-2021</t>
        </is>
      </c>
      <c r="B40" t="inlineStr">
        <is>
          <t>avverkningsanmälan</t>
        </is>
      </c>
      <c r="C40" t="inlineStr">
        <is>
          <t>Föryngringsavverkning</t>
        </is>
      </c>
      <c r="D40" s="1" t="n">
        <v>44448</v>
      </c>
      <c r="E40" s="1" t="n">
        <v>46222</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s="2" t="inlineStr"/>
    </row>
    <row r="41" ht="15" customHeight="1">
      <c r="A41" t="inlineStr">
        <is>
          <t>A 70275-2021</t>
        </is>
      </c>
      <c r="B41" t="inlineStr">
        <is>
          <t>avverkningsanmälan</t>
        </is>
      </c>
      <c r="C41" t="inlineStr">
        <is>
          <t>Föryngringsavverkning</t>
        </is>
      </c>
      <c r="D41" s="1" t="n">
        <v>44536</v>
      </c>
      <c r="E41" s="1" t="n">
        <v>46222</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s="2" t="inlineStr"/>
    </row>
    <row r="42" ht="15" customHeight="1">
      <c r="A42" t="inlineStr">
        <is>
          <t>A 66256-2021</t>
        </is>
      </c>
      <c r="B42" t="inlineStr">
        <is>
          <t>avverkningsanmälan</t>
        </is>
      </c>
      <c r="C42" t="inlineStr">
        <is>
          <t>Föryngringsavverkning</t>
        </is>
      </c>
      <c r="D42" s="1" t="n">
        <v>44518</v>
      </c>
      <c r="E42" s="1" t="n">
        <v>46222</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s="2" t="inlineStr"/>
    </row>
    <row r="43" ht="15" customHeight="1">
      <c r="A43" t="inlineStr">
        <is>
          <t>A 18820-2022</t>
        </is>
      </c>
      <c r="B43" t="inlineStr">
        <is>
          <t>avverkningsanmälan</t>
        </is>
      </c>
      <c r="C43" t="inlineStr">
        <is>
          <t>Föryngringsavverkning</t>
        </is>
      </c>
      <c r="D43" s="1" t="n">
        <v>44690</v>
      </c>
      <c r="E43" s="1" t="n">
        <v>46222</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s="2" t="inlineStr"/>
    </row>
    <row r="44" ht="15" customHeight="1">
      <c r="A44" t="inlineStr">
        <is>
          <t>A 62441-2021</t>
        </is>
      </c>
      <c r="B44" t="inlineStr">
        <is>
          <t>avverkningsanmälan</t>
        </is>
      </c>
      <c r="C44" t="inlineStr">
        <is>
          <t>Föryngringsavverkning</t>
        </is>
      </c>
      <c r="D44" s="1" t="n">
        <v>44503</v>
      </c>
      <c r="E44" s="1" t="n">
        <v>46222</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s="2" t="inlineStr"/>
    </row>
    <row r="45" ht="15" customHeight="1">
      <c r="A45" t="inlineStr">
        <is>
          <t>A 72966-2021</t>
        </is>
      </c>
      <c r="B45" t="inlineStr">
        <is>
          <t>avverkningsanmälan</t>
        </is>
      </c>
      <c r="C45" t="inlineStr">
        <is>
          <t>Föryngringsavverkning</t>
        </is>
      </c>
      <c r="D45" s="1" t="n">
        <v>44548</v>
      </c>
      <c r="E45" s="1" t="n">
        <v>46222</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s="2" t="inlineStr"/>
    </row>
    <row r="46" ht="15" customHeight="1">
      <c r="A46" t="inlineStr">
        <is>
          <t>A 72967-2021</t>
        </is>
      </c>
      <c r="B46" t="inlineStr">
        <is>
          <t>avverkningsanmälan</t>
        </is>
      </c>
      <c r="C46" t="inlineStr">
        <is>
          <t>Föryngringsavverkning</t>
        </is>
      </c>
      <c r="D46" s="1" t="n">
        <v>44548</v>
      </c>
      <c r="E46" s="1" t="n">
        <v>46222</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s="2" t="inlineStr"/>
    </row>
    <row r="47" ht="15" customHeight="1">
      <c r="A47" t="inlineStr">
        <is>
          <t>A 13697-2024</t>
        </is>
      </c>
      <c r="B47" t="inlineStr">
        <is>
          <t>avverkningsanmälan</t>
        </is>
      </c>
      <c r="C47" t="inlineStr">
        <is>
          <t>Föryngringsavverkning</t>
        </is>
      </c>
      <c r="D47" s="1" t="n">
        <v>45390</v>
      </c>
      <c r="E47" s="1" t="n">
        <v>46222</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s="2" t="inlineStr"/>
    </row>
    <row r="48" ht="15" customHeight="1">
      <c r="A48" t="inlineStr">
        <is>
          <t>A 3375-2026</t>
        </is>
      </c>
      <c r="B48" t="inlineStr">
        <is>
          <t>avverkningsanmälan</t>
        </is>
      </c>
      <c r="C48" t="inlineStr">
        <is>
          <t>Föryngringsavverkning</t>
        </is>
      </c>
      <c r="D48" s="1" t="n">
        <v>46042</v>
      </c>
      <c r="E48" s="1" t="n">
        <v>46222</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s="2" t="inlineStr"/>
    </row>
    <row r="49" ht="15" customHeight="1">
      <c r="A49" t="inlineStr">
        <is>
          <t>A 3824-2026</t>
        </is>
      </c>
      <c r="B49" t="inlineStr">
        <is>
          <t>avverkningsanmälan</t>
        </is>
      </c>
      <c r="C49" t="inlineStr">
        <is>
          <t>Föryngringsavverkning</t>
        </is>
      </c>
      <c r="D49" s="1" t="n">
        <v>46043</v>
      </c>
      <c r="E49" s="1" t="n">
        <v>46222</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s="2" t="inlineStr"/>
    </row>
    <row r="50" ht="15" customHeight="1">
      <c r="A50" t="inlineStr">
        <is>
          <t>A 11841-2023</t>
        </is>
      </c>
      <c r="B50" t="inlineStr">
        <is>
          <t>avverkningsanmälan</t>
        </is>
      </c>
      <c r="C50" t="inlineStr">
        <is>
          <t>Föryngringsavverkning</t>
        </is>
      </c>
      <c r="D50" s="1" t="n">
        <v>44995</v>
      </c>
      <c r="E50" s="1" t="n">
        <v>46222</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s="2" t="inlineStr"/>
    </row>
    <row r="51" ht="15" customHeight="1">
      <c r="A51" t="inlineStr">
        <is>
          <t>A 30351-2022</t>
        </is>
      </c>
      <c r="B51" t="inlineStr">
        <is>
          <t>avverkningsanmälan</t>
        </is>
      </c>
      <c r="C51" t="inlineStr">
        <is>
          <t>Föryngringsavverkning</t>
        </is>
      </c>
      <c r="D51" s="1" t="n">
        <v>44757</v>
      </c>
      <c r="E51" s="1" t="n">
        <v>46222</v>
      </c>
      <c r="F51" t="inlineStr">
        <is>
          <t>UPPSALA LÄN</t>
        </is>
      </c>
      <c r="G51" t="inlineStr">
        <is>
          <t>KNIVSTA</t>
        </is>
      </c>
      <c r="I51" t="n">
        <v>5.7</v>
      </c>
      <c r="J51" t="n">
        <v>0</v>
      </c>
      <c r="K51" t="n">
        <v>0</v>
      </c>
      <c r="L51" t="n">
        <v>0</v>
      </c>
      <c r="M51" t="n">
        <v>0</v>
      </c>
      <c r="N51" t="n">
        <v>0</v>
      </c>
      <c r="O51" t="n">
        <v>0</v>
      </c>
      <c r="P51" t="n">
        <v>0</v>
      </c>
      <c r="Q51" t="n">
        <v>0</v>
      </c>
      <c r="R51" t="n">
        <v>0</v>
      </c>
      <c r="S51" t="n">
        <v>0</v>
      </c>
      <c r="T51" t="n">
        <v>0</v>
      </c>
      <c r="U51" s="2" t="inlineStr"/>
    </row>
    <row r="52" ht="15" customHeight="1">
      <c r="A52" t="inlineStr">
        <is>
          <t>A 11847-2023</t>
        </is>
      </c>
      <c r="B52" t="inlineStr">
        <is>
          <t>avverkningsanmälan</t>
        </is>
      </c>
      <c r="C52" t="inlineStr">
        <is>
          <t>Föryngringsavverkning</t>
        </is>
      </c>
      <c r="D52" s="1" t="n">
        <v>44995</v>
      </c>
      <c r="E52" s="1" t="n">
        <v>46222</v>
      </c>
      <c r="F52" t="inlineStr">
        <is>
          <t>UPPSALA LÄN</t>
        </is>
      </c>
      <c r="G52" t="inlineStr">
        <is>
          <t>KNIVSTA</t>
        </is>
      </c>
      <c r="I52" t="n">
        <v>2.1</v>
      </c>
      <c r="J52" t="n">
        <v>0</v>
      </c>
      <c r="K52" t="n">
        <v>0</v>
      </c>
      <c r="L52" t="n">
        <v>0</v>
      </c>
      <c r="M52" t="n">
        <v>0</v>
      </c>
      <c r="N52" t="n">
        <v>0</v>
      </c>
      <c r="O52" t="n">
        <v>0</v>
      </c>
      <c r="P52" t="n">
        <v>0</v>
      </c>
      <c r="Q52" t="n">
        <v>0</v>
      </c>
      <c r="R52" t="n">
        <v>0</v>
      </c>
      <c r="S52" t="n">
        <v>0</v>
      </c>
      <c r="T52" t="n">
        <v>0</v>
      </c>
      <c r="U52" s="2" t="inlineStr"/>
    </row>
    <row r="53" ht="15" customHeight="1">
      <c r="A53" t="inlineStr">
        <is>
          <t>A 11450-2023</t>
        </is>
      </c>
      <c r="B53" t="inlineStr">
        <is>
          <t>avverkningsanmälan</t>
        </is>
      </c>
      <c r="C53" t="inlineStr">
        <is>
          <t>Föryngringsavverkning</t>
        </is>
      </c>
      <c r="D53" s="1" t="n">
        <v>44993</v>
      </c>
      <c r="E53" s="1" t="n">
        <v>46222</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s="2" t="inlineStr"/>
    </row>
    <row r="54" ht="15" customHeight="1">
      <c r="A54" t="inlineStr">
        <is>
          <t>A 31875-2022</t>
        </is>
      </c>
      <c r="B54" t="inlineStr">
        <is>
          <t>avverkningsanmälan</t>
        </is>
      </c>
      <c r="C54" t="inlineStr">
        <is>
          <t>Föryngringsavverkning</t>
        </is>
      </c>
      <c r="D54" s="1" t="n">
        <v>44777</v>
      </c>
      <c r="E54" s="1" t="n">
        <v>46222</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s="2" t="inlineStr"/>
    </row>
    <row r="55" ht="15" customHeight="1">
      <c r="A55" t="inlineStr">
        <is>
          <t>A 5908-2026</t>
        </is>
      </c>
      <c r="B55" t="inlineStr">
        <is>
          <t>avverkningsanmälan</t>
        </is>
      </c>
      <c r="C55" t="inlineStr">
        <is>
          <t>Föryngringsavverkning</t>
        </is>
      </c>
      <c r="D55" s="1" t="n">
        <v>46052</v>
      </c>
      <c r="E55" s="1" t="n">
        <v>46222</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s="2" t="inlineStr"/>
    </row>
    <row r="56" ht="15" customHeight="1">
      <c r="A56" t="inlineStr">
        <is>
          <t>A 5910-2026</t>
        </is>
      </c>
      <c r="B56" t="inlineStr">
        <is>
          <t>avverkningsanmälan</t>
        </is>
      </c>
      <c r="C56" t="inlineStr">
        <is>
          <t>Föryngringsavverkning</t>
        </is>
      </c>
      <c r="D56" s="1" t="n">
        <v>46052</v>
      </c>
      <c r="E56" s="1" t="n">
        <v>46222</v>
      </c>
      <c r="F56" t="inlineStr">
        <is>
          <t>UPPSALA LÄN</t>
        </is>
      </c>
      <c r="G56" t="inlineStr">
        <is>
          <t>KNIVSTA</t>
        </is>
      </c>
      <c r="I56" t="n">
        <v>0.6</v>
      </c>
      <c r="J56" t="n">
        <v>0</v>
      </c>
      <c r="K56" t="n">
        <v>0</v>
      </c>
      <c r="L56" t="n">
        <v>0</v>
      </c>
      <c r="M56" t="n">
        <v>0</v>
      </c>
      <c r="N56" t="n">
        <v>0</v>
      </c>
      <c r="O56" t="n">
        <v>0</v>
      </c>
      <c r="P56" t="n">
        <v>0</v>
      </c>
      <c r="Q56" t="n">
        <v>0</v>
      </c>
      <c r="R56" t="n">
        <v>0</v>
      </c>
      <c r="S56" t="n">
        <v>0</v>
      </c>
      <c r="T56" t="n">
        <v>0</v>
      </c>
      <c r="U56" s="2" t="inlineStr"/>
    </row>
    <row r="57" ht="15" customHeight="1">
      <c r="A57" t="inlineStr">
        <is>
          <t>A 45453-2025</t>
        </is>
      </c>
      <c r="B57" t="inlineStr">
        <is>
          <t>avverkningsanmälan</t>
        </is>
      </c>
      <c r="C57" t="inlineStr">
        <is>
          <t>Föryngringsavverkning</t>
        </is>
      </c>
      <c r="D57" s="1" t="n">
        <v>45922</v>
      </c>
      <c r="E57" s="1" t="n">
        <v>46222</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s="2" t="inlineStr"/>
    </row>
    <row r="58" ht="15" customHeight="1">
      <c r="A58" t="inlineStr">
        <is>
          <t>A 34864-2025</t>
        </is>
      </c>
      <c r="B58" t="inlineStr">
        <is>
          <t>avverkningsanmälan</t>
        </is>
      </c>
      <c r="C58" t="inlineStr">
        <is>
          <t>Föryngringsavverkning</t>
        </is>
      </c>
      <c r="D58" s="1" t="n">
        <v>45849</v>
      </c>
      <c r="E58" s="1" t="n">
        <v>46222</v>
      </c>
      <c r="F58" t="inlineStr">
        <is>
          <t>UPPSALA LÄN</t>
        </is>
      </c>
      <c r="G58" t="inlineStr">
        <is>
          <t>KNIVSTA</t>
        </is>
      </c>
      <c r="H58" t="inlineStr">
        <is>
          <t>Holmen skog AB</t>
        </is>
      </c>
      <c r="I58" t="n">
        <v>1.3</v>
      </c>
      <c r="J58" t="n">
        <v>0</v>
      </c>
      <c r="K58" t="n">
        <v>0</v>
      </c>
      <c r="L58" t="n">
        <v>0</v>
      </c>
      <c r="M58" t="n">
        <v>0</v>
      </c>
      <c r="N58" t="n">
        <v>0</v>
      </c>
      <c r="O58" t="n">
        <v>0</v>
      </c>
      <c r="P58" t="n">
        <v>0</v>
      </c>
      <c r="Q58" t="n">
        <v>0</v>
      </c>
      <c r="R58" t="n">
        <v>0</v>
      </c>
      <c r="S58" t="n">
        <v>0</v>
      </c>
      <c r="T58" t="n">
        <v>0</v>
      </c>
      <c r="U58" s="2" t="inlineStr"/>
    </row>
    <row r="59" ht="15" customHeight="1">
      <c r="A59" t="inlineStr">
        <is>
          <t>A 35318-2025</t>
        </is>
      </c>
      <c r="B59" t="inlineStr">
        <is>
          <t>avverkningsanmälan</t>
        </is>
      </c>
      <c r="C59" t="inlineStr">
        <is>
          <t>Föryngringsavverkning</t>
        </is>
      </c>
      <c r="D59" s="1" t="n">
        <v>45854</v>
      </c>
      <c r="E59" s="1" t="n">
        <v>46222</v>
      </c>
      <c r="F59" t="inlineStr">
        <is>
          <t>UPPSALA LÄN</t>
        </is>
      </c>
      <c r="G59" t="inlineStr">
        <is>
          <t>KNIVSTA</t>
        </is>
      </c>
      <c r="H59" t="inlineStr">
        <is>
          <t>Holmen skog AB</t>
        </is>
      </c>
      <c r="I59" t="n">
        <v>2.2</v>
      </c>
      <c r="J59" t="n">
        <v>0</v>
      </c>
      <c r="K59" t="n">
        <v>0</v>
      </c>
      <c r="L59" t="n">
        <v>0</v>
      </c>
      <c r="M59" t="n">
        <v>0</v>
      </c>
      <c r="N59" t="n">
        <v>0</v>
      </c>
      <c r="O59" t="n">
        <v>0</v>
      </c>
      <c r="P59" t="n">
        <v>0</v>
      </c>
      <c r="Q59" t="n">
        <v>0</v>
      </c>
      <c r="R59" t="n">
        <v>0</v>
      </c>
      <c r="S59" t="n">
        <v>0</v>
      </c>
      <c r="T59" t="n">
        <v>0</v>
      </c>
      <c r="U59" s="2" t="inlineStr"/>
    </row>
    <row r="60" ht="15" customHeight="1">
      <c r="A60" t="inlineStr">
        <is>
          <t>A 47803-2025</t>
        </is>
      </c>
      <c r="B60" t="inlineStr">
        <is>
          <t>avverkningsanmälan</t>
        </is>
      </c>
      <c r="C60" t="inlineStr">
        <is>
          <t>Avverkning för annat ändamål</t>
        </is>
      </c>
      <c r="D60" s="1" t="n">
        <v>45931</v>
      </c>
      <c r="E60" s="1" t="n">
        <v>46222</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s="2" t="inlineStr"/>
    </row>
    <row r="61" ht="15" customHeight="1">
      <c r="A61" t="inlineStr">
        <is>
          <t>A 23239-2023</t>
        </is>
      </c>
      <c r="B61" t="inlineStr">
        <is>
          <t>avverkningsanmälan</t>
        </is>
      </c>
      <c r="C61" t="inlineStr">
        <is>
          <t>Föryngringsavverkning</t>
        </is>
      </c>
      <c r="D61" s="1" t="n">
        <v>45075</v>
      </c>
      <c r="E61" s="1" t="n">
        <v>46222</v>
      </c>
      <c r="F61" t="inlineStr">
        <is>
          <t>UPPSALA LÄN</t>
        </is>
      </c>
      <c r="G61" t="inlineStr">
        <is>
          <t>KNIVSTA</t>
        </is>
      </c>
      <c r="I61" t="n">
        <v>1.8</v>
      </c>
      <c r="J61" t="n">
        <v>0</v>
      </c>
      <c r="K61" t="n">
        <v>0</v>
      </c>
      <c r="L61" t="n">
        <v>0</v>
      </c>
      <c r="M61" t="n">
        <v>0</v>
      </c>
      <c r="N61" t="n">
        <v>0</v>
      </c>
      <c r="O61" t="n">
        <v>0</v>
      </c>
      <c r="P61" t="n">
        <v>0</v>
      </c>
      <c r="Q61" t="n">
        <v>0</v>
      </c>
      <c r="R61" t="n">
        <v>0</v>
      </c>
      <c r="S61" t="n">
        <v>0</v>
      </c>
      <c r="T61" t="n">
        <v>0</v>
      </c>
      <c r="U61" s="2" t="inlineStr"/>
    </row>
    <row r="62" ht="15" customHeight="1">
      <c r="A62" t="inlineStr">
        <is>
          <t>A 36473-2025</t>
        </is>
      </c>
      <c r="B62" t="inlineStr">
        <is>
          <t>avverkningsanmälan</t>
        </is>
      </c>
      <c r="C62" t="inlineStr">
        <is>
          <t>Föryngringsavverkning</t>
        </is>
      </c>
      <c r="D62" s="1" t="n">
        <v>45869</v>
      </c>
      <c r="E62" s="1" t="n">
        <v>46222</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s="2" t="inlineStr"/>
    </row>
    <row r="63" ht="15" customHeight="1">
      <c r="A63" t="inlineStr">
        <is>
          <t>A 49090-2025</t>
        </is>
      </c>
      <c r="B63" t="inlineStr">
        <is>
          <t>avverkningsanmälan</t>
        </is>
      </c>
      <c r="C63" t="inlineStr">
        <is>
          <t>Föryngringsavverkning</t>
        </is>
      </c>
      <c r="D63" s="1" t="n">
        <v>45937</v>
      </c>
      <c r="E63" s="1" t="n">
        <v>46222</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s="2" t="inlineStr"/>
    </row>
    <row r="64" ht="15" customHeight="1">
      <c r="A64" t="inlineStr">
        <is>
          <t>A 9744-2026</t>
        </is>
      </c>
      <c r="B64" t="inlineStr">
        <is>
          <t>avverkningsanmälan</t>
        </is>
      </c>
      <c r="C64" t="inlineStr">
        <is>
          <t>Föryngringsavverkning</t>
        </is>
      </c>
      <c r="D64" s="1" t="n">
        <v>46072</v>
      </c>
      <c r="E64" s="1" t="n">
        <v>46222</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s="2" t="inlineStr"/>
    </row>
    <row r="65" ht="15" customHeight="1">
      <c r="A65" t="inlineStr">
        <is>
          <t>A 66293-2021</t>
        </is>
      </c>
      <c r="B65" t="inlineStr">
        <is>
          <t>avverkningsanmälan</t>
        </is>
      </c>
      <c r="C65" t="inlineStr">
        <is>
          <t>Föryngringsavverkning</t>
        </is>
      </c>
      <c r="D65" s="1" t="n">
        <v>44518</v>
      </c>
      <c r="E65" s="1" t="n">
        <v>46222</v>
      </c>
      <c r="F65" t="inlineStr">
        <is>
          <t>UPPSALA LÄN</t>
        </is>
      </c>
      <c r="G65" t="inlineStr">
        <is>
          <t>KNIVSTA</t>
        </is>
      </c>
      <c r="I65" t="n">
        <v>2.6</v>
      </c>
      <c r="J65" t="n">
        <v>0</v>
      </c>
      <c r="K65" t="n">
        <v>0</v>
      </c>
      <c r="L65" t="n">
        <v>0</v>
      </c>
      <c r="M65" t="n">
        <v>0</v>
      </c>
      <c r="N65" t="n">
        <v>0</v>
      </c>
      <c r="O65" t="n">
        <v>0</v>
      </c>
      <c r="P65" t="n">
        <v>0</v>
      </c>
      <c r="Q65" t="n">
        <v>0</v>
      </c>
      <c r="R65" t="n">
        <v>0</v>
      </c>
      <c r="S65" t="n">
        <v>0</v>
      </c>
      <c r="T65" t="n">
        <v>0</v>
      </c>
      <c r="U65" s="2" t="inlineStr"/>
    </row>
    <row r="66" ht="15" customHeight="1">
      <c r="A66" t="inlineStr">
        <is>
          <t>A 12027-2026</t>
        </is>
      </c>
      <c r="B66" t="inlineStr">
        <is>
          <t>avverkningsanmälan</t>
        </is>
      </c>
      <c r="C66" t="inlineStr">
        <is>
          <t>Avverkning för annat ändamål</t>
        </is>
      </c>
      <c r="D66" s="1" t="n">
        <v>46085</v>
      </c>
      <c r="E66" s="1" t="n">
        <v>46222</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s="2" t="inlineStr"/>
    </row>
    <row r="67" ht="15" customHeight="1">
      <c r="A67" t="inlineStr">
        <is>
          <t>A 12774-2026</t>
        </is>
      </c>
      <c r="B67" t="inlineStr">
        <is>
          <t>avverkningsanmälan</t>
        </is>
      </c>
      <c r="C67" t="inlineStr">
        <is>
          <t>Föryngringsavverkning</t>
        </is>
      </c>
      <c r="D67" s="1" t="n">
        <v>46091</v>
      </c>
      <c r="E67" s="1" t="n">
        <v>46222</v>
      </c>
      <c r="F67" t="inlineStr">
        <is>
          <t>UPPSALA LÄN</t>
        </is>
      </c>
      <c r="G67" t="inlineStr">
        <is>
          <t>KNIVSTA</t>
        </is>
      </c>
      <c r="H67" t="inlineStr">
        <is>
          <t>Holmen skog AB</t>
        </is>
      </c>
      <c r="I67" t="n">
        <v>3.3</v>
      </c>
      <c r="J67" t="n">
        <v>0</v>
      </c>
      <c r="K67" t="n">
        <v>0</v>
      </c>
      <c r="L67" t="n">
        <v>0</v>
      </c>
      <c r="M67" t="n">
        <v>0</v>
      </c>
      <c r="N67" t="n">
        <v>0</v>
      </c>
      <c r="O67" t="n">
        <v>0</v>
      </c>
      <c r="P67" t="n">
        <v>0</v>
      </c>
      <c r="Q67" t="n">
        <v>0</v>
      </c>
      <c r="R67" t="n">
        <v>0</v>
      </c>
      <c r="S67" t="n">
        <v>0</v>
      </c>
      <c r="T67" t="n">
        <v>0</v>
      </c>
      <c r="U67" s="2" t="inlineStr"/>
    </row>
    <row r="68" ht="15" customHeight="1">
      <c r="A68" t="inlineStr">
        <is>
          <t>A 13013-2026</t>
        </is>
      </c>
      <c r="B68" t="inlineStr">
        <is>
          <t>avverkningsanmälan</t>
        </is>
      </c>
      <c r="C68" t="inlineStr">
        <is>
          <t>Föryngringsavverkning</t>
        </is>
      </c>
      <c r="D68" s="1" t="n">
        <v>46092</v>
      </c>
      <c r="E68" s="1" t="n">
        <v>46222</v>
      </c>
      <c r="F68" t="inlineStr">
        <is>
          <t>UPPSALA LÄN</t>
        </is>
      </c>
      <c r="G68" t="inlineStr">
        <is>
          <t>KNIVSTA</t>
        </is>
      </c>
      <c r="H68" t="inlineStr">
        <is>
          <t>Holmen skog AB</t>
        </is>
      </c>
      <c r="I68" t="n">
        <v>4.6</v>
      </c>
      <c r="J68" t="n">
        <v>0</v>
      </c>
      <c r="K68" t="n">
        <v>0</v>
      </c>
      <c r="L68" t="n">
        <v>0</v>
      </c>
      <c r="M68" t="n">
        <v>0</v>
      </c>
      <c r="N68" t="n">
        <v>0</v>
      </c>
      <c r="O68" t="n">
        <v>0</v>
      </c>
      <c r="P68" t="n">
        <v>0</v>
      </c>
      <c r="Q68" t="n">
        <v>0</v>
      </c>
      <c r="R68" t="n">
        <v>0</v>
      </c>
      <c r="S68" t="n">
        <v>0</v>
      </c>
      <c r="T68" t="n">
        <v>0</v>
      </c>
      <c r="U68" s="2" t="inlineStr"/>
    </row>
    <row r="69" ht="15" customHeight="1">
      <c r="A69" t="inlineStr">
        <is>
          <t>A 13011-2026</t>
        </is>
      </c>
      <c r="B69" t="inlineStr">
        <is>
          <t>avverkningsanmälan</t>
        </is>
      </c>
      <c r="C69" t="inlineStr">
        <is>
          <t>Föryngringsavverkning</t>
        </is>
      </c>
      <c r="D69" s="1" t="n">
        <v>46092</v>
      </c>
      <c r="E69" s="1" t="n">
        <v>46222</v>
      </c>
      <c r="F69" t="inlineStr">
        <is>
          <t>UPPSALA LÄN</t>
        </is>
      </c>
      <c r="G69" t="inlineStr">
        <is>
          <t>KNIVSTA</t>
        </is>
      </c>
      <c r="H69" t="inlineStr">
        <is>
          <t>Holmen skog AB</t>
        </is>
      </c>
      <c r="I69" t="n">
        <v>1.9</v>
      </c>
      <c r="J69" t="n">
        <v>0</v>
      </c>
      <c r="K69" t="n">
        <v>0</v>
      </c>
      <c r="L69" t="n">
        <v>0</v>
      </c>
      <c r="M69" t="n">
        <v>0</v>
      </c>
      <c r="N69" t="n">
        <v>0</v>
      </c>
      <c r="O69" t="n">
        <v>0</v>
      </c>
      <c r="P69" t="n">
        <v>0</v>
      </c>
      <c r="Q69" t="n">
        <v>0</v>
      </c>
      <c r="R69" t="n">
        <v>0</v>
      </c>
      <c r="S69" t="n">
        <v>0</v>
      </c>
      <c r="T69" t="n">
        <v>0</v>
      </c>
      <c r="U69" s="2" t="inlineStr"/>
      <c r="X69">
        <f>HYPERLINK("https://klasma.github.io/Logging_0330/knärot/A 13011-2026 karta knärot.png", "A 13011-2026")</f>
        <v/>
      </c>
      <c r="Y69">
        <f>HYPERLINK("https://klasma.github.io/Logging_0330/klagomål/A 13011-2026 FSC-klagomål.docx", "A 13011-2026")</f>
        <v/>
      </c>
      <c r="Z69">
        <f>HYPERLINK("https://klasma.github.io/Logging_0330/klagomålsmail/A 13011-2026 FSC-klagomål mail.docx", "A 13011-2026")</f>
        <v/>
      </c>
      <c r="AA69">
        <f>HYPERLINK("https://klasma.github.io/Logging_0330/tillsyn/A 13011-2026 tillsynsbegäran.docx", "A 13011-2026")</f>
        <v/>
      </c>
      <c r="AB69">
        <f>HYPERLINK("https://klasma.github.io/Logging_0330/tillsynsmail/A 13011-2026 tillsynsbegäran mail.docx", "A 13011-2026")</f>
        <v/>
      </c>
    </row>
    <row r="70" ht="15" customHeight="1">
      <c r="A70" t="inlineStr">
        <is>
          <t>A 13016-2026</t>
        </is>
      </c>
      <c r="B70" t="inlineStr">
        <is>
          <t>avverkningsanmälan</t>
        </is>
      </c>
      <c r="C70" t="inlineStr">
        <is>
          <t>Föryngringsavverkning</t>
        </is>
      </c>
      <c r="D70" s="1" t="n">
        <v>46092</v>
      </c>
      <c r="E70" s="1" t="n">
        <v>46222</v>
      </c>
      <c r="F70" t="inlineStr">
        <is>
          <t>UPPSALA LÄN</t>
        </is>
      </c>
      <c r="G70" t="inlineStr">
        <is>
          <t>KNIVSTA</t>
        </is>
      </c>
      <c r="H70" t="inlineStr">
        <is>
          <t>Holmen skog AB</t>
        </is>
      </c>
      <c r="I70" t="n">
        <v>1.5</v>
      </c>
      <c r="J70" t="n">
        <v>0</v>
      </c>
      <c r="K70" t="n">
        <v>0</v>
      </c>
      <c r="L70" t="n">
        <v>0</v>
      </c>
      <c r="M70" t="n">
        <v>0</v>
      </c>
      <c r="N70" t="n">
        <v>0</v>
      </c>
      <c r="O70" t="n">
        <v>0</v>
      </c>
      <c r="P70" t="n">
        <v>0</v>
      </c>
      <c r="Q70" t="n">
        <v>0</v>
      </c>
      <c r="R70" t="n">
        <v>0</v>
      </c>
      <c r="S70" t="n">
        <v>0</v>
      </c>
      <c r="T70" t="n">
        <v>0</v>
      </c>
      <c r="U70" s="2" t="inlineStr"/>
    </row>
    <row r="71" ht="15" customHeight="1">
      <c r="A71" t="inlineStr">
        <is>
          <t>A 60243-2025</t>
        </is>
      </c>
      <c r="B71" t="inlineStr">
        <is>
          <t>avverkningsanmälan</t>
        </is>
      </c>
      <c r="C71" t="inlineStr">
        <is>
          <t>Föryngringsavverkning</t>
        </is>
      </c>
      <c r="D71" s="1" t="n">
        <v>45994</v>
      </c>
      <c r="E71" s="1" t="n">
        <v>46222</v>
      </c>
      <c r="F71" t="inlineStr">
        <is>
          <t>UPPSALA LÄN</t>
        </is>
      </c>
      <c r="G71" t="inlineStr">
        <is>
          <t>KNIVSTA</t>
        </is>
      </c>
      <c r="H71" t="inlineStr">
        <is>
          <t>Holmen skog AB</t>
        </is>
      </c>
      <c r="I71" t="n">
        <v>2.4</v>
      </c>
      <c r="J71" t="n">
        <v>0</v>
      </c>
      <c r="K71" t="n">
        <v>0</v>
      </c>
      <c r="L71" t="n">
        <v>0</v>
      </c>
      <c r="M71" t="n">
        <v>0</v>
      </c>
      <c r="N71" t="n">
        <v>0</v>
      </c>
      <c r="O71" t="n">
        <v>0</v>
      </c>
      <c r="P71" t="n">
        <v>0</v>
      </c>
      <c r="Q71" t="n">
        <v>0</v>
      </c>
      <c r="R71" t="n">
        <v>0</v>
      </c>
      <c r="S71" t="n">
        <v>0</v>
      </c>
      <c r="T71" t="n">
        <v>0</v>
      </c>
      <c r="U71" s="2" t="inlineStr"/>
    </row>
    <row r="72" ht="15" customHeight="1">
      <c r="A72" t="inlineStr">
        <is>
          <t>A 13001-2026</t>
        </is>
      </c>
      <c r="B72" t="inlineStr">
        <is>
          <t>avverkningsanmälan</t>
        </is>
      </c>
      <c r="C72" t="inlineStr">
        <is>
          <t>Föryngringsavverkning</t>
        </is>
      </c>
      <c r="D72" s="1" t="n">
        <v>46092</v>
      </c>
      <c r="E72" s="1" t="n">
        <v>46222</v>
      </c>
      <c r="F72" t="inlineStr">
        <is>
          <t>UPPSALA LÄN</t>
        </is>
      </c>
      <c r="G72" t="inlineStr">
        <is>
          <t>KNIVSTA</t>
        </is>
      </c>
      <c r="H72" t="inlineStr">
        <is>
          <t>Holmen skog AB</t>
        </is>
      </c>
      <c r="I72" t="n">
        <v>2.9</v>
      </c>
      <c r="J72" t="n">
        <v>0</v>
      </c>
      <c r="K72" t="n">
        <v>0</v>
      </c>
      <c r="L72" t="n">
        <v>0</v>
      </c>
      <c r="M72" t="n">
        <v>0</v>
      </c>
      <c r="N72" t="n">
        <v>0</v>
      </c>
      <c r="O72" t="n">
        <v>0</v>
      </c>
      <c r="P72" t="n">
        <v>0</v>
      </c>
      <c r="Q72" t="n">
        <v>0</v>
      </c>
      <c r="R72" t="n">
        <v>0</v>
      </c>
      <c r="S72" t="n">
        <v>0</v>
      </c>
      <c r="T72" t="n">
        <v>0</v>
      </c>
      <c r="U72" s="2" t="inlineStr"/>
    </row>
    <row r="73" ht="15" customHeight="1">
      <c r="A73" t="inlineStr">
        <is>
          <t>A 13005-2026</t>
        </is>
      </c>
      <c r="B73" t="inlineStr">
        <is>
          <t>avverkningsanmälan</t>
        </is>
      </c>
      <c r="C73" t="inlineStr">
        <is>
          <t>Föryngringsavverkning</t>
        </is>
      </c>
      <c r="D73" s="1" t="n">
        <v>46092</v>
      </c>
      <c r="E73" s="1" t="n">
        <v>46222</v>
      </c>
      <c r="F73" t="inlineStr">
        <is>
          <t>UPPSALA LÄN</t>
        </is>
      </c>
      <c r="G73" t="inlineStr">
        <is>
          <t>KNIVSTA</t>
        </is>
      </c>
      <c r="H73" t="inlineStr">
        <is>
          <t>Holmen skog AB</t>
        </is>
      </c>
      <c r="I73" t="n">
        <v>3</v>
      </c>
      <c r="J73" t="n">
        <v>0</v>
      </c>
      <c r="K73" t="n">
        <v>0</v>
      </c>
      <c r="L73" t="n">
        <v>0</v>
      </c>
      <c r="M73" t="n">
        <v>0</v>
      </c>
      <c r="N73" t="n">
        <v>0</v>
      </c>
      <c r="O73" t="n">
        <v>0</v>
      </c>
      <c r="P73" t="n">
        <v>0</v>
      </c>
      <c r="Q73" t="n">
        <v>0</v>
      </c>
      <c r="R73" t="n">
        <v>0</v>
      </c>
      <c r="S73" t="n">
        <v>0</v>
      </c>
      <c r="T73" t="n">
        <v>0</v>
      </c>
      <c r="U73" s="2" t="inlineStr"/>
    </row>
    <row r="74" ht="15" customHeight="1">
      <c r="A74" t="inlineStr">
        <is>
          <t>A 66284-2021</t>
        </is>
      </c>
      <c r="B74" t="inlineStr">
        <is>
          <t>avverkningsanmälan</t>
        </is>
      </c>
      <c r="C74" t="inlineStr">
        <is>
          <t>Föryngringsavverkning</t>
        </is>
      </c>
      <c r="D74" s="1" t="n">
        <v>44518</v>
      </c>
      <c r="E74" s="1" t="n">
        <v>46222</v>
      </c>
      <c r="F74" t="inlineStr">
        <is>
          <t>UPPSALA LÄN</t>
        </is>
      </c>
      <c r="G74" t="inlineStr">
        <is>
          <t>KNIVSTA</t>
        </is>
      </c>
      <c r="I74" t="n">
        <v>6.9</v>
      </c>
      <c r="J74" t="n">
        <v>0</v>
      </c>
      <c r="K74" t="n">
        <v>0</v>
      </c>
      <c r="L74" t="n">
        <v>0</v>
      </c>
      <c r="M74" t="n">
        <v>0</v>
      </c>
      <c r="N74" t="n">
        <v>0</v>
      </c>
      <c r="O74" t="n">
        <v>0</v>
      </c>
      <c r="P74" t="n">
        <v>0</v>
      </c>
      <c r="Q74" t="n">
        <v>0</v>
      </c>
      <c r="R74" t="n">
        <v>0</v>
      </c>
      <c r="S74" t="n">
        <v>0</v>
      </c>
      <c r="T74" t="n">
        <v>0</v>
      </c>
      <c r="U74" s="2" t="inlineStr"/>
    </row>
    <row r="75" ht="15" customHeight="1">
      <c r="A75" t="inlineStr">
        <is>
          <t>A 662-2026</t>
        </is>
      </c>
      <c r="B75" t="inlineStr">
        <is>
          <t>avverkningsanmälan</t>
        </is>
      </c>
      <c r="C75" t="inlineStr">
        <is>
          <t>Föryngringsavverkning</t>
        </is>
      </c>
      <c r="D75" s="1" t="n">
        <v>46029</v>
      </c>
      <c r="E75" s="1" t="n">
        <v>46222</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s="2" t="inlineStr"/>
    </row>
    <row r="76" ht="15" customHeight="1">
      <c r="A76" t="inlineStr">
        <is>
          <t>A 19676-2025</t>
        </is>
      </c>
      <c r="B76" t="inlineStr">
        <is>
          <t>avverkningsanmälan</t>
        </is>
      </c>
      <c r="C76" t="inlineStr">
        <is>
          <t>Föryngringsavverkning</t>
        </is>
      </c>
      <c r="D76" s="1" t="n">
        <v>45770</v>
      </c>
      <c r="E76" s="1" t="n">
        <v>46222</v>
      </c>
      <c r="F76" t="inlineStr">
        <is>
          <t>UPPSALA LÄN</t>
        </is>
      </c>
      <c r="G76" t="inlineStr">
        <is>
          <t>KNIVSTA</t>
        </is>
      </c>
      <c r="I76" t="n">
        <v>0.9</v>
      </c>
      <c r="J76" t="n">
        <v>0</v>
      </c>
      <c r="K76" t="n">
        <v>0</v>
      </c>
      <c r="L76" t="n">
        <v>0</v>
      </c>
      <c r="M76" t="n">
        <v>0</v>
      </c>
      <c r="N76" t="n">
        <v>0</v>
      </c>
      <c r="O76" t="n">
        <v>0</v>
      </c>
      <c r="P76" t="n">
        <v>0</v>
      </c>
      <c r="Q76" t="n">
        <v>0</v>
      </c>
      <c r="R76" t="n">
        <v>0</v>
      </c>
      <c r="S76" t="n">
        <v>0</v>
      </c>
      <c r="T76" t="n">
        <v>0</v>
      </c>
      <c r="U76" s="2" t="inlineStr"/>
    </row>
    <row r="77" ht="15" customHeight="1">
      <c r="A77" t="inlineStr">
        <is>
          <t>A 8343-2024</t>
        </is>
      </c>
      <c r="B77" t="inlineStr">
        <is>
          <t>avverkningsanmälan</t>
        </is>
      </c>
      <c r="C77" t="inlineStr">
        <is>
          <t>Föryngringsavverkning</t>
        </is>
      </c>
      <c r="D77" s="1" t="n">
        <v>45352</v>
      </c>
      <c r="E77" s="1" t="n">
        <v>46222</v>
      </c>
      <c r="F77" t="inlineStr">
        <is>
          <t>UPPSALA LÄN</t>
        </is>
      </c>
      <c r="G77" t="inlineStr">
        <is>
          <t>KNIVSTA</t>
        </is>
      </c>
      <c r="H77" t="inlineStr">
        <is>
          <t>Holmen skog AB</t>
        </is>
      </c>
      <c r="I77" t="n">
        <v>1.4</v>
      </c>
      <c r="J77" t="n">
        <v>0</v>
      </c>
      <c r="K77" t="n">
        <v>0</v>
      </c>
      <c r="L77" t="n">
        <v>0</v>
      </c>
      <c r="M77" t="n">
        <v>0</v>
      </c>
      <c r="N77" t="n">
        <v>0</v>
      </c>
      <c r="O77" t="n">
        <v>0</v>
      </c>
      <c r="P77" t="n">
        <v>0</v>
      </c>
      <c r="Q77" t="n">
        <v>0</v>
      </c>
      <c r="R77" t="n">
        <v>0</v>
      </c>
      <c r="S77" t="n">
        <v>0</v>
      </c>
      <c r="T77" t="n">
        <v>0</v>
      </c>
      <c r="U77" s="2" t="inlineStr"/>
    </row>
    <row r="78" ht="15" customHeight="1">
      <c r="A78" t="inlineStr">
        <is>
          <t>A 30627-2023</t>
        </is>
      </c>
      <c r="B78" t="inlineStr">
        <is>
          <t>avverkningsanmälan</t>
        </is>
      </c>
      <c r="C78" t="inlineStr">
        <is>
          <t>Föryngringsavverkning</t>
        </is>
      </c>
      <c r="D78" s="1" t="n">
        <v>45112</v>
      </c>
      <c r="E78" s="1" t="n">
        <v>46222</v>
      </c>
      <c r="F78" t="inlineStr">
        <is>
          <t>UPPSALA LÄN</t>
        </is>
      </c>
      <c r="G78" t="inlineStr">
        <is>
          <t>KNIVSTA</t>
        </is>
      </c>
      <c r="H78" t="inlineStr">
        <is>
          <t>Holmen skog AB</t>
        </is>
      </c>
      <c r="I78" t="n">
        <v>1.6</v>
      </c>
      <c r="J78" t="n">
        <v>0</v>
      </c>
      <c r="K78" t="n">
        <v>0</v>
      </c>
      <c r="L78" t="n">
        <v>0</v>
      </c>
      <c r="M78" t="n">
        <v>0</v>
      </c>
      <c r="N78" t="n">
        <v>0</v>
      </c>
      <c r="O78" t="n">
        <v>0</v>
      </c>
      <c r="P78" t="n">
        <v>0</v>
      </c>
      <c r="Q78" t="n">
        <v>0</v>
      </c>
      <c r="R78" t="n">
        <v>0</v>
      </c>
      <c r="S78" t="n">
        <v>0</v>
      </c>
      <c r="T78" t="n">
        <v>0</v>
      </c>
      <c r="U78" s="2" t="inlineStr"/>
    </row>
    <row r="79" ht="15" customHeight="1">
      <c r="A79" t="inlineStr">
        <is>
          <t>A 5276-2026</t>
        </is>
      </c>
      <c r="B79" t="inlineStr">
        <is>
          <t>avverkningsanmälan</t>
        </is>
      </c>
      <c r="C79" t="inlineStr">
        <is>
          <t>Föryngringsavverkning</t>
        </is>
      </c>
      <c r="D79" s="1" t="n">
        <v>46037</v>
      </c>
      <c r="E79" s="1" t="n">
        <v>46222</v>
      </c>
      <c r="F79" t="inlineStr">
        <is>
          <t>UPPSALA LÄN</t>
        </is>
      </c>
      <c r="G79" t="inlineStr">
        <is>
          <t>KNIVSTA</t>
        </is>
      </c>
      <c r="I79" t="n">
        <v>1.9</v>
      </c>
      <c r="J79" t="n">
        <v>0</v>
      </c>
      <c r="K79" t="n">
        <v>0</v>
      </c>
      <c r="L79" t="n">
        <v>0</v>
      </c>
      <c r="M79" t="n">
        <v>0</v>
      </c>
      <c r="N79" t="n">
        <v>0</v>
      </c>
      <c r="O79" t="n">
        <v>0</v>
      </c>
      <c r="P79" t="n">
        <v>0</v>
      </c>
      <c r="Q79" t="n">
        <v>0</v>
      </c>
      <c r="R79" t="n">
        <v>0</v>
      </c>
      <c r="S79" t="n">
        <v>0</v>
      </c>
      <c r="T79" t="n">
        <v>0</v>
      </c>
      <c r="U79" s="2" t="inlineStr"/>
    </row>
    <row r="80" ht="15" customHeight="1">
      <c r="A80" t="inlineStr">
        <is>
          <t>A 1629-2024</t>
        </is>
      </c>
      <c r="B80" t="inlineStr">
        <is>
          <t>avverkningsanmälan</t>
        </is>
      </c>
      <c r="C80" t="inlineStr">
        <is>
          <t>Föryngringsavverkning</t>
        </is>
      </c>
      <c r="D80" s="1" t="n">
        <v>45306</v>
      </c>
      <c r="E80" s="1" t="n">
        <v>46222</v>
      </c>
      <c r="F80" t="inlineStr">
        <is>
          <t>UPPSALA LÄN</t>
        </is>
      </c>
      <c r="G80" t="inlineStr">
        <is>
          <t>KNIVSTA</t>
        </is>
      </c>
      <c r="H80" t="inlineStr">
        <is>
          <t>Holmen skog AB</t>
        </is>
      </c>
      <c r="I80" t="n">
        <v>3.6</v>
      </c>
      <c r="J80" t="n">
        <v>0</v>
      </c>
      <c r="K80" t="n">
        <v>0</v>
      </c>
      <c r="L80" t="n">
        <v>0</v>
      </c>
      <c r="M80" t="n">
        <v>0</v>
      </c>
      <c r="N80" t="n">
        <v>0</v>
      </c>
      <c r="O80" t="n">
        <v>0</v>
      </c>
      <c r="P80" t="n">
        <v>0</v>
      </c>
      <c r="Q80" t="n">
        <v>0</v>
      </c>
      <c r="R80" t="n">
        <v>0</v>
      </c>
      <c r="S80" t="n">
        <v>0</v>
      </c>
      <c r="T80" t="n">
        <v>0</v>
      </c>
      <c r="U80" s="2" t="inlineStr"/>
    </row>
    <row r="81" ht="15" customHeight="1">
      <c r="A81" t="inlineStr">
        <is>
          <t>A 19774-2026</t>
        </is>
      </c>
      <c r="B81" t="inlineStr">
        <is>
          <t>avverkningsanmälan</t>
        </is>
      </c>
      <c r="C81" t="inlineStr">
        <is>
          <t>Föryngringsavverkning</t>
        </is>
      </c>
      <c r="D81" s="1" t="n">
        <v>46135</v>
      </c>
      <c r="E81" s="1" t="n">
        <v>46222</v>
      </c>
      <c r="F81" t="inlineStr">
        <is>
          <t>UPPSALA LÄN</t>
        </is>
      </c>
      <c r="G81" t="inlineStr">
        <is>
          <t>KNIVSTA</t>
        </is>
      </c>
      <c r="I81" t="n">
        <v>4.2</v>
      </c>
      <c r="J81" t="n">
        <v>0</v>
      </c>
      <c r="K81" t="n">
        <v>0</v>
      </c>
      <c r="L81" t="n">
        <v>0</v>
      </c>
      <c r="M81" t="n">
        <v>0</v>
      </c>
      <c r="N81" t="n">
        <v>0</v>
      </c>
      <c r="O81" t="n">
        <v>0</v>
      </c>
      <c r="P81" t="n">
        <v>0</v>
      </c>
      <c r="Q81" t="n">
        <v>0</v>
      </c>
      <c r="R81" t="n">
        <v>0</v>
      </c>
      <c r="S81" t="n">
        <v>0</v>
      </c>
      <c r="T81" t="n">
        <v>0</v>
      </c>
      <c r="U81" s="2" t="inlineStr"/>
    </row>
    <row r="82" ht="15" customHeight="1">
      <c r="A82" t="inlineStr">
        <is>
          <t>A 45525-2023</t>
        </is>
      </c>
      <c r="B82" t="inlineStr">
        <is>
          <t>avverkningsanmälan</t>
        </is>
      </c>
      <c r="C82" t="inlineStr">
        <is>
          <t>Avverkning för annat ändamål</t>
        </is>
      </c>
      <c r="D82" s="1" t="n">
        <v>45194</v>
      </c>
      <c r="E82" s="1" t="n">
        <v>46222</v>
      </c>
      <c r="F82" t="inlineStr">
        <is>
          <t>UPPSALA LÄN</t>
        </is>
      </c>
      <c r="G82" t="inlineStr">
        <is>
          <t>KNIVSTA</t>
        </is>
      </c>
      <c r="I82" t="n">
        <v>0.7</v>
      </c>
      <c r="J82" t="n">
        <v>0</v>
      </c>
      <c r="K82" t="n">
        <v>0</v>
      </c>
      <c r="L82" t="n">
        <v>0</v>
      </c>
      <c r="M82" t="n">
        <v>0</v>
      </c>
      <c r="N82" t="n">
        <v>0</v>
      </c>
      <c r="O82" t="n">
        <v>0</v>
      </c>
      <c r="P82" t="n">
        <v>0</v>
      </c>
      <c r="Q82" t="n">
        <v>0</v>
      </c>
      <c r="R82" t="n">
        <v>0</v>
      </c>
      <c r="S82" t="n">
        <v>0</v>
      </c>
      <c r="T82" t="n">
        <v>0</v>
      </c>
      <c r="U82" s="2" t="inlineStr"/>
    </row>
    <row r="83" ht="15" customHeight="1">
      <c r="A83" t="inlineStr">
        <is>
          <t>A 52666-2025</t>
        </is>
      </c>
      <c r="B83" t="inlineStr">
        <is>
          <t>avverkningsanmälan</t>
        </is>
      </c>
      <c r="C83" t="inlineStr">
        <is>
          <t>Föryngringsavverkning</t>
        </is>
      </c>
      <c r="D83" s="1" t="n">
        <v>45955</v>
      </c>
      <c r="E83" s="1" t="n">
        <v>46222</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s="2" t="inlineStr"/>
    </row>
    <row r="84" ht="15" customHeight="1">
      <c r="A84" t="inlineStr">
        <is>
          <t>A 33974-2025</t>
        </is>
      </c>
      <c r="B84" t="inlineStr">
        <is>
          <t>avverkningsanmälan</t>
        </is>
      </c>
      <c r="C84" t="inlineStr">
        <is>
          <t>Föryngringsavverkning</t>
        </is>
      </c>
      <c r="D84" s="1" t="n">
        <v>45843</v>
      </c>
      <c r="E84" s="1" t="n">
        <v>46222</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s="2" t="inlineStr"/>
    </row>
    <row r="85" ht="15" customHeight="1">
      <c r="A85" t="inlineStr">
        <is>
          <t>A 16773-2022</t>
        </is>
      </c>
      <c r="B85" t="inlineStr">
        <is>
          <t>avverkningsanmälan</t>
        </is>
      </c>
      <c r="C85" t="inlineStr">
        <is>
          <t>Avverkning för annat ändamål</t>
        </is>
      </c>
      <c r="D85" s="1" t="n">
        <v>44673</v>
      </c>
      <c r="E85" s="1" t="n">
        <v>46222</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s="2" t="inlineStr"/>
    </row>
    <row r="86" ht="15" customHeight="1">
      <c r="A86" t="inlineStr">
        <is>
          <t>A 30764-2023</t>
        </is>
      </c>
      <c r="B86" t="inlineStr">
        <is>
          <t>avverkningsanmälan</t>
        </is>
      </c>
      <c r="C86" t="inlineStr">
        <is>
          <t>Föryngringsavverkning</t>
        </is>
      </c>
      <c r="D86" s="1" t="n">
        <v>45112</v>
      </c>
      <c r="E86" s="1" t="n">
        <v>46222</v>
      </c>
      <c r="F86" t="inlineStr">
        <is>
          <t>UPPSALA LÄN</t>
        </is>
      </c>
      <c r="G86" t="inlineStr">
        <is>
          <t>KNIVSTA</t>
        </is>
      </c>
      <c r="H86" t="inlineStr">
        <is>
          <t>Holmen skog AB</t>
        </is>
      </c>
      <c r="I86" t="n">
        <v>0.9</v>
      </c>
      <c r="J86" t="n">
        <v>0</v>
      </c>
      <c r="K86" t="n">
        <v>0</v>
      </c>
      <c r="L86" t="n">
        <v>0</v>
      </c>
      <c r="M86" t="n">
        <v>0</v>
      </c>
      <c r="N86" t="n">
        <v>0</v>
      </c>
      <c r="O86" t="n">
        <v>0</v>
      </c>
      <c r="P86" t="n">
        <v>0</v>
      </c>
      <c r="Q86" t="n">
        <v>0</v>
      </c>
      <c r="R86" t="n">
        <v>0</v>
      </c>
      <c r="S86" t="n">
        <v>0</v>
      </c>
      <c r="T86" t="n">
        <v>0</v>
      </c>
      <c r="U86" s="2" t="inlineStr"/>
    </row>
    <row r="87" ht="15" customHeight="1">
      <c r="A87" t="inlineStr">
        <is>
          <t>A 51849-2023</t>
        </is>
      </c>
      <c r="B87" t="inlineStr">
        <is>
          <t>avverkningsanmälan</t>
        </is>
      </c>
      <c r="C87" t="inlineStr">
        <is>
          <t>Föryngringsavverkning</t>
        </is>
      </c>
      <c r="D87" s="1" t="n">
        <v>45223</v>
      </c>
      <c r="E87" s="1" t="n">
        <v>46222</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s="2" t="inlineStr"/>
    </row>
    <row r="88" ht="15" customHeight="1">
      <c r="A88" t="inlineStr">
        <is>
          <t>A 60018-2024</t>
        </is>
      </c>
      <c r="B88" t="inlineStr">
        <is>
          <t>avverkningsanmälan</t>
        </is>
      </c>
      <c r="C88" t="inlineStr">
        <is>
          <t>Föryngringsavverkning</t>
        </is>
      </c>
      <c r="D88" s="1" t="n">
        <v>45642</v>
      </c>
      <c r="E88" s="1" t="n">
        <v>46222</v>
      </c>
      <c r="F88" t="inlineStr">
        <is>
          <t>UPPSALA LÄN</t>
        </is>
      </c>
      <c r="G88" t="inlineStr">
        <is>
          <t>KNIVSTA</t>
        </is>
      </c>
      <c r="I88" t="n">
        <v>4.1</v>
      </c>
      <c r="J88" t="n">
        <v>0</v>
      </c>
      <c r="K88" t="n">
        <v>0</v>
      </c>
      <c r="L88" t="n">
        <v>0</v>
      </c>
      <c r="M88" t="n">
        <v>0</v>
      </c>
      <c r="N88" t="n">
        <v>0</v>
      </c>
      <c r="O88" t="n">
        <v>0</v>
      </c>
      <c r="P88" t="n">
        <v>0</v>
      </c>
      <c r="Q88" t="n">
        <v>0</v>
      </c>
      <c r="R88" t="n">
        <v>0</v>
      </c>
      <c r="S88" t="n">
        <v>0</v>
      </c>
      <c r="T88" t="n">
        <v>0</v>
      </c>
      <c r="U88" s="2" t="inlineStr"/>
    </row>
    <row r="89" ht="15" customHeight="1">
      <c r="A89" t="inlineStr">
        <is>
          <t>A 20528-2026</t>
        </is>
      </c>
      <c r="B89" t="inlineStr">
        <is>
          <t>avverkningsanmälan</t>
        </is>
      </c>
      <c r="C89" t="inlineStr">
        <is>
          <t>Föryngringsavverkning</t>
        </is>
      </c>
      <c r="D89" s="1" t="n">
        <v>46140</v>
      </c>
      <c r="E89" s="1" t="n">
        <v>46222</v>
      </c>
      <c r="F89" t="inlineStr">
        <is>
          <t>UPPSALA LÄN</t>
        </is>
      </c>
      <c r="G89" t="inlineStr">
        <is>
          <t>KNIVSTA</t>
        </is>
      </c>
      <c r="I89" t="n">
        <v>5.7</v>
      </c>
      <c r="J89" t="n">
        <v>0</v>
      </c>
      <c r="K89" t="n">
        <v>0</v>
      </c>
      <c r="L89" t="n">
        <v>0</v>
      </c>
      <c r="M89" t="n">
        <v>0</v>
      </c>
      <c r="N89" t="n">
        <v>0</v>
      </c>
      <c r="O89" t="n">
        <v>0</v>
      </c>
      <c r="P89" t="n">
        <v>0</v>
      </c>
      <c r="Q89" t="n">
        <v>0</v>
      </c>
      <c r="R89" t="n">
        <v>0</v>
      </c>
      <c r="S89" t="n">
        <v>0</v>
      </c>
      <c r="T89" t="n">
        <v>0</v>
      </c>
      <c r="U89" s="2" t="inlineStr"/>
    </row>
    <row r="90" ht="15" customHeight="1">
      <c r="A90" t="inlineStr">
        <is>
          <t>A 17333-2024</t>
        </is>
      </c>
      <c r="B90" t="inlineStr">
        <is>
          <t>avverkningsanmälan</t>
        </is>
      </c>
      <c r="C90" t="inlineStr">
        <is>
          <t>Föryngringsavverkning</t>
        </is>
      </c>
      <c r="D90" s="1" t="n">
        <v>45414</v>
      </c>
      <c r="E90" s="1" t="n">
        <v>46222</v>
      </c>
      <c r="F90" t="inlineStr">
        <is>
          <t>UPPSALA LÄN</t>
        </is>
      </c>
      <c r="G90" t="inlineStr">
        <is>
          <t>KNIVSTA</t>
        </is>
      </c>
      <c r="I90" t="n">
        <v>0.9</v>
      </c>
      <c r="J90" t="n">
        <v>0</v>
      </c>
      <c r="K90" t="n">
        <v>0</v>
      </c>
      <c r="L90" t="n">
        <v>0</v>
      </c>
      <c r="M90" t="n">
        <v>0</v>
      </c>
      <c r="N90" t="n">
        <v>0</v>
      </c>
      <c r="O90" t="n">
        <v>0</v>
      </c>
      <c r="P90" t="n">
        <v>0</v>
      </c>
      <c r="Q90" t="n">
        <v>0</v>
      </c>
      <c r="R90" t="n">
        <v>0</v>
      </c>
      <c r="S90" t="n">
        <v>0</v>
      </c>
      <c r="T90" t="n">
        <v>0</v>
      </c>
      <c r="U90" s="2" t="inlineStr"/>
    </row>
    <row r="91" ht="15" customHeight="1">
      <c r="A91" t="inlineStr">
        <is>
          <t>A 1791-2024</t>
        </is>
      </c>
      <c r="B91" t="inlineStr">
        <is>
          <t>avverkningsanmälan</t>
        </is>
      </c>
      <c r="C91" t="inlineStr">
        <is>
          <t>Föryngringsavverkning</t>
        </is>
      </c>
      <c r="D91" s="1" t="n">
        <v>45307</v>
      </c>
      <c r="E91" s="1" t="n">
        <v>46222</v>
      </c>
      <c r="F91" t="inlineStr">
        <is>
          <t>UPPSALA LÄN</t>
        </is>
      </c>
      <c r="G91" t="inlineStr">
        <is>
          <t>KNIVSTA</t>
        </is>
      </c>
      <c r="I91" t="n">
        <v>1.4</v>
      </c>
      <c r="J91" t="n">
        <v>0</v>
      </c>
      <c r="K91" t="n">
        <v>0</v>
      </c>
      <c r="L91" t="n">
        <v>0</v>
      </c>
      <c r="M91" t="n">
        <v>0</v>
      </c>
      <c r="N91" t="n">
        <v>0</v>
      </c>
      <c r="O91" t="n">
        <v>0</v>
      </c>
      <c r="P91" t="n">
        <v>0</v>
      </c>
      <c r="Q91" t="n">
        <v>0</v>
      </c>
      <c r="R91" t="n">
        <v>0</v>
      </c>
      <c r="S91" t="n">
        <v>0</v>
      </c>
      <c r="T91" t="n">
        <v>0</v>
      </c>
      <c r="U91" s="2" t="inlineStr"/>
    </row>
    <row r="92" ht="15" customHeight="1">
      <c r="A92" t="inlineStr">
        <is>
          <t>A 19777-2026</t>
        </is>
      </c>
      <c r="B92" t="inlineStr">
        <is>
          <t>avverkningsanmälan</t>
        </is>
      </c>
      <c r="C92" t="inlineStr">
        <is>
          <t>Föryngringsavverkning</t>
        </is>
      </c>
      <c r="D92" s="1" t="n">
        <v>46135</v>
      </c>
      <c r="E92" s="1" t="n">
        <v>46222</v>
      </c>
      <c r="F92" t="inlineStr">
        <is>
          <t>UPPSALA LÄN</t>
        </is>
      </c>
      <c r="G92" t="inlineStr">
        <is>
          <t>KNIVSTA</t>
        </is>
      </c>
      <c r="I92" t="n">
        <v>1.9</v>
      </c>
      <c r="J92" t="n">
        <v>0</v>
      </c>
      <c r="K92" t="n">
        <v>0</v>
      </c>
      <c r="L92" t="n">
        <v>0</v>
      </c>
      <c r="M92" t="n">
        <v>0</v>
      </c>
      <c r="N92" t="n">
        <v>0</v>
      </c>
      <c r="O92" t="n">
        <v>0</v>
      </c>
      <c r="P92" t="n">
        <v>0</v>
      </c>
      <c r="Q92" t="n">
        <v>0</v>
      </c>
      <c r="R92" t="n">
        <v>0</v>
      </c>
      <c r="S92" t="n">
        <v>0</v>
      </c>
      <c r="T92" t="n">
        <v>0</v>
      </c>
      <c r="U92" s="2" t="inlineStr"/>
    </row>
    <row r="93" ht="15" customHeight="1">
      <c r="A93" t="inlineStr">
        <is>
          <t>A 2628-2025</t>
        </is>
      </c>
      <c r="B93" t="inlineStr">
        <is>
          <t>avverkningsanmälan</t>
        </is>
      </c>
      <c r="C93" t="inlineStr">
        <is>
          <t>Föryngringsavverkning</t>
        </is>
      </c>
      <c r="D93" s="1" t="n">
        <v>45675</v>
      </c>
      <c r="E93" s="1" t="n">
        <v>46222</v>
      </c>
      <c r="F93" t="inlineStr">
        <is>
          <t>UPPSALA LÄN</t>
        </is>
      </c>
      <c r="G93" t="inlineStr">
        <is>
          <t>KNIVSTA</t>
        </is>
      </c>
      <c r="I93" t="n">
        <v>2.9</v>
      </c>
      <c r="J93" t="n">
        <v>0</v>
      </c>
      <c r="K93" t="n">
        <v>0</v>
      </c>
      <c r="L93" t="n">
        <v>0</v>
      </c>
      <c r="M93" t="n">
        <v>0</v>
      </c>
      <c r="N93" t="n">
        <v>0</v>
      </c>
      <c r="O93" t="n">
        <v>0</v>
      </c>
      <c r="P93" t="n">
        <v>0</v>
      </c>
      <c r="Q93" t="n">
        <v>0</v>
      </c>
      <c r="R93" t="n">
        <v>0</v>
      </c>
      <c r="S93" t="n">
        <v>0</v>
      </c>
      <c r="T93" t="n">
        <v>0</v>
      </c>
      <c r="U93" s="2" t="inlineStr"/>
    </row>
    <row r="94" ht="15" customHeight="1">
      <c r="A94" t="inlineStr">
        <is>
          <t>A 11452-2023</t>
        </is>
      </c>
      <c r="B94" t="inlineStr">
        <is>
          <t>avverkningsanmälan</t>
        </is>
      </c>
      <c r="C94" t="inlineStr">
        <is>
          <t>Föryngringsavverkning</t>
        </is>
      </c>
      <c r="D94" s="1" t="n">
        <v>44993</v>
      </c>
      <c r="E94" s="1" t="n">
        <v>46222</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s="2" t="inlineStr"/>
    </row>
    <row r="95" ht="15" customHeight="1">
      <c r="A95" t="inlineStr">
        <is>
          <t>A 43908-2023</t>
        </is>
      </c>
      <c r="B95" t="inlineStr">
        <is>
          <t>avverkningsanmälan</t>
        </is>
      </c>
      <c r="C95" t="inlineStr">
        <is>
          <t>Föryngringsavverkning</t>
        </is>
      </c>
      <c r="D95" s="1" t="n">
        <v>45187</v>
      </c>
      <c r="E95" s="1" t="n">
        <v>46222</v>
      </c>
      <c r="F95" t="inlineStr">
        <is>
          <t>UPPSALA LÄN</t>
        </is>
      </c>
      <c r="G95" t="inlineStr">
        <is>
          <t>KNIVSTA</t>
        </is>
      </c>
      <c r="H95" t="inlineStr">
        <is>
          <t>Kyrkan</t>
        </is>
      </c>
      <c r="I95" t="n">
        <v>1.7</v>
      </c>
      <c r="J95" t="n">
        <v>0</v>
      </c>
      <c r="K95" t="n">
        <v>0</v>
      </c>
      <c r="L95" t="n">
        <v>0</v>
      </c>
      <c r="M95" t="n">
        <v>0</v>
      </c>
      <c r="N95" t="n">
        <v>0</v>
      </c>
      <c r="O95" t="n">
        <v>0</v>
      </c>
      <c r="P95" t="n">
        <v>0</v>
      </c>
      <c r="Q95" t="n">
        <v>0</v>
      </c>
      <c r="R95" t="n">
        <v>0</v>
      </c>
      <c r="S95" t="n">
        <v>0</v>
      </c>
      <c r="T95" t="n">
        <v>0</v>
      </c>
      <c r="U95" s="2" t="inlineStr"/>
    </row>
    <row r="96" ht="15" customHeight="1">
      <c r="A96" t="inlineStr">
        <is>
          <t>A 28668-2026</t>
        </is>
      </c>
      <c r="B96" t="inlineStr">
        <is>
          <t>avverkningsanmälan</t>
        </is>
      </c>
      <c r="C96" t="inlineStr">
        <is>
          <t>Avverkning för annat ändamål</t>
        </is>
      </c>
      <c r="D96" s="1" t="n">
        <v>46193</v>
      </c>
      <c r="E96" s="1" t="n">
        <v>46222</v>
      </c>
      <c r="F96" t="inlineStr">
        <is>
          <t>UPPSALA LÄN</t>
        </is>
      </c>
      <c r="G96" t="inlineStr">
        <is>
          <t>KNIVSTA</t>
        </is>
      </c>
      <c r="I96" t="n">
        <v>7.4</v>
      </c>
      <c r="J96" t="n">
        <v>0</v>
      </c>
      <c r="K96" t="n">
        <v>0</v>
      </c>
      <c r="L96" t="n">
        <v>0</v>
      </c>
      <c r="M96" t="n">
        <v>0</v>
      </c>
      <c r="N96" t="n">
        <v>0</v>
      </c>
      <c r="O96" t="n">
        <v>0</v>
      </c>
      <c r="P96" t="n">
        <v>0</v>
      </c>
      <c r="Q96" t="n">
        <v>0</v>
      </c>
      <c r="R96" t="n">
        <v>0</v>
      </c>
      <c r="S96" t="n">
        <v>0</v>
      </c>
      <c r="T96" t="n">
        <v>0</v>
      </c>
      <c r="U96" s="2" t="inlineStr"/>
    </row>
    <row r="97" ht="15" customHeight="1">
      <c r="A97" t="inlineStr">
        <is>
          <t>A 34078-2022</t>
        </is>
      </c>
      <c r="B97" t="inlineStr">
        <is>
          <t>avverkningsanmälan</t>
        </is>
      </c>
      <c r="C97" t="inlineStr">
        <is>
          <t>Föryngringsavverkning</t>
        </is>
      </c>
      <c r="D97" s="1" t="n">
        <v>44791</v>
      </c>
      <c r="E97" s="1" t="n">
        <v>46222</v>
      </c>
      <c r="F97" t="inlineStr">
        <is>
          <t>UPPSALA LÄN</t>
        </is>
      </c>
      <c r="G97" t="inlineStr">
        <is>
          <t>KNIVSTA</t>
        </is>
      </c>
      <c r="H97" t="inlineStr">
        <is>
          <t>Övriga statliga verk och myndigheter</t>
        </is>
      </c>
      <c r="I97" t="n">
        <v>1.8</v>
      </c>
      <c r="J97" t="n">
        <v>0</v>
      </c>
      <c r="K97" t="n">
        <v>0</v>
      </c>
      <c r="L97" t="n">
        <v>0</v>
      </c>
      <c r="M97" t="n">
        <v>0</v>
      </c>
      <c r="N97" t="n">
        <v>0</v>
      </c>
      <c r="O97" t="n">
        <v>0</v>
      </c>
      <c r="P97" t="n">
        <v>0</v>
      </c>
      <c r="Q97" t="n">
        <v>0</v>
      </c>
      <c r="R97" t="n">
        <v>0</v>
      </c>
      <c r="S97" t="n">
        <v>0</v>
      </c>
      <c r="T97" t="n">
        <v>0</v>
      </c>
      <c r="U97" s="2" t="inlineStr"/>
    </row>
    <row r="98" ht="15" customHeight="1">
      <c r="A98" t="inlineStr">
        <is>
          <t>A 26182-2022</t>
        </is>
      </c>
      <c r="B98" t="inlineStr">
        <is>
          <t>avverkningsanmälan</t>
        </is>
      </c>
      <c r="C98" t="inlineStr">
        <is>
          <t>Föryngringsavverkning</t>
        </is>
      </c>
      <c r="D98" s="1" t="n">
        <v>44735</v>
      </c>
      <c r="E98" s="1" t="n">
        <v>46222</v>
      </c>
      <c r="F98" t="inlineStr">
        <is>
          <t>UPPSALA LÄN</t>
        </is>
      </c>
      <c r="G98" t="inlineStr">
        <is>
          <t>KNIVSTA</t>
        </is>
      </c>
      <c r="I98" t="n">
        <v>3.8</v>
      </c>
      <c r="J98" t="n">
        <v>0</v>
      </c>
      <c r="K98" t="n">
        <v>0</v>
      </c>
      <c r="L98" t="n">
        <v>0</v>
      </c>
      <c r="M98" t="n">
        <v>0</v>
      </c>
      <c r="N98" t="n">
        <v>0</v>
      </c>
      <c r="O98" t="n">
        <v>0</v>
      </c>
      <c r="P98" t="n">
        <v>0</v>
      </c>
      <c r="Q98" t="n">
        <v>0</v>
      </c>
      <c r="R98" t="n">
        <v>0</v>
      </c>
      <c r="S98" t="n">
        <v>0</v>
      </c>
      <c r="T98" t="n">
        <v>0</v>
      </c>
      <c r="U98" s="2" t="inlineStr"/>
    </row>
    <row r="99" ht="15" customHeight="1">
      <c r="A99" t="inlineStr">
        <is>
          <t>A 23969-2026</t>
        </is>
      </c>
      <c r="B99" t="inlineStr">
        <is>
          <t>avverkningsanmälan</t>
        </is>
      </c>
      <c r="C99" t="inlineStr">
        <is>
          <t>Föryngringsavverkning</t>
        </is>
      </c>
      <c r="D99" s="1" t="n">
        <v>46167</v>
      </c>
      <c r="E99" s="1" t="n">
        <v>46222</v>
      </c>
      <c r="F99" t="inlineStr">
        <is>
          <t>UPPSALA LÄN</t>
        </is>
      </c>
      <c r="G99" t="inlineStr">
        <is>
          <t>KNIVSTA</t>
        </is>
      </c>
      <c r="I99" t="n">
        <v>2.1</v>
      </c>
      <c r="J99" t="n">
        <v>0</v>
      </c>
      <c r="K99" t="n">
        <v>0</v>
      </c>
      <c r="L99" t="n">
        <v>0</v>
      </c>
      <c r="M99" t="n">
        <v>0</v>
      </c>
      <c r="N99" t="n">
        <v>0</v>
      </c>
      <c r="O99" t="n">
        <v>0</v>
      </c>
      <c r="P99" t="n">
        <v>0</v>
      </c>
      <c r="Q99" t="n">
        <v>0</v>
      </c>
      <c r="R99" t="n">
        <v>0</v>
      </c>
      <c r="S99" t="n">
        <v>0</v>
      </c>
      <c r="T99" t="n">
        <v>0</v>
      </c>
      <c r="U99" s="2" t="inlineStr"/>
    </row>
    <row r="100" ht="15" customHeight="1">
      <c r="A100" t="inlineStr">
        <is>
          <t>A 2629-2025</t>
        </is>
      </c>
      <c r="B100" t="inlineStr">
        <is>
          <t>avverkningsanmälan</t>
        </is>
      </c>
      <c r="C100" t="inlineStr">
        <is>
          <t>Föryngringsavverkning</t>
        </is>
      </c>
      <c r="D100" s="1" t="n">
        <v>45675</v>
      </c>
      <c r="E100" s="1" t="n">
        <v>46222</v>
      </c>
      <c r="F100" t="inlineStr">
        <is>
          <t>UPPSALA LÄN</t>
        </is>
      </c>
      <c r="G100" t="inlineStr">
        <is>
          <t>KNIVSTA</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5320-2023</t>
        </is>
      </c>
      <c r="B101" t="inlineStr">
        <is>
          <t>avverkningsanmälan</t>
        </is>
      </c>
      <c r="C101" t="inlineStr">
        <is>
          <t>Föryngringsavverkning</t>
        </is>
      </c>
      <c r="D101" s="1" t="n">
        <v>44959</v>
      </c>
      <c r="E101" s="1" t="n">
        <v>46222</v>
      </c>
      <c r="F101" t="inlineStr">
        <is>
          <t>UPPSALA LÄN</t>
        </is>
      </c>
      <c r="G101" t="inlineStr">
        <is>
          <t>KNIVSTA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45916-2022</t>
        </is>
      </c>
      <c r="B102" t="inlineStr">
        <is>
          <t>avverkningsanmälan</t>
        </is>
      </c>
      <c r="C102" t="inlineStr">
        <is>
          <t>Föryngringsavverkning</t>
        </is>
      </c>
      <c r="D102" s="1" t="n">
        <v>44846</v>
      </c>
      <c r="E102" s="1" t="n">
        <v>46222</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s="2" t="inlineStr"/>
    </row>
    <row r="103" ht="15" customHeight="1">
      <c r="A103" t="inlineStr">
        <is>
          <t>A 17091-2023</t>
        </is>
      </c>
      <c r="B103" t="inlineStr">
        <is>
          <t>avverkningsanmälan</t>
        </is>
      </c>
      <c r="C103" t="inlineStr">
        <is>
          <t>Föryngringsavverkning</t>
        </is>
      </c>
      <c r="D103" s="1" t="n">
        <v>45034</v>
      </c>
      <c r="E103" s="1" t="n">
        <v>46222</v>
      </c>
      <c r="F103" t="inlineStr">
        <is>
          <t>UPPSALA LÄN</t>
        </is>
      </c>
      <c r="G103" t="inlineStr">
        <is>
          <t>KNIVSTA</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794-2024</t>
        </is>
      </c>
      <c r="B104" t="inlineStr">
        <is>
          <t>avverkningsanmälan</t>
        </is>
      </c>
      <c r="C104" t="inlineStr">
        <is>
          <t>Föryngringsavverkning</t>
        </is>
      </c>
      <c r="D104" s="1" t="n">
        <v>45300</v>
      </c>
      <c r="E104" s="1" t="n">
        <v>46222</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20902-2024</t>
        </is>
      </c>
      <c r="B105" t="inlineStr">
        <is>
          <t>avverkningsanmälan</t>
        </is>
      </c>
      <c r="C105" t="inlineStr">
        <is>
          <t>Föryngringsavverkning</t>
        </is>
      </c>
      <c r="D105" s="1" t="n">
        <v>45439</v>
      </c>
      <c r="E105" s="1" t="n">
        <v>46222</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s="2" t="inlineStr"/>
    </row>
    <row r="106">
      <c r="A106" t="inlineStr">
        <is>
          <t>S 1411-2022</t>
        </is>
      </c>
      <c r="B106" t="inlineStr">
        <is>
          <t>samrådsanmälan</t>
        </is>
      </c>
      <c r="C106" t="inlineStr">
        <is>
          <t>Annan skogsbruksåtgärd</t>
        </is>
      </c>
      <c r="D106" s="1" t="n">
        <v>44634</v>
      </c>
      <c r="E106" s="1" t="n">
        <v>46222</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2026-07-19T01:32:07Z</dcterms:created>
  <dcterms:modified xmlns:dcterms="http://purl.org/dc/terms/" xmlns:xsi="http://www.w3.org/2001/XMLSchema-instance" xsi:type="dcterms:W3CDTF">2026-07-19T01:32:07Z</dcterms:modified>
</cp:coreProperties>
</file>