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46012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46012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46012</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46012</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46012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46012</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46012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46012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46012</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33770-2023</t>
        </is>
      </c>
      <c r="B11" s="1" t="n">
        <v>45133</v>
      </c>
      <c r="C11" s="1" t="n">
        <v>46012</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53813-2025</t>
        </is>
      </c>
      <c r="B12" s="1" t="n">
        <v>45960</v>
      </c>
      <c r="C12" s="1" t="n">
        <v>46012</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61768-2025</t>
        </is>
      </c>
      <c r="B13" s="1" t="n">
        <v>46002.63940972222</v>
      </c>
      <c r="C13" s="1" t="n">
        <v>46012</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21831-2024</t>
        </is>
      </c>
      <c r="B14" s="1" t="n">
        <v>45442</v>
      </c>
      <c r="C14" s="1" t="n">
        <v>46012</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9553-2025</t>
        </is>
      </c>
      <c r="B15" s="1" t="n">
        <v>45715</v>
      </c>
      <c r="C15" s="1" t="n">
        <v>46012</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16407-2025</t>
        </is>
      </c>
      <c r="B16" s="1" t="n">
        <v>45751.45120370371</v>
      </c>
      <c r="C16" s="1" t="n">
        <v>46012</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16973-2021</t>
        </is>
      </c>
      <c r="B17" s="1" t="n">
        <v>44295</v>
      </c>
      <c r="C17" s="1" t="n">
        <v>46012</v>
      </c>
      <c r="D17" t="inlineStr">
        <is>
          <t>UPPSALA LÄN</t>
        </is>
      </c>
      <c r="E17" t="inlineStr">
        <is>
          <t>KNIVSTA</t>
        </is>
      </c>
      <c r="G17" t="n">
        <v>5.5</v>
      </c>
      <c r="H17" t="n">
        <v>0</v>
      </c>
      <c r="I17" t="n">
        <v>0</v>
      </c>
      <c r="J17" t="n">
        <v>1</v>
      </c>
      <c r="K17" t="n">
        <v>0</v>
      </c>
      <c r="L17" t="n">
        <v>0</v>
      </c>
      <c r="M17" t="n">
        <v>0</v>
      </c>
      <c r="N17" t="n">
        <v>0</v>
      </c>
      <c r="O17" t="n">
        <v>1</v>
      </c>
      <c r="P17" t="n">
        <v>0</v>
      </c>
      <c r="Q17" t="n">
        <v>1</v>
      </c>
      <c r="R17" s="2" t="inlineStr">
        <is>
          <t>Backklöver</t>
        </is>
      </c>
      <c r="S17">
        <f>HYPERLINK("https://klasma.github.io/Logging_0330/artfynd/A 16973-2021 artfynd.xlsx", "A 16973-2021")</f>
        <v/>
      </c>
      <c r="T17">
        <f>HYPERLINK("https://klasma.github.io/Logging_0330/kartor/A 16973-2021 karta.png", "A 16973-2021")</f>
        <v/>
      </c>
      <c r="V17">
        <f>HYPERLINK("https://klasma.github.io/Logging_0330/klagomål/A 16973-2021 FSC-klagomål.docx", "A 16973-2021")</f>
        <v/>
      </c>
      <c r="W17">
        <f>HYPERLINK("https://klasma.github.io/Logging_0330/klagomålsmail/A 16973-2021 FSC-klagomål mail.docx", "A 16973-2021")</f>
        <v/>
      </c>
      <c r="X17">
        <f>HYPERLINK("https://klasma.github.io/Logging_0330/tillsyn/A 16973-2021 tillsynsbegäran.docx", "A 16973-2021")</f>
        <v/>
      </c>
      <c r="Y17">
        <f>HYPERLINK("https://klasma.github.io/Logging_0330/tillsynsmail/A 16973-2021 tillsynsbegäran mail.docx", "A 16973-2021")</f>
        <v/>
      </c>
    </row>
    <row r="18" ht="15" customHeight="1">
      <c r="A18" t="inlineStr">
        <is>
          <t>A 5455-2025</t>
        </is>
      </c>
      <c r="B18" s="1" t="n">
        <v>45693</v>
      </c>
      <c r="C18" s="1" t="n">
        <v>46012</v>
      </c>
      <c r="D18" t="inlineStr">
        <is>
          <t>UPPSALA LÄN</t>
        </is>
      </c>
      <c r="E18" t="inlineStr">
        <is>
          <t>KNIVSTA</t>
        </is>
      </c>
      <c r="G18" t="n">
        <v>17.1</v>
      </c>
      <c r="H18" t="n">
        <v>0</v>
      </c>
      <c r="I18" t="n">
        <v>1</v>
      </c>
      <c r="J18" t="n">
        <v>0</v>
      </c>
      <c r="K18" t="n">
        <v>0</v>
      </c>
      <c r="L18" t="n">
        <v>0</v>
      </c>
      <c r="M18" t="n">
        <v>0</v>
      </c>
      <c r="N18" t="n">
        <v>0</v>
      </c>
      <c r="O18" t="n">
        <v>0</v>
      </c>
      <c r="P18" t="n">
        <v>0</v>
      </c>
      <c r="Q18" t="n">
        <v>1</v>
      </c>
      <c r="R18" s="2" t="inlineStr">
        <is>
          <t>Vedticka</t>
        </is>
      </c>
      <c r="S18">
        <f>HYPERLINK("https://klasma.github.io/Logging_0330/artfynd/A 5455-2025 artfynd.xlsx", "A 5455-2025")</f>
        <v/>
      </c>
      <c r="T18">
        <f>HYPERLINK("https://klasma.github.io/Logging_0330/kartor/A 5455-2025 karta.png", "A 5455-2025")</f>
        <v/>
      </c>
      <c r="V18">
        <f>HYPERLINK("https://klasma.github.io/Logging_0330/klagomål/A 5455-2025 FSC-klagomål.docx", "A 5455-2025")</f>
        <v/>
      </c>
      <c r="W18">
        <f>HYPERLINK("https://klasma.github.io/Logging_0330/klagomålsmail/A 5455-2025 FSC-klagomål mail.docx", "A 5455-2025")</f>
        <v/>
      </c>
      <c r="X18">
        <f>HYPERLINK("https://klasma.github.io/Logging_0330/tillsyn/A 5455-2025 tillsynsbegäran.docx", "A 5455-2025")</f>
        <v/>
      </c>
      <c r="Y18">
        <f>HYPERLINK("https://klasma.github.io/Logging_0330/tillsynsmail/A 5455-2025 tillsynsbegäran mail.docx", "A 5455-2025")</f>
        <v/>
      </c>
    </row>
    <row r="19" ht="15" customHeight="1">
      <c r="A19" t="inlineStr">
        <is>
          <t>A 9725-2021</t>
        </is>
      </c>
      <c r="B19" s="1" t="n">
        <v>44252</v>
      </c>
      <c r="C19" s="1" t="n">
        <v>46012</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46012</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46012</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46012</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46012</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66298-2021</t>
        </is>
      </c>
      <c r="B24" s="1" t="n">
        <v>44518</v>
      </c>
      <c r="C24" s="1" t="n">
        <v>46012</v>
      </c>
      <c r="D24" t="inlineStr">
        <is>
          <t>UPPSALA LÄN</t>
        </is>
      </c>
      <c r="E24" t="inlineStr">
        <is>
          <t>KNIVSTA</t>
        </is>
      </c>
      <c r="G24" t="n">
        <v>0.9</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46012</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46012</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46012</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46012</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46012</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46012</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46012</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46012</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46012</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46012</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46012</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46012</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46012</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46012</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46012</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46012</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46012</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46012</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20902-2024</t>
        </is>
      </c>
      <c r="B43" s="1" t="n">
        <v>45439.48104166667</v>
      </c>
      <c r="C43" s="1" t="n">
        <v>46012</v>
      </c>
      <c r="D43" t="inlineStr">
        <is>
          <t>UPPSALA LÄN</t>
        </is>
      </c>
      <c r="E43" t="inlineStr">
        <is>
          <t>KNIVSTA</t>
        </is>
      </c>
      <c r="G43" t="n">
        <v>1</v>
      </c>
      <c r="H43" t="n">
        <v>0</v>
      </c>
      <c r="I43" t="n">
        <v>0</v>
      </c>
      <c r="J43" t="n">
        <v>0</v>
      </c>
      <c r="K43" t="n">
        <v>0</v>
      </c>
      <c r="L43" t="n">
        <v>0</v>
      </c>
      <c r="M43" t="n">
        <v>0</v>
      </c>
      <c r="N43" t="n">
        <v>0</v>
      </c>
      <c r="O43" t="n">
        <v>0</v>
      </c>
      <c r="P43" t="n">
        <v>0</v>
      </c>
      <c r="Q43" t="n">
        <v>0</v>
      </c>
      <c r="R43" s="2" t="inlineStr"/>
    </row>
    <row r="44" ht="15" customHeight="1">
      <c r="A44" t="inlineStr">
        <is>
          <t>A 26226-2025</t>
        </is>
      </c>
      <c r="B44" s="1" t="n">
        <v>45805.55829861111</v>
      </c>
      <c r="C44" s="1" t="n">
        <v>46012</v>
      </c>
      <c r="D44" t="inlineStr">
        <is>
          <t>UPPSALA LÄN</t>
        </is>
      </c>
      <c r="E44" t="inlineStr">
        <is>
          <t>KNIVSTA</t>
        </is>
      </c>
      <c r="G44" t="n">
        <v>9.1</v>
      </c>
      <c r="H44" t="n">
        <v>0</v>
      </c>
      <c r="I44" t="n">
        <v>0</v>
      </c>
      <c r="J44" t="n">
        <v>0</v>
      </c>
      <c r="K44" t="n">
        <v>0</v>
      </c>
      <c r="L44" t="n">
        <v>0</v>
      </c>
      <c r="M44" t="n">
        <v>0</v>
      </c>
      <c r="N44" t="n">
        <v>0</v>
      </c>
      <c r="O44" t="n">
        <v>0</v>
      </c>
      <c r="P44" t="n">
        <v>0</v>
      </c>
      <c r="Q44" t="n">
        <v>0</v>
      </c>
      <c r="R44" s="2" t="inlineStr"/>
    </row>
    <row r="45" ht="15" customHeight="1">
      <c r="A45" t="inlineStr">
        <is>
          <t>A 28189-2025</t>
        </is>
      </c>
      <c r="B45" s="1" t="n">
        <v>45818.41357638889</v>
      </c>
      <c r="C45" s="1" t="n">
        <v>46012</v>
      </c>
      <c r="D45" t="inlineStr">
        <is>
          <t>UPPSALA LÄN</t>
        </is>
      </c>
      <c r="E45" t="inlineStr">
        <is>
          <t>KNIVSTA</t>
        </is>
      </c>
      <c r="G45" t="n">
        <v>7.6</v>
      </c>
      <c r="H45" t="n">
        <v>0</v>
      </c>
      <c r="I45" t="n">
        <v>0</v>
      </c>
      <c r="J45" t="n">
        <v>0</v>
      </c>
      <c r="K45" t="n">
        <v>0</v>
      </c>
      <c r="L45" t="n">
        <v>0</v>
      </c>
      <c r="M45" t="n">
        <v>0</v>
      </c>
      <c r="N45" t="n">
        <v>0</v>
      </c>
      <c r="O45" t="n">
        <v>0</v>
      </c>
      <c r="P45" t="n">
        <v>0</v>
      </c>
      <c r="Q45" t="n">
        <v>0</v>
      </c>
      <c r="R45" s="2" t="inlineStr"/>
    </row>
    <row r="46" ht="15" customHeight="1">
      <c r="A46" t="inlineStr">
        <is>
          <t>A 14267-2025</t>
        </is>
      </c>
      <c r="B46" s="1" t="n">
        <v>45740.63686342593</v>
      </c>
      <c r="C46" s="1" t="n">
        <v>46012</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46012</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44869-2025</t>
        </is>
      </c>
      <c r="B48" s="1" t="n">
        <v>45918.46758101852</v>
      </c>
      <c r="C48" s="1" t="n">
        <v>46012</v>
      </c>
      <c r="D48" t="inlineStr">
        <is>
          <t>UPPSALA LÄN</t>
        </is>
      </c>
      <c r="E48" t="inlineStr">
        <is>
          <t>KNIVSTA</t>
        </is>
      </c>
      <c r="G48" t="n">
        <v>17.1</v>
      </c>
      <c r="H48" t="n">
        <v>0</v>
      </c>
      <c r="I48" t="n">
        <v>0</v>
      </c>
      <c r="J48" t="n">
        <v>0</v>
      </c>
      <c r="K48" t="n">
        <v>0</v>
      </c>
      <c r="L48" t="n">
        <v>0</v>
      </c>
      <c r="M48" t="n">
        <v>0</v>
      </c>
      <c r="N48" t="n">
        <v>0</v>
      </c>
      <c r="O48" t="n">
        <v>0</v>
      </c>
      <c r="P48" t="n">
        <v>0</v>
      </c>
      <c r="Q48" t="n">
        <v>0</v>
      </c>
      <c r="R48" s="2" t="inlineStr"/>
    </row>
    <row r="49" ht="15" customHeight="1">
      <c r="A49" t="inlineStr">
        <is>
          <t>A 30351-2022</t>
        </is>
      </c>
      <c r="B49" s="1" t="n">
        <v>44757</v>
      </c>
      <c r="C49" s="1" t="n">
        <v>46012</v>
      </c>
      <c r="D49" t="inlineStr">
        <is>
          <t>UPPSALA LÄN</t>
        </is>
      </c>
      <c r="E49" t="inlineStr">
        <is>
          <t>KNIVSTA</t>
        </is>
      </c>
      <c r="G49" t="n">
        <v>5.7</v>
      </c>
      <c r="H49" t="n">
        <v>0</v>
      </c>
      <c r="I49" t="n">
        <v>0</v>
      </c>
      <c r="J49" t="n">
        <v>0</v>
      </c>
      <c r="K49" t="n">
        <v>0</v>
      </c>
      <c r="L49" t="n">
        <v>0</v>
      </c>
      <c r="M49" t="n">
        <v>0</v>
      </c>
      <c r="N49" t="n">
        <v>0</v>
      </c>
      <c r="O49" t="n">
        <v>0</v>
      </c>
      <c r="P49" t="n">
        <v>0</v>
      </c>
      <c r="Q49" t="n">
        <v>0</v>
      </c>
      <c r="R49" s="2" t="inlineStr"/>
    </row>
    <row r="50" ht="15" customHeight="1">
      <c r="A50" t="inlineStr">
        <is>
          <t>A 45453-2025</t>
        </is>
      </c>
      <c r="B50" s="1" t="n">
        <v>45922.48702546296</v>
      </c>
      <c r="C50" s="1" t="n">
        <v>46012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11847-2023</t>
        </is>
      </c>
      <c r="B51" s="1" t="n">
        <v>44995.33957175926</v>
      </c>
      <c r="C51" s="1" t="n">
        <v>46012</v>
      </c>
      <c r="D51" t="inlineStr">
        <is>
          <t>UPPSALA LÄN</t>
        </is>
      </c>
      <c r="E51" t="inlineStr">
        <is>
          <t>KNIVSTA</t>
        </is>
      </c>
      <c r="G51" t="n">
        <v>2.1</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46012</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13040-2025</t>
        </is>
      </c>
      <c r="B53" s="1" t="n">
        <v>45734</v>
      </c>
      <c r="C53" s="1" t="n">
        <v>46012</v>
      </c>
      <c r="D53" t="inlineStr">
        <is>
          <t>UPPSALA LÄN</t>
        </is>
      </c>
      <c r="E53" t="inlineStr">
        <is>
          <t>KNIVSTA</t>
        </is>
      </c>
      <c r="F53" t="inlineStr">
        <is>
          <t>Allmännings- och besparingsskogar</t>
        </is>
      </c>
      <c r="G53" t="n">
        <v>1.6</v>
      </c>
      <c r="H53" t="n">
        <v>0</v>
      </c>
      <c r="I53" t="n">
        <v>0</v>
      </c>
      <c r="J53" t="n">
        <v>0</v>
      </c>
      <c r="K53" t="n">
        <v>0</v>
      </c>
      <c r="L53" t="n">
        <v>0</v>
      </c>
      <c r="M53" t="n">
        <v>0</v>
      </c>
      <c r="N53" t="n">
        <v>0</v>
      </c>
      <c r="O53" t="n">
        <v>0</v>
      </c>
      <c r="P53" t="n">
        <v>0</v>
      </c>
      <c r="Q53" t="n">
        <v>0</v>
      </c>
      <c r="R53" s="2" t="inlineStr"/>
    </row>
    <row r="54" ht="15" customHeight="1">
      <c r="A54" t="inlineStr">
        <is>
          <t>A 31875-2022</t>
        </is>
      </c>
      <c r="B54" s="1" t="n">
        <v>44777</v>
      </c>
      <c r="C54" s="1" t="n">
        <v>46012</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33975-2025</t>
        </is>
      </c>
      <c r="B55" s="1" t="n">
        <v>45843.30805555556</v>
      </c>
      <c r="C55" s="1" t="n">
        <v>46012</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46012</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33976-2025</t>
        </is>
      </c>
      <c r="B57" s="1" t="n">
        <v>45843</v>
      </c>
      <c r="C57" s="1" t="n">
        <v>46012</v>
      </c>
      <c r="D57" t="inlineStr">
        <is>
          <t>UPPSALA LÄN</t>
        </is>
      </c>
      <c r="E57" t="inlineStr">
        <is>
          <t>KNIVSTA</t>
        </is>
      </c>
      <c r="G57" t="n">
        <v>6.1</v>
      </c>
      <c r="H57" t="n">
        <v>0</v>
      </c>
      <c r="I57" t="n">
        <v>0</v>
      </c>
      <c r="J57" t="n">
        <v>0</v>
      </c>
      <c r="K57" t="n">
        <v>0</v>
      </c>
      <c r="L57" t="n">
        <v>0</v>
      </c>
      <c r="M57" t="n">
        <v>0</v>
      </c>
      <c r="N57" t="n">
        <v>0</v>
      </c>
      <c r="O57" t="n">
        <v>0</v>
      </c>
      <c r="P57" t="n">
        <v>0</v>
      </c>
      <c r="Q57" t="n">
        <v>0</v>
      </c>
      <c r="R57" s="2" t="inlineStr"/>
    </row>
    <row r="58" ht="15" customHeight="1">
      <c r="A58" t="inlineStr">
        <is>
          <t>A 34859-2025</t>
        </is>
      </c>
      <c r="B58" s="1" t="n">
        <v>45849.43511574074</v>
      </c>
      <c r="C58" s="1" t="n">
        <v>46012</v>
      </c>
      <c r="D58" t="inlineStr">
        <is>
          <t>UPPSALA LÄN</t>
        </is>
      </c>
      <c r="E58" t="inlineStr">
        <is>
          <t>KNIVSTA</t>
        </is>
      </c>
      <c r="F58" t="inlineStr">
        <is>
          <t>Holmen skog AB</t>
        </is>
      </c>
      <c r="G58" t="n">
        <v>6.1</v>
      </c>
      <c r="H58" t="n">
        <v>0</v>
      </c>
      <c r="I58" t="n">
        <v>0</v>
      </c>
      <c r="J58" t="n">
        <v>0</v>
      </c>
      <c r="K58" t="n">
        <v>0</v>
      </c>
      <c r="L58" t="n">
        <v>0</v>
      </c>
      <c r="M58" t="n">
        <v>0</v>
      </c>
      <c r="N58" t="n">
        <v>0</v>
      </c>
      <c r="O58" t="n">
        <v>0</v>
      </c>
      <c r="P58" t="n">
        <v>0</v>
      </c>
      <c r="Q58" t="n">
        <v>0</v>
      </c>
      <c r="R58" s="2" t="inlineStr"/>
    </row>
    <row r="59" ht="15" customHeight="1">
      <c r="A59" t="inlineStr">
        <is>
          <t>A 34864-2025</t>
        </is>
      </c>
      <c r="B59" s="1" t="n">
        <v>45849.44028935185</v>
      </c>
      <c r="C59" s="1" t="n">
        <v>46012</v>
      </c>
      <c r="D59" t="inlineStr">
        <is>
          <t>UPPSALA LÄN</t>
        </is>
      </c>
      <c r="E59" t="inlineStr">
        <is>
          <t>KNIVSTA</t>
        </is>
      </c>
      <c r="F59" t="inlineStr">
        <is>
          <t>Holmen skog AB</t>
        </is>
      </c>
      <c r="G59" t="n">
        <v>1.3</v>
      </c>
      <c r="H59" t="n">
        <v>0</v>
      </c>
      <c r="I59" t="n">
        <v>0</v>
      </c>
      <c r="J59" t="n">
        <v>0</v>
      </c>
      <c r="K59" t="n">
        <v>0</v>
      </c>
      <c r="L59" t="n">
        <v>0</v>
      </c>
      <c r="M59" t="n">
        <v>0</v>
      </c>
      <c r="N59" t="n">
        <v>0</v>
      </c>
      <c r="O59" t="n">
        <v>0</v>
      </c>
      <c r="P59" t="n">
        <v>0</v>
      </c>
      <c r="Q59" t="n">
        <v>0</v>
      </c>
      <c r="R59" s="2" t="inlineStr"/>
    </row>
    <row r="60" ht="15" customHeight="1">
      <c r="A60" t="inlineStr">
        <is>
          <t>A 35318-2025</t>
        </is>
      </c>
      <c r="B60" s="1" t="n">
        <v>45854.47917824074</v>
      </c>
      <c r="C60" s="1" t="n">
        <v>46012</v>
      </c>
      <c r="D60" t="inlineStr">
        <is>
          <t>UPPSALA LÄN</t>
        </is>
      </c>
      <c r="E60" t="inlineStr">
        <is>
          <t>KNIVSTA</t>
        </is>
      </c>
      <c r="F60" t="inlineStr">
        <is>
          <t>Holmen skog AB</t>
        </is>
      </c>
      <c r="G60" t="n">
        <v>2.2</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46012</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23239-2023</t>
        </is>
      </c>
      <c r="B62" s="1" t="n">
        <v>45075</v>
      </c>
      <c r="C62" s="1" t="n">
        <v>46012</v>
      </c>
      <c r="D62" t="inlineStr">
        <is>
          <t>UPPSALA LÄN</t>
        </is>
      </c>
      <c r="E62" t="inlineStr">
        <is>
          <t>KNIVSTA</t>
        </is>
      </c>
      <c r="G62" t="n">
        <v>1.8</v>
      </c>
      <c r="H62" t="n">
        <v>0</v>
      </c>
      <c r="I62" t="n">
        <v>0</v>
      </c>
      <c r="J62" t="n">
        <v>0</v>
      </c>
      <c r="K62" t="n">
        <v>0</v>
      </c>
      <c r="L62" t="n">
        <v>0</v>
      </c>
      <c r="M62" t="n">
        <v>0</v>
      </c>
      <c r="N62" t="n">
        <v>0</v>
      </c>
      <c r="O62" t="n">
        <v>0</v>
      </c>
      <c r="P62" t="n">
        <v>0</v>
      </c>
      <c r="Q62" t="n">
        <v>0</v>
      </c>
      <c r="R62" s="2" t="inlineStr"/>
    </row>
    <row r="63" ht="15" customHeight="1">
      <c r="A63" t="inlineStr">
        <is>
          <t>A 36470-2025</t>
        </is>
      </c>
      <c r="B63" s="1" t="n">
        <v>45869.47915509259</v>
      </c>
      <c r="C63" s="1" t="n">
        <v>46012</v>
      </c>
      <c r="D63" t="inlineStr">
        <is>
          <t>UPPSALA LÄN</t>
        </is>
      </c>
      <c r="E63" t="inlineStr">
        <is>
          <t>KNIVSTA</t>
        </is>
      </c>
      <c r="G63" t="n">
        <v>3.6</v>
      </c>
      <c r="H63" t="n">
        <v>0</v>
      </c>
      <c r="I63" t="n">
        <v>0</v>
      </c>
      <c r="J63" t="n">
        <v>0</v>
      </c>
      <c r="K63" t="n">
        <v>0</v>
      </c>
      <c r="L63" t="n">
        <v>0</v>
      </c>
      <c r="M63" t="n">
        <v>0</v>
      </c>
      <c r="N63" t="n">
        <v>0</v>
      </c>
      <c r="O63" t="n">
        <v>0</v>
      </c>
      <c r="P63" t="n">
        <v>0</v>
      </c>
      <c r="Q63" t="n">
        <v>0</v>
      </c>
      <c r="R63" s="2" t="inlineStr"/>
    </row>
    <row r="64" ht="15" customHeight="1">
      <c r="A64" t="inlineStr">
        <is>
          <t>A 36472-2025</t>
        </is>
      </c>
      <c r="B64" s="1" t="n">
        <v>45869.48162037037</v>
      </c>
      <c r="C64" s="1" t="n">
        <v>46012</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36473-2025</t>
        </is>
      </c>
      <c r="B65" s="1" t="n">
        <v>45869.48333333333</v>
      </c>
      <c r="C65" s="1" t="n">
        <v>46012</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46012</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57631-2025</t>
        </is>
      </c>
      <c r="B67" s="1" t="n">
        <v>45981.34748842593</v>
      </c>
      <c r="C67" s="1" t="n">
        <v>46012</v>
      </c>
      <c r="D67" t="inlineStr">
        <is>
          <t>UPPSALA LÄN</t>
        </is>
      </c>
      <c r="E67" t="inlineStr">
        <is>
          <t>KNIVSTA</t>
        </is>
      </c>
      <c r="G67" t="n">
        <v>3.4</v>
      </c>
      <c r="H67" t="n">
        <v>0</v>
      </c>
      <c r="I67" t="n">
        <v>0</v>
      </c>
      <c r="J67" t="n">
        <v>0</v>
      </c>
      <c r="K67" t="n">
        <v>0</v>
      </c>
      <c r="L67" t="n">
        <v>0</v>
      </c>
      <c r="M67" t="n">
        <v>0</v>
      </c>
      <c r="N67" t="n">
        <v>0</v>
      </c>
      <c r="O67" t="n">
        <v>0</v>
      </c>
      <c r="P67" t="n">
        <v>0</v>
      </c>
      <c r="Q67" t="n">
        <v>0</v>
      </c>
      <c r="R67" s="2" t="inlineStr"/>
    </row>
    <row r="68" ht="15" customHeight="1">
      <c r="A68" t="inlineStr">
        <is>
          <t>A 66293-2021</t>
        </is>
      </c>
      <c r="B68" s="1" t="n">
        <v>44518</v>
      </c>
      <c r="C68" s="1" t="n">
        <v>46012</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60243-2025</t>
        </is>
      </c>
      <c r="B69" s="1" t="n">
        <v>45994.58650462963</v>
      </c>
      <c r="C69" s="1" t="n">
        <v>46012</v>
      </c>
      <c r="D69" t="inlineStr">
        <is>
          <t>UPPSALA LÄN</t>
        </is>
      </c>
      <c r="E69" t="inlineStr">
        <is>
          <t>KNIVSTA</t>
        </is>
      </c>
      <c r="F69" t="inlineStr">
        <is>
          <t>Holmen skog AB</t>
        </is>
      </c>
      <c r="G69" t="n">
        <v>2.4</v>
      </c>
      <c r="H69" t="n">
        <v>0</v>
      </c>
      <c r="I69" t="n">
        <v>0</v>
      </c>
      <c r="J69" t="n">
        <v>0</v>
      </c>
      <c r="K69" t="n">
        <v>0</v>
      </c>
      <c r="L69" t="n">
        <v>0</v>
      </c>
      <c r="M69" t="n">
        <v>0</v>
      </c>
      <c r="N69" t="n">
        <v>0</v>
      </c>
      <c r="O69" t="n">
        <v>0</v>
      </c>
      <c r="P69" t="n">
        <v>0</v>
      </c>
      <c r="Q69" t="n">
        <v>0</v>
      </c>
      <c r="R69" s="2" t="inlineStr"/>
    </row>
    <row r="70" ht="15" customHeight="1">
      <c r="A70" t="inlineStr">
        <is>
          <t>A 52667-2025</t>
        </is>
      </c>
      <c r="B70" s="1" t="n">
        <v>45955.74666666667</v>
      </c>
      <c r="C70" s="1" t="n">
        <v>46012</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46012</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53812-2025</t>
        </is>
      </c>
      <c r="B72" s="1" t="n">
        <v>45960</v>
      </c>
      <c r="C72" s="1" t="n">
        <v>46012</v>
      </c>
      <c r="D72" t="inlineStr">
        <is>
          <t>UPPSALA LÄN</t>
        </is>
      </c>
      <c r="E72" t="inlineStr">
        <is>
          <t>KNIVSTA</t>
        </is>
      </c>
      <c r="G72" t="n">
        <v>5.8</v>
      </c>
      <c r="H72" t="n">
        <v>0</v>
      </c>
      <c r="I72" t="n">
        <v>0</v>
      </c>
      <c r="J72" t="n">
        <v>0</v>
      </c>
      <c r="K72" t="n">
        <v>0</v>
      </c>
      <c r="L72" t="n">
        <v>0</v>
      </c>
      <c r="M72" t="n">
        <v>0</v>
      </c>
      <c r="N72" t="n">
        <v>0</v>
      </c>
      <c r="O72" t="n">
        <v>0</v>
      </c>
      <c r="P72" t="n">
        <v>0</v>
      </c>
      <c r="Q72" t="n">
        <v>0</v>
      </c>
      <c r="R72" s="2" t="inlineStr"/>
    </row>
    <row r="73" ht="15" customHeight="1">
      <c r="A73" t="inlineStr">
        <is>
          <t>A 53898-2025</t>
        </is>
      </c>
      <c r="B73" s="1" t="n">
        <v>45961.43056712963</v>
      </c>
      <c r="C73" s="1" t="n">
        <v>46012</v>
      </c>
      <c r="D73" t="inlineStr">
        <is>
          <t>UPPSALA LÄN</t>
        </is>
      </c>
      <c r="E73" t="inlineStr">
        <is>
          <t>KNIVSTA</t>
        </is>
      </c>
      <c r="G73" t="n">
        <v>4.5</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46012</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19676-2025</t>
        </is>
      </c>
      <c r="B75" s="1" t="n">
        <v>45770</v>
      </c>
      <c r="C75" s="1" t="n">
        <v>46012</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46012</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30627-2023</t>
        </is>
      </c>
      <c r="B77" s="1" t="n">
        <v>45112</v>
      </c>
      <c r="C77" s="1" t="n">
        <v>46012</v>
      </c>
      <c r="D77" t="inlineStr">
        <is>
          <t>UPPSALA LÄN</t>
        </is>
      </c>
      <c r="E77" t="inlineStr">
        <is>
          <t>KNIVSTA</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1629-2024</t>
        </is>
      </c>
      <c r="B78" s="1" t="n">
        <v>45306</v>
      </c>
      <c r="C78" s="1" t="n">
        <v>46012</v>
      </c>
      <c r="D78" t="inlineStr">
        <is>
          <t>UPPSALA LÄN</t>
        </is>
      </c>
      <c r="E78" t="inlineStr">
        <is>
          <t>KNIVSTA</t>
        </is>
      </c>
      <c r="F78" t="inlineStr">
        <is>
          <t>Holmen skog AB</t>
        </is>
      </c>
      <c r="G78" t="n">
        <v>3.6</v>
      </c>
      <c r="H78" t="n">
        <v>0</v>
      </c>
      <c r="I78" t="n">
        <v>0</v>
      </c>
      <c r="J78" t="n">
        <v>0</v>
      </c>
      <c r="K78" t="n">
        <v>0</v>
      </c>
      <c r="L78" t="n">
        <v>0</v>
      </c>
      <c r="M78" t="n">
        <v>0</v>
      </c>
      <c r="N78" t="n">
        <v>0</v>
      </c>
      <c r="O78" t="n">
        <v>0</v>
      </c>
      <c r="P78" t="n">
        <v>0</v>
      </c>
      <c r="Q78" t="n">
        <v>0</v>
      </c>
      <c r="R78" s="2" t="inlineStr"/>
    </row>
    <row r="79" ht="15" customHeight="1">
      <c r="A79" t="inlineStr">
        <is>
          <t>A 60885-2021</t>
        </is>
      </c>
      <c r="B79" s="1" t="n">
        <v>44497</v>
      </c>
      <c r="C79" s="1" t="n">
        <v>46012</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3191-2024</t>
        </is>
      </c>
      <c r="B80" s="1" t="n">
        <v>45316.67186342592</v>
      </c>
      <c r="C80" s="1" t="n">
        <v>46012</v>
      </c>
      <c r="D80" t="inlineStr">
        <is>
          <t>UPPSALA LÄN</t>
        </is>
      </c>
      <c r="E80" t="inlineStr">
        <is>
          <t>KNIVSTA</t>
        </is>
      </c>
      <c r="G80" t="n">
        <v>0.6</v>
      </c>
      <c r="H80" t="n">
        <v>0</v>
      </c>
      <c r="I80" t="n">
        <v>0</v>
      </c>
      <c r="J80" t="n">
        <v>0</v>
      </c>
      <c r="K80" t="n">
        <v>0</v>
      </c>
      <c r="L80" t="n">
        <v>0</v>
      </c>
      <c r="M80" t="n">
        <v>0</v>
      </c>
      <c r="N80" t="n">
        <v>0</v>
      </c>
      <c r="O80" t="n">
        <v>0</v>
      </c>
      <c r="P80" t="n">
        <v>0</v>
      </c>
      <c r="Q80" t="n">
        <v>0</v>
      </c>
      <c r="R80" s="2" t="inlineStr"/>
    </row>
    <row r="81" ht="15" customHeight="1">
      <c r="A81" t="inlineStr">
        <is>
          <t>A 45525-2023</t>
        </is>
      </c>
      <c r="B81" s="1" t="n">
        <v>45194</v>
      </c>
      <c r="C81" s="1" t="n">
        <v>46012</v>
      </c>
      <c r="D81" t="inlineStr">
        <is>
          <t>UPPSALA LÄN</t>
        </is>
      </c>
      <c r="E81" t="inlineStr">
        <is>
          <t>KNIVSTA</t>
        </is>
      </c>
      <c r="G81" t="n">
        <v>0.7</v>
      </c>
      <c r="H81" t="n">
        <v>0</v>
      </c>
      <c r="I81" t="n">
        <v>0</v>
      </c>
      <c r="J81" t="n">
        <v>0</v>
      </c>
      <c r="K81" t="n">
        <v>0</v>
      </c>
      <c r="L81" t="n">
        <v>0</v>
      </c>
      <c r="M81" t="n">
        <v>0</v>
      </c>
      <c r="N81" t="n">
        <v>0</v>
      </c>
      <c r="O81" t="n">
        <v>0</v>
      </c>
      <c r="P81" t="n">
        <v>0</v>
      </c>
      <c r="Q81" t="n">
        <v>0</v>
      </c>
      <c r="R81" s="2" t="inlineStr"/>
    </row>
    <row r="82" ht="15" customHeight="1">
      <c r="A82" t="inlineStr">
        <is>
          <t>A 16773-2022</t>
        </is>
      </c>
      <c r="B82" s="1" t="n">
        <v>44673</v>
      </c>
      <c r="C82" s="1" t="n">
        <v>46012</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30764-2023</t>
        </is>
      </c>
      <c r="B83" s="1" t="n">
        <v>45112</v>
      </c>
      <c r="C83" s="1" t="n">
        <v>46012</v>
      </c>
      <c r="D83" t="inlineStr">
        <is>
          <t>UPPSALA LÄN</t>
        </is>
      </c>
      <c r="E83" t="inlineStr">
        <is>
          <t>KNIVSTA</t>
        </is>
      </c>
      <c r="F83" t="inlineStr">
        <is>
          <t>Holmen skog AB</t>
        </is>
      </c>
      <c r="G83" t="n">
        <v>0.9</v>
      </c>
      <c r="H83" t="n">
        <v>0</v>
      </c>
      <c r="I83" t="n">
        <v>0</v>
      </c>
      <c r="J83" t="n">
        <v>0</v>
      </c>
      <c r="K83" t="n">
        <v>0</v>
      </c>
      <c r="L83" t="n">
        <v>0</v>
      </c>
      <c r="M83" t="n">
        <v>0</v>
      </c>
      <c r="N83" t="n">
        <v>0</v>
      </c>
      <c r="O83" t="n">
        <v>0</v>
      </c>
      <c r="P83" t="n">
        <v>0</v>
      </c>
      <c r="Q83" t="n">
        <v>0</v>
      </c>
      <c r="R83" s="2" t="inlineStr"/>
    </row>
    <row r="84" ht="15" customHeight="1">
      <c r="A84" t="inlineStr">
        <is>
          <t>A 51849-2023</t>
        </is>
      </c>
      <c r="B84" s="1" t="n">
        <v>45223.34391203704</v>
      </c>
      <c r="C84" s="1" t="n">
        <v>46012</v>
      </c>
      <c r="D84" t="inlineStr">
        <is>
          <t>UPPSALA LÄN</t>
        </is>
      </c>
      <c r="E84" t="inlineStr">
        <is>
          <t>KNIVSTA</t>
        </is>
      </c>
      <c r="G84" t="n">
        <v>16.3</v>
      </c>
      <c r="H84" t="n">
        <v>0</v>
      </c>
      <c r="I84" t="n">
        <v>0</v>
      </c>
      <c r="J84" t="n">
        <v>0</v>
      </c>
      <c r="K84" t="n">
        <v>0</v>
      </c>
      <c r="L84" t="n">
        <v>0</v>
      </c>
      <c r="M84" t="n">
        <v>0</v>
      </c>
      <c r="N84" t="n">
        <v>0</v>
      </c>
      <c r="O84" t="n">
        <v>0</v>
      </c>
      <c r="P84" t="n">
        <v>0</v>
      </c>
      <c r="Q84" t="n">
        <v>0</v>
      </c>
      <c r="R84" s="2" t="inlineStr"/>
    </row>
    <row r="85" ht="15" customHeight="1">
      <c r="A85" t="inlineStr">
        <is>
          <t>A 60018-2024</t>
        </is>
      </c>
      <c r="B85" s="1" t="n">
        <v>45642</v>
      </c>
      <c r="C85" s="1" t="n">
        <v>46012</v>
      </c>
      <c r="D85" t="inlineStr">
        <is>
          <t>UPPSALA LÄN</t>
        </is>
      </c>
      <c r="E85" t="inlineStr">
        <is>
          <t>KNIVSTA</t>
        </is>
      </c>
      <c r="G85" t="n">
        <v>4.1</v>
      </c>
      <c r="H85" t="n">
        <v>0</v>
      </c>
      <c r="I85" t="n">
        <v>0</v>
      </c>
      <c r="J85" t="n">
        <v>0</v>
      </c>
      <c r="K85" t="n">
        <v>0</v>
      </c>
      <c r="L85" t="n">
        <v>0</v>
      </c>
      <c r="M85" t="n">
        <v>0</v>
      </c>
      <c r="N85" t="n">
        <v>0</v>
      </c>
      <c r="O85" t="n">
        <v>0</v>
      </c>
      <c r="P85" t="n">
        <v>0</v>
      </c>
      <c r="Q85" t="n">
        <v>0</v>
      </c>
      <c r="R85" s="2" t="inlineStr"/>
    </row>
    <row r="86" ht="15" customHeight="1">
      <c r="A86" t="inlineStr">
        <is>
          <t>A 17333-2024</t>
        </is>
      </c>
      <c r="B86" s="1" t="n">
        <v>45414.5625462963</v>
      </c>
      <c r="C86" s="1" t="n">
        <v>46012</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1791-2024</t>
        </is>
      </c>
      <c r="B87" s="1" t="n">
        <v>45307.574375</v>
      </c>
      <c r="C87" s="1" t="n">
        <v>46012</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46012</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2628-2025</t>
        </is>
      </c>
      <c r="B89" s="1" t="n">
        <v>45675.68435185185</v>
      </c>
      <c r="C89" s="1" t="n">
        <v>46012</v>
      </c>
      <c r="D89" t="inlineStr">
        <is>
          <t>UPPSALA LÄN</t>
        </is>
      </c>
      <c r="E89" t="inlineStr">
        <is>
          <t>KNIVSTA</t>
        </is>
      </c>
      <c r="G89" t="n">
        <v>2.9</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46012</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46012</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5402-2023</t>
        </is>
      </c>
      <c r="B92" s="1" t="n">
        <v>44959</v>
      </c>
      <c r="C92" s="1" t="n">
        <v>46012</v>
      </c>
      <c r="D92" t="inlineStr">
        <is>
          <t>UPPSALA LÄN</t>
        </is>
      </c>
      <c r="E92" t="inlineStr">
        <is>
          <t>KNIVSTA</t>
        </is>
      </c>
      <c r="G92" t="n">
        <v>4.3</v>
      </c>
      <c r="H92" t="n">
        <v>0</v>
      </c>
      <c r="I92" t="n">
        <v>0</v>
      </c>
      <c r="J92" t="n">
        <v>0</v>
      </c>
      <c r="K92" t="n">
        <v>0</v>
      </c>
      <c r="L92" t="n">
        <v>0</v>
      </c>
      <c r="M92" t="n">
        <v>0</v>
      </c>
      <c r="N92" t="n">
        <v>0</v>
      </c>
      <c r="O92" t="n">
        <v>0</v>
      </c>
      <c r="P92" t="n">
        <v>0</v>
      </c>
      <c r="Q92" t="n">
        <v>0</v>
      </c>
      <c r="R92" s="2" t="inlineStr"/>
    </row>
    <row r="93" ht="15" customHeight="1">
      <c r="A93" t="inlineStr">
        <is>
          <t>A 34078-2022</t>
        </is>
      </c>
      <c r="B93" s="1" t="n">
        <v>44791</v>
      </c>
      <c r="C93" s="1" t="n">
        <v>46012</v>
      </c>
      <c r="D93" t="inlineStr">
        <is>
          <t>UPPSALA LÄN</t>
        </is>
      </c>
      <c r="E93" t="inlineStr">
        <is>
          <t>KNIVSTA</t>
        </is>
      </c>
      <c r="F93" t="inlineStr">
        <is>
          <t>Övriga statliga verk och myndigheter</t>
        </is>
      </c>
      <c r="G93" t="n">
        <v>1.8</v>
      </c>
      <c r="H93" t="n">
        <v>0</v>
      </c>
      <c r="I93" t="n">
        <v>0</v>
      </c>
      <c r="J93" t="n">
        <v>0</v>
      </c>
      <c r="K93" t="n">
        <v>0</v>
      </c>
      <c r="L93" t="n">
        <v>0</v>
      </c>
      <c r="M93" t="n">
        <v>0</v>
      </c>
      <c r="N93" t="n">
        <v>0</v>
      </c>
      <c r="O93" t="n">
        <v>0</v>
      </c>
      <c r="P93" t="n">
        <v>0</v>
      </c>
      <c r="Q93" t="n">
        <v>0</v>
      </c>
      <c r="R93" s="2" t="inlineStr"/>
    </row>
    <row r="94" ht="15" customHeight="1">
      <c r="A94" t="inlineStr">
        <is>
          <t>A 26182-2022</t>
        </is>
      </c>
      <c r="B94" s="1" t="n">
        <v>44735</v>
      </c>
      <c r="C94" s="1" t="n">
        <v>46012</v>
      </c>
      <c r="D94" t="inlineStr">
        <is>
          <t>UPPSALA LÄN</t>
        </is>
      </c>
      <c r="E94" t="inlineStr">
        <is>
          <t>KNIVSTA</t>
        </is>
      </c>
      <c r="G94" t="n">
        <v>3.8</v>
      </c>
      <c r="H94" t="n">
        <v>0</v>
      </c>
      <c r="I94" t="n">
        <v>0</v>
      </c>
      <c r="J94" t="n">
        <v>0</v>
      </c>
      <c r="K94" t="n">
        <v>0</v>
      </c>
      <c r="L94" t="n">
        <v>0</v>
      </c>
      <c r="M94" t="n">
        <v>0</v>
      </c>
      <c r="N94" t="n">
        <v>0</v>
      </c>
      <c r="O94" t="n">
        <v>0</v>
      </c>
      <c r="P94" t="n">
        <v>0</v>
      </c>
      <c r="Q94" t="n">
        <v>0</v>
      </c>
      <c r="R94" s="2" t="inlineStr"/>
    </row>
    <row r="95" ht="15" customHeight="1">
      <c r="A95" t="inlineStr">
        <is>
          <t>A 20505-2021</t>
        </is>
      </c>
      <c r="B95" s="1" t="n">
        <v>44313</v>
      </c>
      <c r="C95" s="1" t="n">
        <v>46012</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2629-2025</t>
        </is>
      </c>
      <c r="B96" s="1" t="n">
        <v>45675.6953587963</v>
      </c>
      <c r="C96" s="1" t="n">
        <v>46012</v>
      </c>
      <c r="D96" t="inlineStr">
        <is>
          <t>UPPSALA LÄN</t>
        </is>
      </c>
      <c r="E96" t="inlineStr">
        <is>
          <t>KNIVSTA</t>
        </is>
      </c>
      <c r="G96" t="n">
        <v>1.1</v>
      </c>
      <c r="H96" t="n">
        <v>0</v>
      </c>
      <c r="I96" t="n">
        <v>0</v>
      </c>
      <c r="J96" t="n">
        <v>0</v>
      </c>
      <c r="K96" t="n">
        <v>0</v>
      </c>
      <c r="L96" t="n">
        <v>0</v>
      </c>
      <c r="M96" t="n">
        <v>0</v>
      </c>
      <c r="N96" t="n">
        <v>0</v>
      </c>
      <c r="O96" t="n">
        <v>0</v>
      </c>
      <c r="P96" t="n">
        <v>0</v>
      </c>
      <c r="Q96" t="n">
        <v>0</v>
      </c>
      <c r="R96" s="2" t="inlineStr"/>
    </row>
    <row r="97" ht="15" customHeight="1">
      <c r="A97" t="inlineStr">
        <is>
          <t>A 5320-2023</t>
        </is>
      </c>
      <c r="B97" s="1" t="n">
        <v>44959</v>
      </c>
      <c r="C97" s="1" t="n">
        <v>46012</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45916-2022</t>
        </is>
      </c>
      <c r="B98" s="1" t="n">
        <v>44846</v>
      </c>
      <c r="C98" s="1" t="n">
        <v>46012</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16396-2025</t>
        </is>
      </c>
      <c r="B99" s="1" t="n">
        <v>45751.44219907407</v>
      </c>
      <c r="C99" s="1" t="n">
        <v>46012</v>
      </c>
      <c r="D99" t="inlineStr">
        <is>
          <t>UPPSALA LÄN</t>
        </is>
      </c>
      <c r="E99" t="inlineStr">
        <is>
          <t>KNIVSTA</t>
        </is>
      </c>
      <c r="G99" t="n">
        <v>5.1</v>
      </c>
      <c r="H99" t="n">
        <v>0</v>
      </c>
      <c r="I99" t="n">
        <v>0</v>
      </c>
      <c r="J99" t="n">
        <v>0</v>
      </c>
      <c r="K99" t="n">
        <v>0</v>
      </c>
      <c r="L99" t="n">
        <v>0</v>
      </c>
      <c r="M99" t="n">
        <v>0</v>
      </c>
      <c r="N99" t="n">
        <v>0</v>
      </c>
      <c r="O99" t="n">
        <v>0</v>
      </c>
      <c r="P99" t="n">
        <v>0</v>
      </c>
      <c r="Q99" t="n">
        <v>0</v>
      </c>
      <c r="R99" s="2" t="inlineStr"/>
    </row>
    <row r="100" ht="15" customHeight="1">
      <c r="A100" t="inlineStr">
        <is>
          <t>A 17091-2023</t>
        </is>
      </c>
      <c r="B100" s="1" t="n">
        <v>45034.53554398148</v>
      </c>
      <c r="C100" s="1" t="n">
        <v>46012</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2171-2024</t>
        </is>
      </c>
      <c r="B101" s="1" t="n">
        <v>45309</v>
      </c>
      <c r="C101" s="1" t="n">
        <v>46012</v>
      </c>
      <c r="D101" t="inlineStr">
        <is>
          <t>UPPSALA LÄN</t>
        </is>
      </c>
      <c r="E101" t="inlineStr">
        <is>
          <t>KNIVSTA</t>
        </is>
      </c>
      <c r="F101" t="inlineStr">
        <is>
          <t>Holmen skog AB</t>
        </is>
      </c>
      <c r="G101" t="n">
        <v>3.3</v>
      </c>
      <c r="H101" t="n">
        <v>0</v>
      </c>
      <c r="I101" t="n">
        <v>0</v>
      </c>
      <c r="J101" t="n">
        <v>0</v>
      </c>
      <c r="K101" t="n">
        <v>0</v>
      </c>
      <c r="L101" t="n">
        <v>0</v>
      </c>
      <c r="M101" t="n">
        <v>0</v>
      </c>
      <c r="N101" t="n">
        <v>0</v>
      </c>
      <c r="O101" t="n">
        <v>0</v>
      </c>
      <c r="P101" t="n">
        <v>0</v>
      </c>
      <c r="Q101" t="n">
        <v>0</v>
      </c>
      <c r="R101" s="2" t="inlineStr"/>
    </row>
    <row r="102" ht="15" customHeight="1">
      <c r="A102" t="inlineStr">
        <is>
          <t>A 21130-2025</t>
        </is>
      </c>
      <c r="B102" s="1" t="n">
        <v>45778.35857638889</v>
      </c>
      <c r="C102" s="1" t="n">
        <v>46012</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row r="103">
      <c r="A103" t="inlineStr">
        <is>
          <t>A 794-2024</t>
        </is>
      </c>
      <c r="B103" s="1" t="n">
        <v>45300.58149305556</v>
      </c>
      <c r="C103" s="1" t="n">
        <v>46012</v>
      </c>
      <c r="D103" t="inlineStr">
        <is>
          <t>UPPSALA LÄN</t>
        </is>
      </c>
      <c r="E103" t="inlineStr">
        <is>
          <t>KNIVSTA</t>
        </is>
      </c>
      <c r="G103" t="n">
        <v>1.6</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2025-12-21T10:40:44Z</dcterms:created>
  <dcterms:modified xmlns:dcterms="http://purl.org/dc/terms/" xmlns:xsi="http://www.w3.org/2001/XMLSchema-instance" xsi:type="dcterms:W3CDTF">2025-12-21T10:40:44Z</dcterms:modified>
</cp:coreProperties>
</file>