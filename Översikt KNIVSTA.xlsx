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46094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46094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46094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46094</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46094</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46094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46094</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33770-2023</t>
        </is>
      </c>
      <c r="B11" s="1" t="n">
        <v>45133</v>
      </c>
      <c r="C11" s="1" t="n">
        <v>46094</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46094</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46094</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46094</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21831-2024</t>
        </is>
      </c>
      <c r="B15" s="1" t="n">
        <v>45442</v>
      </c>
      <c r="C15" s="1" t="n">
        <v>46094</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16973-2021</t>
        </is>
      </c>
      <c r="B16" s="1" t="n">
        <v>44295</v>
      </c>
      <c r="C16" s="1" t="n">
        <v>46094</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53813-2025</t>
        </is>
      </c>
      <c r="B17" s="1" t="n">
        <v>45960</v>
      </c>
      <c r="C17" s="1" t="n">
        <v>46094</v>
      </c>
      <c r="D17" t="inlineStr">
        <is>
          <t>UPPSALA LÄN</t>
        </is>
      </c>
      <c r="E17" t="inlineStr">
        <is>
          <t>KNIVSTA</t>
        </is>
      </c>
      <c r="G17" t="n">
        <v>1.7</v>
      </c>
      <c r="H17" t="n">
        <v>0</v>
      </c>
      <c r="I17" t="n">
        <v>1</v>
      </c>
      <c r="J17" t="n">
        <v>0</v>
      </c>
      <c r="K17" t="n">
        <v>0</v>
      </c>
      <c r="L17" t="n">
        <v>0</v>
      </c>
      <c r="M17" t="n">
        <v>0</v>
      </c>
      <c r="N17" t="n">
        <v>0</v>
      </c>
      <c r="O17" t="n">
        <v>0</v>
      </c>
      <c r="P17" t="n">
        <v>0</v>
      </c>
      <c r="Q17" t="n">
        <v>1</v>
      </c>
      <c r="R17" s="2" t="inlineStr">
        <is>
          <t>Broskvaxing</t>
        </is>
      </c>
      <c r="S17">
        <f>HYPERLINK("https://klasma.github.io/Logging_0330/artfynd/A 53813-2025 artfynd.xlsx", "A 53813-2025")</f>
        <v/>
      </c>
      <c r="T17">
        <f>HYPERLINK("https://klasma.github.io/Logging_0330/kartor/A 53813-2025 karta.png", "A 53813-2025")</f>
        <v/>
      </c>
      <c r="V17">
        <f>HYPERLINK("https://klasma.github.io/Logging_0330/klagomål/A 53813-2025 FSC-klagomål.docx", "A 53813-2025")</f>
        <v/>
      </c>
      <c r="W17">
        <f>HYPERLINK("https://klasma.github.io/Logging_0330/klagomålsmail/A 53813-2025 FSC-klagomål mail.docx", "A 53813-2025")</f>
        <v/>
      </c>
      <c r="X17">
        <f>HYPERLINK("https://klasma.github.io/Logging_0330/tillsyn/A 53813-2025 tillsynsbegäran.docx", "A 53813-2025")</f>
        <v/>
      </c>
      <c r="Y17">
        <f>HYPERLINK("https://klasma.github.io/Logging_0330/tillsynsmail/A 53813-2025 tillsynsbegäran mail.docx", "A 53813-2025")</f>
        <v/>
      </c>
    </row>
    <row r="18" ht="15" customHeight="1">
      <c r="A18" t="inlineStr">
        <is>
          <t>A 61768-2025</t>
        </is>
      </c>
      <c r="B18" s="1" t="n">
        <v>46002.63940972222</v>
      </c>
      <c r="C18" s="1" t="n">
        <v>46094</v>
      </c>
      <c r="D18" t="inlineStr">
        <is>
          <t>UPPSALA LÄN</t>
        </is>
      </c>
      <c r="E18" t="inlineStr">
        <is>
          <t>KNIVSTA</t>
        </is>
      </c>
      <c r="G18" t="n">
        <v>3</v>
      </c>
      <c r="H18" t="n">
        <v>0</v>
      </c>
      <c r="I18" t="n">
        <v>1</v>
      </c>
      <c r="J18" t="n">
        <v>0</v>
      </c>
      <c r="K18" t="n">
        <v>0</v>
      </c>
      <c r="L18" t="n">
        <v>0</v>
      </c>
      <c r="M18" t="n">
        <v>0</v>
      </c>
      <c r="N18" t="n">
        <v>0</v>
      </c>
      <c r="O18" t="n">
        <v>0</v>
      </c>
      <c r="P18" t="n">
        <v>0</v>
      </c>
      <c r="Q18" t="n">
        <v>1</v>
      </c>
      <c r="R18" s="2" t="inlineStr">
        <is>
          <t>Kamjordstjärna</t>
        </is>
      </c>
      <c r="S18">
        <f>HYPERLINK("https://klasma.github.io/Logging_0330/artfynd/A 61768-2025 artfynd.xlsx", "A 61768-2025")</f>
        <v/>
      </c>
      <c r="T18">
        <f>HYPERLINK("https://klasma.github.io/Logging_0330/kartor/A 61768-2025 karta.png", "A 61768-2025")</f>
        <v/>
      </c>
      <c r="V18">
        <f>HYPERLINK("https://klasma.github.io/Logging_0330/klagomål/A 61768-2025 FSC-klagomål.docx", "A 61768-2025")</f>
        <v/>
      </c>
      <c r="W18">
        <f>HYPERLINK("https://klasma.github.io/Logging_0330/klagomålsmail/A 61768-2025 FSC-klagomål mail.docx", "A 61768-2025")</f>
        <v/>
      </c>
      <c r="X18">
        <f>HYPERLINK("https://klasma.github.io/Logging_0330/tillsyn/A 61768-2025 tillsynsbegäran.docx", "A 61768-2025")</f>
        <v/>
      </c>
      <c r="Y18">
        <f>HYPERLINK("https://klasma.github.io/Logging_0330/tillsynsmail/A 61768-2025 tillsynsbegäran mail.docx", "A 61768-2025")</f>
        <v/>
      </c>
    </row>
    <row r="19" ht="15" customHeight="1">
      <c r="A19" t="inlineStr">
        <is>
          <t>A 9561-2026</t>
        </is>
      </c>
      <c r="B19" s="1" t="n">
        <v>46071.64916666667</v>
      </c>
      <c r="C19" s="1" t="n">
        <v>46094</v>
      </c>
      <c r="D19" t="inlineStr">
        <is>
          <t>UPPSALA LÄN</t>
        </is>
      </c>
      <c r="E19" t="inlineStr">
        <is>
          <t>KNIVSTA</t>
        </is>
      </c>
      <c r="F19" t="inlineStr">
        <is>
          <t>Övriga statliga verk och myndigheter</t>
        </is>
      </c>
      <c r="G19" t="n">
        <v>2.6</v>
      </c>
      <c r="H19" t="n">
        <v>0</v>
      </c>
      <c r="I19" t="n">
        <v>0</v>
      </c>
      <c r="J19" t="n">
        <v>1</v>
      </c>
      <c r="K19" t="n">
        <v>0</v>
      </c>
      <c r="L19" t="n">
        <v>0</v>
      </c>
      <c r="M19" t="n">
        <v>0</v>
      </c>
      <c r="N19" t="n">
        <v>0</v>
      </c>
      <c r="O19" t="n">
        <v>1</v>
      </c>
      <c r="P19" t="n">
        <v>0</v>
      </c>
      <c r="Q19" t="n">
        <v>1</v>
      </c>
      <c r="R19" s="2" t="inlineStr">
        <is>
          <t>Svartöra</t>
        </is>
      </c>
      <c r="S19">
        <f>HYPERLINK("https://klasma.github.io/Logging_0330/artfynd/A 9561-2026 artfynd.xlsx", "A 9561-2026")</f>
        <v/>
      </c>
      <c r="T19">
        <f>HYPERLINK("https://klasma.github.io/Logging_0330/kartor/A 9561-2026 karta.png", "A 9561-2026")</f>
        <v/>
      </c>
      <c r="V19">
        <f>HYPERLINK("https://klasma.github.io/Logging_0330/klagomål/A 9561-2026 FSC-klagomål.docx", "A 9561-2026")</f>
        <v/>
      </c>
      <c r="W19">
        <f>HYPERLINK("https://klasma.github.io/Logging_0330/klagomålsmail/A 9561-2026 FSC-klagomål mail.docx", "A 9561-2026")</f>
        <v/>
      </c>
      <c r="X19">
        <f>HYPERLINK("https://klasma.github.io/Logging_0330/tillsyn/A 9561-2026 tillsynsbegäran.docx", "A 9561-2026")</f>
        <v/>
      </c>
      <c r="Y19">
        <f>HYPERLINK("https://klasma.github.io/Logging_0330/tillsynsmail/A 9561-2026 tillsynsbegäran mail.docx", "A 9561-2026")</f>
        <v/>
      </c>
    </row>
    <row r="20" ht="15" customHeight="1">
      <c r="A20" t="inlineStr">
        <is>
          <t>A 19796-2021</t>
        </is>
      </c>
      <c r="B20" s="1" t="n">
        <v>44313</v>
      </c>
      <c r="C20" s="1" t="n">
        <v>46094</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46094</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46094</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46094</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46094</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46094</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46094</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46094</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46094</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46094</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46094</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46094</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46094</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46094</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46094</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46094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46094</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46094</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46094</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46094</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46094</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46094</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46094</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46094</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46094</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46094</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46094</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46094</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46094</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46094</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794-2024</t>
        </is>
      </c>
      <c r="B50" s="1" t="n">
        <v>45300.58149305556</v>
      </c>
      <c r="C50" s="1" t="n">
        <v>46094</v>
      </c>
      <c r="D50" t="inlineStr">
        <is>
          <t>UPPSALA LÄN</t>
        </is>
      </c>
      <c r="E50" t="inlineStr">
        <is>
          <t>KNIVSTA</t>
        </is>
      </c>
      <c r="G50" t="n">
        <v>1.6</v>
      </c>
      <c r="H50" t="n">
        <v>0</v>
      </c>
      <c r="I50" t="n">
        <v>0</v>
      </c>
      <c r="J50" t="n">
        <v>0</v>
      </c>
      <c r="K50" t="n">
        <v>0</v>
      </c>
      <c r="L50" t="n">
        <v>0</v>
      </c>
      <c r="M50" t="n">
        <v>0</v>
      </c>
      <c r="N50" t="n">
        <v>0</v>
      </c>
      <c r="O50" t="n">
        <v>0</v>
      </c>
      <c r="P50" t="n">
        <v>0</v>
      </c>
      <c r="Q50" t="n">
        <v>0</v>
      </c>
      <c r="R50" s="2" t="inlineStr"/>
    </row>
    <row r="51" ht="15" customHeight="1">
      <c r="A51" t="inlineStr">
        <is>
          <t>A 31875-2022</t>
        </is>
      </c>
      <c r="B51" s="1" t="n">
        <v>44777</v>
      </c>
      <c r="C51" s="1" t="n">
        <v>46094</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51849-2023</t>
        </is>
      </c>
      <c r="B52" s="1" t="n">
        <v>45223.34391203704</v>
      </c>
      <c r="C52" s="1" t="n">
        <v>46094</v>
      </c>
      <c r="D52" t="inlineStr">
        <is>
          <t>UPPSALA LÄN</t>
        </is>
      </c>
      <c r="E52" t="inlineStr">
        <is>
          <t>KNIVSTA</t>
        </is>
      </c>
      <c r="G52" t="n">
        <v>16.3</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46094</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66293-2021</t>
        </is>
      </c>
      <c r="B54" s="1" t="n">
        <v>44518</v>
      </c>
      <c r="C54" s="1" t="n">
        <v>46094</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46094</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46094</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45916-2022</t>
        </is>
      </c>
      <c r="B57" s="1" t="n">
        <v>44846</v>
      </c>
      <c r="C57" s="1" t="n">
        <v>46094</v>
      </c>
      <c r="D57" t="inlineStr">
        <is>
          <t>UPPSALA LÄN</t>
        </is>
      </c>
      <c r="E57" t="inlineStr">
        <is>
          <t>KNIVSTA</t>
        </is>
      </c>
      <c r="G57" t="n">
        <v>3.8</v>
      </c>
      <c r="H57" t="n">
        <v>0</v>
      </c>
      <c r="I57" t="n">
        <v>0</v>
      </c>
      <c r="J57" t="n">
        <v>0</v>
      </c>
      <c r="K57" t="n">
        <v>0</v>
      </c>
      <c r="L57" t="n">
        <v>0</v>
      </c>
      <c r="M57" t="n">
        <v>0</v>
      </c>
      <c r="N57" t="n">
        <v>0</v>
      </c>
      <c r="O57" t="n">
        <v>0</v>
      </c>
      <c r="P57" t="n">
        <v>0</v>
      </c>
      <c r="Q57" t="n">
        <v>0</v>
      </c>
      <c r="R57" s="2" t="inlineStr"/>
    </row>
    <row r="58" ht="15" customHeight="1">
      <c r="A58" t="inlineStr">
        <is>
          <t>A 20902-2024</t>
        </is>
      </c>
      <c r="B58" s="1" t="n">
        <v>45439.48104166667</v>
      </c>
      <c r="C58" s="1" t="n">
        <v>46094</v>
      </c>
      <c r="D58" t="inlineStr">
        <is>
          <t>UPPSALA LÄN</t>
        </is>
      </c>
      <c r="E58" t="inlineStr">
        <is>
          <t>KNIVSTA</t>
        </is>
      </c>
      <c r="G58" t="n">
        <v>1</v>
      </c>
      <c r="H58" t="n">
        <v>0</v>
      </c>
      <c r="I58" t="n">
        <v>0</v>
      </c>
      <c r="J58" t="n">
        <v>0</v>
      </c>
      <c r="K58" t="n">
        <v>0</v>
      </c>
      <c r="L58" t="n">
        <v>0</v>
      </c>
      <c r="M58" t="n">
        <v>0</v>
      </c>
      <c r="N58" t="n">
        <v>0</v>
      </c>
      <c r="O58" t="n">
        <v>0</v>
      </c>
      <c r="P58" t="n">
        <v>0</v>
      </c>
      <c r="Q58" t="n">
        <v>0</v>
      </c>
      <c r="R58" s="2" t="inlineStr"/>
    </row>
    <row r="59" ht="15" customHeight="1">
      <c r="A59" t="inlineStr">
        <is>
          <t>A 26226-2025</t>
        </is>
      </c>
      <c r="B59" s="1" t="n">
        <v>45805.55829861111</v>
      </c>
      <c r="C59" s="1" t="n">
        <v>46094</v>
      </c>
      <c r="D59" t="inlineStr">
        <is>
          <t>UPPSALA LÄN</t>
        </is>
      </c>
      <c r="E59" t="inlineStr">
        <is>
          <t>KNIVSTA</t>
        </is>
      </c>
      <c r="G59" t="n">
        <v>9.1</v>
      </c>
      <c r="H59" t="n">
        <v>0</v>
      </c>
      <c r="I59" t="n">
        <v>0</v>
      </c>
      <c r="J59" t="n">
        <v>0</v>
      </c>
      <c r="K59" t="n">
        <v>0</v>
      </c>
      <c r="L59" t="n">
        <v>0</v>
      </c>
      <c r="M59" t="n">
        <v>0</v>
      </c>
      <c r="N59" t="n">
        <v>0</v>
      </c>
      <c r="O59" t="n">
        <v>0</v>
      </c>
      <c r="P59" t="n">
        <v>0</v>
      </c>
      <c r="Q59" t="n">
        <v>0</v>
      </c>
      <c r="R59" s="2" t="inlineStr"/>
    </row>
    <row r="60" ht="15" customHeight="1">
      <c r="A60" t="inlineStr">
        <is>
          <t>A 2629-2025</t>
        </is>
      </c>
      <c r="B60" s="1" t="n">
        <v>45675.6953587963</v>
      </c>
      <c r="C60" s="1" t="n">
        <v>46094</v>
      </c>
      <c r="D60" t="inlineStr">
        <is>
          <t>UPPSALA LÄN</t>
        </is>
      </c>
      <c r="E60" t="inlineStr">
        <is>
          <t>KNIVSTA</t>
        </is>
      </c>
      <c r="G60" t="n">
        <v>1.1</v>
      </c>
      <c r="H60" t="n">
        <v>0</v>
      </c>
      <c r="I60" t="n">
        <v>0</v>
      </c>
      <c r="J60" t="n">
        <v>0</v>
      </c>
      <c r="K60" t="n">
        <v>0</v>
      </c>
      <c r="L60" t="n">
        <v>0</v>
      </c>
      <c r="M60" t="n">
        <v>0</v>
      </c>
      <c r="N60" t="n">
        <v>0</v>
      </c>
      <c r="O60" t="n">
        <v>0</v>
      </c>
      <c r="P60" t="n">
        <v>0</v>
      </c>
      <c r="Q60" t="n">
        <v>0</v>
      </c>
      <c r="R60" s="2" t="inlineStr"/>
    </row>
    <row r="61" ht="15" customHeight="1">
      <c r="A61" t="inlineStr">
        <is>
          <t>A 5320-2023</t>
        </is>
      </c>
      <c r="B61" s="1" t="n">
        <v>44959</v>
      </c>
      <c r="C61" s="1" t="n">
        <v>46094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46094</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28189-2025</t>
        </is>
      </c>
      <c r="B63" s="1" t="n">
        <v>45818.41357638889</v>
      </c>
      <c r="C63" s="1" t="n">
        <v>46094</v>
      </c>
      <c r="D63" t="inlineStr">
        <is>
          <t>UPPSALA LÄN</t>
        </is>
      </c>
      <c r="E63" t="inlineStr">
        <is>
          <t>KNIVSTA</t>
        </is>
      </c>
      <c r="G63" t="n">
        <v>7.6</v>
      </c>
      <c r="H63" t="n">
        <v>0</v>
      </c>
      <c r="I63" t="n">
        <v>0</v>
      </c>
      <c r="J63" t="n">
        <v>0</v>
      </c>
      <c r="K63" t="n">
        <v>0</v>
      </c>
      <c r="L63" t="n">
        <v>0</v>
      </c>
      <c r="M63" t="n">
        <v>0</v>
      </c>
      <c r="N63" t="n">
        <v>0</v>
      </c>
      <c r="O63" t="n">
        <v>0</v>
      </c>
      <c r="P63" t="n">
        <v>0</v>
      </c>
      <c r="Q63" t="n">
        <v>0</v>
      </c>
      <c r="R63" s="2" t="inlineStr"/>
    </row>
    <row r="64" ht="15" customHeight="1">
      <c r="A64" t="inlineStr">
        <is>
          <t>A 11452-2023</t>
        </is>
      </c>
      <c r="B64" s="1" t="n">
        <v>44993</v>
      </c>
      <c r="C64" s="1" t="n">
        <v>46094</v>
      </c>
      <c r="D64" t="inlineStr">
        <is>
          <t>UPPSALA LÄN</t>
        </is>
      </c>
      <c r="E64" t="inlineStr">
        <is>
          <t>KNIVSTA</t>
        </is>
      </c>
      <c r="G64" t="n">
        <v>2.5</v>
      </c>
      <c r="H64" t="n">
        <v>0</v>
      </c>
      <c r="I64" t="n">
        <v>0</v>
      </c>
      <c r="J64" t="n">
        <v>0</v>
      </c>
      <c r="K64" t="n">
        <v>0</v>
      </c>
      <c r="L64" t="n">
        <v>0</v>
      </c>
      <c r="M64" t="n">
        <v>0</v>
      </c>
      <c r="N64" t="n">
        <v>0</v>
      </c>
      <c r="O64" t="n">
        <v>0</v>
      </c>
      <c r="P64" t="n">
        <v>0</v>
      </c>
      <c r="Q64" t="n">
        <v>0</v>
      </c>
      <c r="R64" s="2" t="inlineStr"/>
    </row>
    <row r="65" ht="15" customHeight="1">
      <c r="A65" t="inlineStr">
        <is>
          <t>A 30627-2023</t>
        </is>
      </c>
      <c r="B65" s="1" t="n">
        <v>45112</v>
      </c>
      <c r="C65" s="1" t="n">
        <v>46094</v>
      </c>
      <c r="D65" t="inlineStr">
        <is>
          <t>UPPSALA LÄN</t>
        </is>
      </c>
      <c r="E65" t="inlineStr">
        <is>
          <t>KNIVSTA</t>
        </is>
      </c>
      <c r="F65" t="inlineStr">
        <is>
          <t>Holmen skog AB</t>
        </is>
      </c>
      <c r="G65" t="n">
        <v>1.6</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46094</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46094</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16396-2025</t>
        </is>
      </c>
      <c r="B68" s="1" t="n">
        <v>45751.44219907407</v>
      </c>
      <c r="C68" s="1" t="n">
        <v>46094</v>
      </c>
      <c r="D68" t="inlineStr">
        <is>
          <t>UPPSALA LÄN</t>
        </is>
      </c>
      <c r="E68" t="inlineStr">
        <is>
          <t>KNIVSTA</t>
        </is>
      </c>
      <c r="G68" t="n">
        <v>5.1</v>
      </c>
      <c r="H68" t="n">
        <v>0</v>
      </c>
      <c r="I68" t="n">
        <v>0</v>
      </c>
      <c r="J68" t="n">
        <v>0</v>
      </c>
      <c r="K68" t="n">
        <v>0</v>
      </c>
      <c r="L68" t="n">
        <v>0</v>
      </c>
      <c r="M68" t="n">
        <v>0</v>
      </c>
      <c r="N68" t="n">
        <v>0</v>
      </c>
      <c r="O68" t="n">
        <v>0</v>
      </c>
      <c r="P68" t="n">
        <v>0</v>
      </c>
      <c r="Q68" t="n">
        <v>0</v>
      </c>
      <c r="R68" s="2" t="inlineStr"/>
    </row>
    <row r="69" ht="15" customHeight="1">
      <c r="A69" t="inlineStr">
        <is>
          <t>A 43908-2023</t>
        </is>
      </c>
      <c r="B69" s="1" t="n">
        <v>45187</v>
      </c>
      <c r="C69" s="1" t="n">
        <v>46094</v>
      </c>
      <c r="D69" t="inlineStr">
        <is>
          <t>UPPSALA LÄN</t>
        </is>
      </c>
      <c r="E69" t="inlineStr">
        <is>
          <t>KNIVSTA</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33976-2025</t>
        </is>
      </c>
      <c r="B70" s="1" t="n">
        <v>45843</v>
      </c>
      <c r="C70" s="1" t="n">
        <v>46094</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33974-2025</t>
        </is>
      </c>
      <c r="B71" s="1" t="n">
        <v>45843.305625</v>
      </c>
      <c r="C71" s="1" t="n">
        <v>46094</v>
      </c>
      <c r="D71" t="inlineStr">
        <is>
          <t>UPPSALA LÄN</t>
        </is>
      </c>
      <c r="E71" t="inlineStr">
        <is>
          <t>KNIVSTA</t>
        </is>
      </c>
      <c r="G71" t="n">
        <v>2.6</v>
      </c>
      <c r="H71" t="n">
        <v>0</v>
      </c>
      <c r="I71" t="n">
        <v>0</v>
      </c>
      <c r="J71" t="n">
        <v>0</v>
      </c>
      <c r="K71" t="n">
        <v>0</v>
      </c>
      <c r="L71" t="n">
        <v>0</v>
      </c>
      <c r="M71" t="n">
        <v>0</v>
      </c>
      <c r="N71" t="n">
        <v>0</v>
      </c>
      <c r="O71" t="n">
        <v>0</v>
      </c>
      <c r="P71" t="n">
        <v>0</v>
      </c>
      <c r="Q71" t="n">
        <v>0</v>
      </c>
      <c r="R71" s="2" t="inlineStr"/>
    </row>
    <row r="72" ht="15" customHeight="1">
      <c r="A72" t="inlineStr">
        <is>
          <t>A 1791-2024</t>
        </is>
      </c>
      <c r="B72" s="1" t="n">
        <v>45307.574375</v>
      </c>
      <c r="C72" s="1" t="n">
        <v>46094</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33975-2025</t>
        </is>
      </c>
      <c r="B73" s="1" t="n">
        <v>45843.30805555556</v>
      </c>
      <c r="C73" s="1" t="n">
        <v>46094</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46094</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46094</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46094</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35318-2025</t>
        </is>
      </c>
      <c r="B77" s="1" t="n">
        <v>45854.47917824074</v>
      </c>
      <c r="C77" s="1" t="n">
        <v>46094</v>
      </c>
      <c r="D77" t="inlineStr">
        <is>
          <t>UPPSALA LÄN</t>
        </is>
      </c>
      <c r="E77" t="inlineStr">
        <is>
          <t>KNIVSTA</t>
        </is>
      </c>
      <c r="F77" t="inlineStr">
        <is>
          <t>Holmen skog AB</t>
        </is>
      </c>
      <c r="G77" t="n">
        <v>2.2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46094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36472-2025</t>
        </is>
      </c>
      <c r="B79" s="1" t="n">
        <v>45869.48162037037</v>
      </c>
      <c r="C79" s="1" t="n">
        <v>46094</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36473-2025</t>
        </is>
      </c>
      <c r="B80" s="1" t="n">
        <v>45869.48333333333</v>
      </c>
      <c r="C80" s="1" t="n">
        <v>46094</v>
      </c>
      <c r="D80" t="inlineStr">
        <is>
          <t>UPPSALA LÄN</t>
        </is>
      </c>
      <c r="E80" t="inlineStr">
        <is>
          <t>KNIVSTA</t>
        </is>
      </c>
      <c r="G80" t="n">
        <v>1.4</v>
      </c>
      <c r="H80" t="n">
        <v>0</v>
      </c>
      <c r="I80" t="n">
        <v>0</v>
      </c>
      <c r="J80" t="n">
        <v>0</v>
      </c>
      <c r="K80" t="n">
        <v>0</v>
      </c>
      <c r="L80" t="n">
        <v>0</v>
      </c>
      <c r="M80" t="n">
        <v>0</v>
      </c>
      <c r="N80" t="n">
        <v>0</v>
      </c>
      <c r="O80" t="n">
        <v>0</v>
      </c>
      <c r="P80" t="n">
        <v>0</v>
      </c>
      <c r="Q80" t="n">
        <v>0</v>
      </c>
      <c r="R80" s="2" t="inlineStr"/>
    </row>
    <row r="81" ht="15" customHeight="1">
      <c r="A81" t="inlineStr">
        <is>
          <t>A 36470-2025</t>
        </is>
      </c>
      <c r="B81" s="1" t="n">
        <v>45869.47915509259</v>
      </c>
      <c r="C81" s="1" t="n">
        <v>46094</v>
      </c>
      <c r="D81" t="inlineStr">
        <is>
          <t>UPPSALA LÄN</t>
        </is>
      </c>
      <c r="E81" t="inlineStr">
        <is>
          <t>KNIVSTA</t>
        </is>
      </c>
      <c r="G81" t="n">
        <v>3.6</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46094</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14267-2025</t>
        </is>
      </c>
      <c r="B83" s="1" t="n">
        <v>45740.63686342593</v>
      </c>
      <c r="C83" s="1" t="n">
        <v>46094</v>
      </c>
      <c r="D83" t="inlineStr">
        <is>
          <t>UPPSALA LÄN</t>
        </is>
      </c>
      <c r="E83" t="inlineStr">
        <is>
          <t>KNIVSTA</t>
        </is>
      </c>
      <c r="G83" t="n">
        <v>3.9</v>
      </c>
      <c r="H83" t="n">
        <v>0</v>
      </c>
      <c r="I83" t="n">
        <v>0</v>
      </c>
      <c r="J83" t="n">
        <v>0</v>
      </c>
      <c r="K83" t="n">
        <v>0</v>
      </c>
      <c r="L83" t="n">
        <v>0</v>
      </c>
      <c r="M83" t="n">
        <v>0</v>
      </c>
      <c r="N83" t="n">
        <v>0</v>
      </c>
      <c r="O83" t="n">
        <v>0</v>
      </c>
      <c r="P83" t="n">
        <v>0</v>
      </c>
      <c r="Q83" t="n">
        <v>0</v>
      </c>
      <c r="R83" s="2" t="inlineStr"/>
    </row>
    <row r="84" ht="15" customHeight="1">
      <c r="A84" t="inlineStr">
        <is>
          <t>A 23239-2023</t>
        </is>
      </c>
      <c r="B84" s="1" t="n">
        <v>45075</v>
      </c>
      <c r="C84" s="1" t="n">
        <v>46094</v>
      </c>
      <c r="D84" t="inlineStr">
        <is>
          <t>UPPSALA LÄN</t>
        </is>
      </c>
      <c r="E84" t="inlineStr">
        <is>
          <t>KNIVSTA</t>
        </is>
      </c>
      <c r="G84" t="n">
        <v>1.8</v>
      </c>
      <c r="H84" t="n">
        <v>0</v>
      </c>
      <c r="I84" t="n">
        <v>0</v>
      </c>
      <c r="J84" t="n">
        <v>0</v>
      </c>
      <c r="K84" t="n">
        <v>0</v>
      </c>
      <c r="L84" t="n">
        <v>0</v>
      </c>
      <c r="M84" t="n">
        <v>0</v>
      </c>
      <c r="N84" t="n">
        <v>0</v>
      </c>
      <c r="O84" t="n">
        <v>0</v>
      </c>
      <c r="P84" t="n">
        <v>0</v>
      </c>
      <c r="Q84" t="n">
        <v>0</v>
      </c>
      <c r="R84" s="2" t="inlineStr"/>
    </row>
    <row r="85" ht="15" customHeight="1">
      <c r="A85" t="inlineStr">
        <is>
          <t>A 13697-2024</t>
        </is>
      </c>
      <c r="B85" s="1" t="n">
        <v>45390</v>
      </c>
      <c r="C85" s="1" t="n">
        <v>46094</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46094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46094</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32975-2021</t>
        </is>
      </c>
      <c r="B88" s="1" t="n">
        <v>44376</v>
      </c>
      <c r="C88" s="1" t="n">
        <v>46094</v>
      </c>
      <c r="D88" t="inlineStr">
        <is>
          <t>UPPSALA LÄN</t>
        </is>
      </c>
      <c r="E88" t="inlineStr">
        <is>
          <t>KNIVSTA</t>
        </is>
      </c>
      <c r="G88" t="n">
        <v>6.1</v>
      </c>
      <c r="H88" t="n">
        <v>0</v>
      </c>
      <c r="I88" t="n">
        <v>0</v>
      </c>
      <c r="J88" t="n">
        <v>0</v>
      </c>
      <c r="K88" t="n">
        <v>0</v>
      </c>
      <c r="L88" t="n">
        <v>0</v>
      </c>
      <c r="M88" t="n">
        <v>0</v>
      </c>
      <c r="N88" t="n">
        <v>0</v>
      </c>
      <c r="O88" t="n">
        <v>0</v>
      </c>
      <c r="P88" t="n">
        <v>0</v>
      </c>
      <c r="Q88" t="n">
        <v>0</v>
      </c>
      <c r="R88" s="2" t="inlineStr"/>
    </row>
    <row r="89" ht="15" customHeight="1">
      <c r="A89" t="inlineStr">
        <is>
          <t>A 1629-2024</t>
        </is>
      </c>
      <c r="B89" s="1" t="n">
        <v>45306</v>
      </c>
      <c r="C89" s="1" t="n">
        <v>46094</v>
      </c>
      <c r="D89" t="inlineStr">
        <is>
          <t>UPPSALA LÄN</t>
        </is>
      </c>
      <c r="E89" t="inlineStr">
        <is>
          <t>KNIVSTA</t>
        </is>
      </c>
      <c r="F89" t="inlineStr">
        <is>
          <t>Holmen skog AB</t>
        </is>
      </c>
      <c r="G89" t="n">
        <v>3.6</v>
      </c>
      <c r="H89" t="n">
        <v>0</v>
      </c>
      <c r="I89" t="n">
        <v>0</v>
      </c>
      <c r="J89" t="n">
        <v>0</v>
      </c>
      <c r="K89" t="n">
        <v>0</v>
      </c>
      <c r="L89" t="n">
        <v>0</v>
      </c>
      <c r="M89" t="n">
        <v>0</v>
      </c>
      <c r="N89" t="n">
        <v>0</v>
      </c>
      <c r="O89" t="n">
        <v>0</v>
      </c>
      <c r="P89" t="n">
        <v>0</v>
      </c>
      <c r="Q89" t="n">
        <v>0</v>
      </c>
      <c r="R89" s="2" t="inlineStr"/>
    </row>
    <row r="90" ht="15" customHeight="1">
      <c r="A90" t="inlineStr">
        <is>
          <t>A 30764-2023</t>
        </is>
      </c>
      <c r="B90" s="1" t="n">
        <v>45112</v>
      </c>
      <c r="C90" s="1" t="n">
        <v>46094</v>
      </c>
      <c r="D90" t="inlineStr">
        <is>
          <t>UPPSALA LÄN</t>
        </is>
      </c>
      <c r="E90" t="inlineStr">
        <is>
          <t>KNIVSTA</t>
        </is>
      </c>
      <c r="F90" t="inlineStr">
        <is>
          <t>Holmen skog AB</t>
        </is>
      </c>
      <c r="G90" t="n">
        <v>0.9</v>
      </c>
      <c r="H90" t="n">
        <v>0</v>
      </c>
      <c r="I90" t="n">
        <v>0</v>
      </c>
      <c r="J90" t="n">
        <v>0</v>
      </c>
      <c r="K90" t="n">
        <v>0</v>
      </c>
      <c r="L90" t="n">
        <v>0</v>
      </c>
      <c r="M90" t="n">
        <v>0</v>
      </c>
      <c r="N90" t="n">
        <v>0</v>
      </c>
      <c r="O90" t="n">
        <v>0</v>
      </c>
      <c r="P90" t="n">
        <v>0</v>
      </c>
      <c r="Q90" t="n">
        <v>0</v>
      </c>
      <c r="R90" s="2" t="inlineStr"/>
    </row>
    <row r="91" ht="15" customHeight="1">
      <c r="A91" t="inlineStr">
        <is>
          <t>A 11847-2023</t>
        </is>
      </c>
      <c r="B91" s="1" t="n">
        <v>44995.33957175926</v>
      </c>
      <c r="C91" s="1" t="n">
        <v>46094</v>
      </c>
      <c r="D91" t="inlineStr">
        <is>
          <t>UPPSALA LÄN</t>
        </is>
      </c>
      <c r="E91" t="inlineStr">
        <is>
          <t>KNIVSTA</t>
        </is>
      </c>
      <c r="G91" t="n">
        <v>2.1</v>
      </c>
      <c r="H91" t="n">
        <v>0</v>
      </c>
      <c r="I91" t="n">
        <v>0</v>
      </c>
      <c r="J91" t="n">
        <v>0</v>
      </c>
      <c r="K91" t="n">
        <v>0</v>
      </c>
      <c r="L91" t="n">
        <v>0</v>
      </c>
      <c r="M91" t="n">
        <v>0</v>
      </c>
      <c r="N91" t="n">
        <v>0</v>
      </c>
      <c r="O91" t="n">
        <v>0</v>
      </c>
      <c r="P91" t="n">
        <v>0</v>
      </c>
      <c r="Q91" t="n">
        <v>0</v>
      </c>
      <c r="R91" s="2" t="inlineStr"/>
    </row>
    <row r="92" ht="15" customHeight="1">
      <c r="A92" t="inlineStr">
        <is>
          <t>A 44869-2025</t>
        </is>
      </c>
      <c r="B92" s="1" t="n">
        <v>45918.46758101852</v>
      </c>
      <c r="C92" s="1" t="n">
        <v>46094</v>
      </c>
      <c r="D92" t="inlineStr">
        <is>
          <t>UPPSALA LÄN</t>
        </is>
      </c>
      <c r="E92" t="inlineStr">
        <is>
          <t>KNIVSTA</t>
        </is>
      </c>
      <c r="G92" t="n">
        <v>17.1</v>
      </c>
      <c r="H92" t="n">
        <v>0</v>
      </c>
      <c r="I92" t="n">
        <v>0</v>
      </c>
      <c r="J92" t="n">
        <v>0</v>
      </c>
      <c r="K92" t="n">
        <v>0</v>
      </c>
      <c r="L92" t="n">
        <v>0</v>
      </c>
      <c r="M92" t="n">
        <v>0</v>
      </c>
      <c r="N92" t="n">
        <v>0</v>
      </c>
      <c r="O92" t="n">
        <v>0</v>
      </c>
      <c r="P92" t="n">
        <v>0</v>
      </c>
      <c r="Q92" t="n">
        <v>0</v>
      </c>
      <c r="R92" s="2" t="inlineStr"/>
    </row>
    <row r="93" ht="15" customHeight="1">
      <c r="A93" t="inlineStr">
        <is>
          <t>A 45453-2025</t>
        </is>
      </c>
      <c r="B93" s="1" t="n">
        <v>45922.48702546296</v>
      </c>
      <c r="C93" s="1" t="n">
        <v>46094</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13040-2025</t>
        </is>
      </c>
      <c r="B94" s="1" t="n">
        <v>45734</v>
      </c>
      <c r="C94" s="1" t="n">
        <v>46094</v>
      </c>
      <c r="D94" t="inlineStr">
        <is>
          <t>UPPSALA LÄN</t>
        </is>
      </c>
      <c r="E94" t="inlineStr">
        <is>
          <t>KNIVSTA</t>
        </is>
      </c>
      <c r="F94" t="inlineStr">
        <is>
          <t>Allmännings- och besparingsskogar</t>
        </is>
      </c>
      <c r="G94" t="n">
        <v>1.6</v>
      </c>
      <c r="H94" t="n">
        <v>0</v>
      </c>
      <c r="I94" t="n">
        <v>0</v>
      </c>
      <c r="J94" t="n">
        <v>0</v>
      </c>
      <c r="K94" t="n">
        <v>0</v>
      </c>
      <c r="L94" t="n">
        <v>0</v>
      </c>
      <c r="M94" t="n">
        <v>0</v>
      </c>
      <c r="N94" t="n">
        <v>0</v>
      </c>
      <c r="O94" t="n">
        <v>0</v>
      </c>
      <c r="P94" t="n">
        <v>0</v>
      </c>
      <c r="Q94" t="n">
        <v>0</v>
      </c>
      <c r="R94" s="2" t="inlineStr"/>
    </row>
    <row r="95" ht="15" customHeight="1">
      <c r="A95" t="inlineStr">
        <is>
          <t>A 47803-2025</t>
        </is>
      </c>
      <c r="B95" s="1" t="n">
        <v>45931</v>
      </c>
      <c r="C95" s="1" t="n">
        <v>46094</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49090-2025</t>
        </is>
      </c>
      <c r="B96" s="1" t="n">
        <v>45937</v>
      </c>
      <c r="C96" s="1" t="n">
        <v>46094</v>
      </c>
      <c r="D96" t="inlineStr">
        <is>
          <t>UPPSALA LÄN</t>
        </is>
      </c>
      <c r="E96" t="inlineStr">
        <is>
          <t>KNIVSTA</t>
        </is>
      </c>
      <c r="G96" t="n">
        <v>4.1</v>
      </c>
      <c r="H96" t="n">
        <v>0</v>
      </c>
      <c r="I96" t="n">
        <v>0</v>
      </c>
      <c r="J96" t="n">
        <v>0</v>
      </c>
      <c r="K96" t="n">
        <v>0</v>
      </c>
      <c r="L96" t="n">
        <v>0</v>
      </c>
      <c r="M96" t="n">
        <v>0</v>
      </c>
      <c r="N96" t="n">
        <v>0</v>
      </c>
      <c r="O96" t="n">
        <v>0</v>
      </c>
      <c r="P96" t="n">
        <v>0</v>
      </c>
      <c r="Q96" t="n">
        <v>0</v>
      </c>
      <c r="R96" s="2" t="inlineStr"/>
    </row>
    <row r="97" ht="15" customHeight="1">
      <c r="A97" t="inlineStr">
        <is>
          <t>A 52666-2025</t>
        </is>
      </c>
      <c r="B97" s="1" t="n">
        <v>45955.74299768519</v>
      </c>
      <c r="C97" s="1" t="n">
        <v>46094</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52667-2025</t>
        </is>
      </c>
      <c r="B98" s="1" t="n">
        <v>45955.74666666667</v>
      </c>
      <c r="C98" s="1" t="n">
        <v>46094</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46094</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ht="15" customHeight="1">
      <c r="A100" t="inlineStr">
        <is>
          <t>A 57631-2025</t>
        </is>
      </c>
      <c r="B100" s="1" t="n">
        <v>45981.34748842593</v>
      </c>
      <c r="C100" s="1" t="n">
        <v>46094</v>
      </c>
      <c r="D100" t="inlineStr">
        <is>
          <t>UPPSALA LÄN</t>
        </is>
      </c>
      <c r="E100" t="inlineStr">
        <is>
          <t>KNIVSTA</t>
        </is>
      </c>
      <c r="G100" t="n">
        <v>3.4</v>
      </c>
      <c r="H100" t="n">
        <v>0</v>
      </c>
      <c r="I100" t="n">
        <v>0</v>
      </c>
      <c r="J100" t="n">
        <v>0</v>
      </c>
      <c r="K100" t="n">
        <v>0</v>
      </c>
      <c r="L100" t="n">
        <v>0</v>
      </c>
      <c r="M100" t="n">
        <v>0</v>
      </c>
      <c r="N100" t="n">
        <v>0</v>
      </c>
      <c r="O100" t="n">
        <v>0</v>
      </c>
      <c r="P100" t="n">
        <v>0</v>
      </c>
      <c r="Q100" t="n">
        <v>0</v>
      </c>
      <c r="R100" s="2" t="inlineStr"/>
    </row>
    <row r="101" ht="15" customHeight="1">
      <c r="A101" t="inlineStr">
        <is>
          <t>A 53812-2025</t>
        </is>
      </c>
      <c r="B101" s="1" t="n">
        <v>45960</v>
      </c>
      <c r="C101" s="1" t="n">
        <v>46094</v>
      </c>
      <c r="D101" t="inlineStr">
        <is>
          <t>UPPSALA LÄN</t>
        </is>
      </c>
      <c r="E101" t="inlineStr">
        <is>
          <t>KNIVSTA</t>
        </is>
      </c>
      <c r="G101" t="n">
        <v>5.8</v>
      </c>
      <c r="H101" t="n">
        <v>0</v>
      </c>
      <c r="I101" t="n">
        <v>0</v>
      </c>
      <c r="J101" t="n">
        <v>0</v>
      </c>
      <c r="K101" t="n">
        <v>0</v>
      </c>
      <c r="L101" t="n">
        <v>0</v>
      </c>
      <c r="M101" t="n">
        <v>0</v>
      </c>
      <c r="N101" t="n">
        <v>0</v>
      </c>
      <c r="O101" t="n">
        <v>0</v>
      </c>
      <c r="P101" t="n">
        <v>0</v>
      </c>
      <c r="Q101" t="n">
        <v>0</v>
      </c>
      <c r="R101" s="2" t="inlineStr"/>
    </row>
    <row r="102" ht="15" customHeight="1">
      <c r="A102" t="inlineStr">
        <is>
          <t>A 60243-2025</t>
        </is>
      </c>
      <c r="B102" s="1" t="n">
        <v>45994.58650462963</v>
      </c>
      <c r="C102" s="1" t="n">
        <v>46094</v>
      </c>
      <c r="D102" t="inlineStr">
        <is>
          <t>UPPSALA LÄN</t>
        </is>
      </c>
      <c r="E102" t="inlineStr">
        <is>
          <t>KNIVSTA</t>
        </is>
      </c>
      <c r="F102" t="inlineStr">
        <is>
          <t>Holmen skog AB</t>
        </is>
      </c>
      <c r="G102" t="n">
        <v>2.4</v>
      </c>
      <c r="H102" t="n">
        <v>0</v>
      </c>
      <c r="I102" t="n">
        <v>0</v>
      </c>
      <c r="J102" t="n">
        <v>0</v>
      </c>
      <c r="K102" t="n">
        <v>0</v>
      </c>
      <c r="L102" t="n">
        <v>0</v>
      </c>
      <c r="M102" t="n">
        <v>0</v>
      </c>
      <c r="N102" t="n">
        <v>0</v>
      </c>
      <c r="O102" t="n">
        <v>0</v>
      </c>
      <c r="P102" t="n">
        <v>0</v>
      </c>
      <c r="Q102" t="n">
        <v>0</v>
      </c>
      <c r="R102" s="2" t="inlineStr"/>
    </row>
    <row r="103" ht="15" customHeight="1">
      <c r="A103" t="inlineStr">
        <is>
          <t>A 5908-2026</t>
        </is>
      </c>
      <c r="B103" s="1" t="n">
        <v>46052.44399305555</v>
      </c>
      <c r="C103" s="1" t="n">
        <v>46094</v>
      </c>
      <c r="D103" t="inlineStr">
        <is>
          <t>UPPSALA LÄN</t>
        </is>
      </c>
      <c r="E103" t="inlineStr">
        <is>
          <t>KNIVSTA</t>
        </is>
      </c>
      <c r="G103" t="n">
        <v>0.9</v>
      </c>
      <c r="H103" t="n">
        <v>0</v>
      </c>
      <c r="I103" t="n">
        <v>0</v>
      </c>
      <c r="J103" t="n">
        <v>0</v>
      </c>
      <c r="K103" t="n">
        <v>0</v>
      </c>
      <c r="L103" t="n">
        <v>0</v>
      </c>
      <c r="M103" t="n">
        <v>0</v>
      </c>
      <c r="N103" t="n">
        <v>0</v>
      </c>
      <c r="O103" t="n">
        <v>0</v>
      </c>
      <c r="P103" t="n">
        <v>0</v>
      </c>
      <c r="Q103" t="n">
        <v>0</v>
      </c>
      <c r="R103" s="2" t="inlineStr"/>
    </row>
    <row r="104" ht="15" customHeight="1">
      <c r="A104" t="inlineStr">
        <is>
          <t>A 5402-2023</t>
        </is>
      </c>
      <c r="B104" s="1" t="n">
        <v>44959</v>
      </c>
      <c r="C104" s="1" t="n">
        <v>46094</v>
      </c>
      <c r="D104" t="inlineStr">
        <is>
          <t>UPPSALA LÄN</t>
        </is>
      </c>
      <c r="E104" t="inlineStr">
        <is>
          <t>KNIVSTA</t>
        </is>
      </c>
      <c r="G104" t="n">
        <v>4.3</v>
      </c>
      <c r="H104" t="n">
        <v>0</v>
      </c>
      <c r="I104" t="n">
        <v>0</v>
      </c>
      <c r="J104" t="n">
        <v>0</v>
      </c>
      <c r="K104" t="n">
        <v>0</v>
      </c>
      <c r="L104" t="n">
        <v>0</v>
      </c>
      <c r="M104" t="n">
        <v>0</v>
      </c>
      <c r="N104" t="n">
        <v>0</v>
      </c>
      <c r="O104" t="n">
        <v>0</v>
      </c>
      <c r="P104" t="n">
        <v>0</v>
      </c>
      <c r="Q104" t="n">
        <v>0</v>
      </c>
      <c r="R104" s="2" t="inlineStr"/>
    </row>
    <row r="105" ht="15" customHeight="1">
      <c r="A105" t="inlineStr">
        <is>
          <t>A 5910-2026</t>
        </is>
      </c>
      <c r="B105" s="1" t="n">
        <v>46052.44677083333</v>
      </c>
      <c r="C105" s="1" t="n">
        <v>46094</v>
      </c>
      <c r="D105" t="inlineStr">
        <is>
          <t>UPPSALA LÄN</t>
        </is>
      </c>
      <c r="E105" t="inlineStr">
        <is>
          <t>KNIVSTA</t>
        </is>
      </c>
      <c r="G105" t="n">
        <v>0.6</v>
      </c>
      <c r="H105" t="n">
        <v>0</v>
      </c>
      <c r="I105" t="n">
        <v>0</v>
      </c>
      <c r="J105" t="n">
        <v>0</v>
      </c>
      <c r="K105" t="n">
        <v>0</v>
      </c>
      <c r="L105" t="n">
        <v>0</v>
      </c>
      <c r="M105" t="n">
        <v>0</v>
      </c>
      <c r="N105" t="n">
        <v>0</v>
      </c>
      <c r="O105" t="n">
        <v>0</v>
      </c>
      <c r="P105" t="n">
        <v>0</v>
      </c>
      <c r="Q105" t="n">
        <v>0</v>
      </c>
      <c r="R105" s="2" t="inlineStr"/>
    </row>
    <row r="106" ht="15" customHeight="1">
      <c r="A106" t="inlineStr">
        <is>
          <t>A 666-2026</t>
        </is>
      </c>
      <c r="B106" s="1" t="n">
        <v>46029.58832175926</v>
      </c>
      <c r="C106" s="1" t="n">
        <v>46094</v>
      </c>
      <c r="D106" t="inlineStr">
        <is>
          <t>UPPSALA LÄN</t>
        </is>
      </c>
      <c r="E106" t="inlineStr">
        <is>
          <t>KNIVSTA</t>
        </is>
      </c>
      <c r="G106" t="n">
        <v>1.8</v>
      </c>
      <c r="H106" t="n">
        <v>0</v>
      </c>
      <c r="I106" t="n">
        <v>0</v>
      </c>
      <c r="J106" t="n">
        <v>0</v>
      </c>
      <c r="K106" t="n">
        <v>0</v>
      </c>
      <c r="L106" t="n">
        <v>0</v>
      </c>
      <c r="M106" t="n">
        <v>0</v>
      </c>
      <c r="N106" t="n">
        <v>0</v>
      </c>
      <c r="O106" t="n">
        <v>0</v>
      </c>
      <c r="P106" t="n">
        <v>0</v>
      </c>
      <c r="Q106" t="n">
        <v>0</v>
      </c>
      <c r="R106" s="2" t="inlineStr"/>
    </row>
    <row r="107" ht="15" customHeight="1">
      <c r="A107" t="inlineStr">
        <is>
          <t>A 662-2026</t>
        </is>
      </c>
      <c r="B107" s="1" t="n">
        <v>46029.58549768518</v>
      </c>
      <c r="C107" s="1" t="n">
        <v>46094</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9744-2026</t>
        </is>
      </c>
      <c r="B108" s="1" t="n">
        <v>46072.51857638889</v>
      </c>
      <c r="C108" s="1" t="n">
        <v>46094</v>
      </c>
      <c r="D108" t="inlineStr">
        <is>
          <t>UPPSALA LÄN</t>
        </is>
      </c>
      <c r="E108" t="inlineStr">
        <is>
          <t>KNIVSTA</t>
        </is>
      </c>
      <c r="G108" t="n">
        <v>2.4</v>
      </c>
      <c r="H108" t="n">
        <v>0</v>
      </c>
      <c r="I108" t="n">
        <v>0</v>
      </c>
      <c r="J108" t="n">
        <v>0</v>
      </c>
      <c r="K108" t="n">
        <v>0</v>
      </c>
      <c r="L108" t="n">
        <v>0</v>
      </c>
      <c r="M108" t="n">
        <v>0</v>
      </c>
      <c r="N108" t="n">
        <v>0</v>
      </c>
      <c r="O108" t="n">
        <v>0</v>
      </c>
      <c r="P108" t="n">
        <v>0</v>
      </c>
      <c r="Q108" t="n">
        <v>0</v>
      </c>
      <c r="R108" s="2" t="inlineStr"/>
    </row>
    <row r="109" ht="15" customHeight="1">
      <c r="A109" t="inlineStr">
        <is>
          <t>A 2952-2026</t>
        </is>
      </c>
      <c r="B109" s="1" t="n">
        <v>46037</v>
      </c>
      <c r="C109" s="1" t="n">
        <v>46094</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5276-2026</t>
        </is>
      </c>
      <c r="B110" s="1" t="n">
        <v>46037</v>
      </c>
      <c r="C110" s="1" t="n">
        <v>46094</v>
      </c>
      <c r="D110" t="inlineStr">
        <is>
          <t>UPPSALA LÄN</t>
        </is>
      </c>
      <c r="E110" t="inlineStr">
        <is>
          <t>KNIVSTA</t>
        </is>
      </c>
      <c r="G110" t="n">
        <v>1.9</v>
      </c>
      <c r="H110" t="n">
        <v>0</v>
      </c>
      <c r="I110" t="n">
        <v>0</v>
      </c>
      <c r="J110" t="n">
        <v>0</v>
      </c>
      <c r="K110" t="n">
        <v>0</v>
      </c>
      <c r="L110" t="n">
        <v>0</v>
      </c>
      <c r="M110" t="n">
        <v>0</v>
      </c>
      <c r="N110" t="n">
        <v>0</v>
      </c>
      <c r="O110" t="n">
        <v>0</v>
      </c>
      <c r="P110" t="n">
        <v>0</v>
      </c>
      <c r="Q110" t="n">
        <v>0</v>
      </c>
      <c r="R110" s="2" t="inlineStr"/>
    </row>
    <row r="111" ht="15" customHeight="1">
      <c r="A111" t="inlineStr">
        <is>
          <t>A 2944-2026</t>
        </is>
      </c>
      <c r="B111" s="1" t="n">
        <v>46037</v>
      </c>
      <c r="C111" s="1" t="n">
        <v>46094</v>
      </c>
      <c r="D111" t="inlineStr">
        <is>
          <t>UPPSALA LÄN</t>
        </is>
      </c>
      <c r="E111" t="inlineStr">
        <is>
          <t>KNIVSTA</t>
        </is>
      </c>
      <c r="G111" t="n">
        <v>4.7</v>
      </c>
      <c r="H111" t="n">
        <v>0</v>
      </c>
      <c r="I111" t="n">
        <v>0</v>
      </c>
      <c r="J111" t="n">
        <v>0</v>
      </c>
      <c r="K111" t="n">
        <v>0</v>
      </c>
      <c r="L111" t="n">
        <v>0</v>
      </c>
      <c r="M111" t="n">
        <v>0</v>
      </c>
      <c r="N111" t="n">
        <v>0</v>
      </c>
      <c r="O111" t="n">
        <v>0</v>
      </c>
      <c r="P111" t="n">
        <v>0</v>
      </c>
      <c r="Q111" t="n">
        <v>0</v>
      </c>
      <c r="R111" s="2" t="inlineStr"/>
    </row>
    <row r="112" ht="15" customHeight="1">
      <c r="A112" t="inlineStr">
        <is>
          <t>A 3015-2026</t>
        </is>
      </c>
      <c r="B112" s="1" t="n">
        <v>46038</v>
      </c>
      <c r="C112" s="1" t="n">
        <v>46094</v>
      </c>
      <c r="D112" t="inlineStr">
        <is>
          <t>UPPSALA LÄN</t>
        </is>
      </c>
      <c r="E112" t="inlineStr">
        <is>
          <t>KNIVSTA</t>
        </is>
      </c>
      <c r="G112" t="n">
        <v>1.5</v>
      </c>
      <c r="H112" t="n">
        <v>0</v>
      </c>
      <c r="I112" t="n">
        <v>0</v>
      </c>
      <c r="J112" t="n">
        <v>0</v>
      </c>
      <c r="K112" t="n">
        <v>0</v>
      </c>
      <c r="L112" t="n">
        <v>0</v>
      </c>
      <c r="M112" t="n">
        <v>0</v>
      </c>
      <c r="N112" t="n">
        <v>0</v>
      </c>
      <c r="O112" t="n">
        <v>0</v>
      </c>
      <c r="P112" t="n">
        <v>0</v>
      </c>
      <c r="Q112" t="n">
        <v>0</v>
      </c>
      <c r="R112" s="2" t="inlineStr"/>
    </row>
    <row r="113" ht="15" customHeight="1">
      <c r="A113" t="inlineStr">
        <is>
          <t>A 3016-2026</t>
        </is>
      </c>
      <c r="B113" s="1" t="n">
        <v>46038</v>
      </c>
      <c r="C113" s="1" t="n">
        <v>46094</v>
      </c>
      <c r="D113" t="inlineStr">
        <is>
          <t>UPPSALA LÄN</t>
        </is>
      </c>
      <c r="E113" t="inlineStr">
        <is>
          <t>KNIVSTA</t>
        </is>
      </c>
      <c r="G113" t="n">
        <v>0.9</v>
      </c>
      <c r="H113" t="n">
        <v>0</v>
      </c>
      <c r="I113" t="n">
        <v>0</v>
      </c>
      <c r="J113" t="n">
        <v>0</v>
      </c>
      <c r="K113" t="n">
        <v>0</v>
      </c>
      <c r="L113" t="n">
        <v>0</v>
      </c>
      <c r="M113" t="n">
        <v>0</v>
      </c>
      <c r="N113" t="n">
        <v>0</v>
      </c>
      <c r="O113" t="n">
        <v>0</v>
      </c>
      <c r="P113" t="n">
        <v>0</v>
      </c>
      <c r="Q113" t="n">
        <v>0</v>
      </c>
      <c r="R113" s="2" t="inlineStr"/>
    </row>
    <row r="114" ht="15" customHeight="1">
      <c r="A114" t="inlineStr">
        <is>
          <t>A 3824-2026</t>
        </is>
      </c>
      <c r="B114" s="1" t="n">
        <v>46043.58570601852</v>
      </c>
      <c r="C114" s="1" t="n">
        <v>46094</v>
      </c>
      <c r="D114" t="inlineStr">
        <is>
          <t>UPPSALA LÄN</t>
        </is>
      </c>
      <c r="E114" t="inlineStr">
        <is>
          <t>KNIVSTA</t>
        </is>
      </c>
      <c r="G114" t="n">
        <v>1.9</v>
      </c>
      <c r="H114" t="n">
        <v>0</v>
      </c>
      <c r="I114" t="n">
        <v>0</v>
      </c>
      <c r="J114" t="n">
        <v>0</v>
      </c>
      <c r="K114" t="n">
        <v>0</v>
      </c>
      <c r="L114" t="n">
        <v>0</v>
      </c>
      <c r="M114" t="n">
        <v>0</v>
      </c>
      <c r="N114" t="n">
        <v>0</v>
      </c>
      <c r="O114" t="n">
        <v>0</v>
      </c>
      <c r="P114" t="n">
        <v>0</v>
      </c>
      <c r="Q114" t="n">
        <v>0</v>
      </c>
      <c r="R114" s="2" t="inlineStr"/>
    </row>
    <row r="115" ht="15" customHeight="1">
      <c r="A115" t="inlineStr">
        <is>
          <t>A 12027-2026</t>
        </is>
      </c>
      <c r="B115" s="1" t="n">
        <v>46085.84549768519</v>
      </c>
      <c r="C115" s="1" t="n">
        <v>46094</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3836-2026</t>
        </is>
      </c>
      <c r="B116" s="1" t="n">
        <v>46043.5925</v>
      </c>
      <c r="C116" s="1" t="n">
        <v>46094</v>
      </c>
      <c r="D116" t="inlineStr">
        <is>
          <t>UPPSALA LÄN</t>
        </is>
      </c>
      <c r="E116" t="inlineStr">
        <is>
          <t>KNIVSTA</t>
        </is>
      </c>
      <c r="G116" t="n">
        <v>3.7</v>
      </c>
      <c r="H116" t="n">
        <v>0</v>
      </c>
      <c r="I116" t="n">
        <v>0</v>
      </c>
      <c r="J116" t="n">
        <v>0</v>
      </c>
      <c r="K116" t="n">
        <v>0</v>
      </c>
      <c r="L116" t="n">
        <v>0</v>
      </c>
      <c r="M116" t="n">
        <v>0</v>
      </c>
      <c r="N116" t="n">
        <v>0</v>
      </c>
      <c r="O116" t="n">
        <v>0</v>
      </c>
      <c r="P116" t="n">
        <v>0</v>
      </c>
      <c r="Q116" t="n">
        <v>0</v>
      </c>
      <c r="R116" s="2" t="inlineStr"/>
    </row>
    <row r="117" ht="15" customHeight="1">
      <c r="A117" t="inlineStr">
        <is>
          <t>A 3375-2026</t>
        </is>
      </c>
      <c r="B117" s="1" t="n">
        <v>46042</v>
      </c>
      <c r="C117" s="1" t="n">
        <v>46094</v>
      </c>
      <c r="D117" t="inlineStr">
        <is>
          <t>UPPSALA LÄN</t>
        </is>
      </c>
      <c r="E117" t="inlineStr">
        <is>
          <t>KNIVSTA</t>
        </is>
      </c>
      <c r="G117" t="n">
        <v>1.9</v>
      </c>
      <c r="H117" t="n">
        <v>0</v>
      </c>
      <c r="I117" t="n">
        <v>0</v>
      </c>
      <c r="J117" t="n">
        <v>0</v>
      </c>
      <c r="K117" t="n">
        <v>0</v>
      </c>
      <c r="L117" t="n">
        <v>0</v>
      </c>
      <c r="M117" t="n">
        <v>0</v>
      </c>
      <c r="N117" t="n">
        <v>0</v>
      </c>
      <c r="O117" t="n">
        <v>0</v>
      </c>
      <c r="P117" t="n">
        <v>0</v>
      </c>
      <c r="Q117" t="n">
        <v>0</v>
      </c>
      <c r="R117" s="2" t="inlineStr"/>
    </row>
    <row r="118" ht="15" customHeight="1">
      <c r="A118" t="inlineStr">
        <is>
          <t>A 12774-2026</t>
        </is>
      </c>
      <c r="B118" s="1" t="n">
        <v>46091.70140046296</v>
      </c>
      <c r="C118" s="1" t="n">
        <v>46094</v>
      </c>
      <c r="D118" t="inlineStr">
        <is>
          <t>UPPSALA LÄN</t>
        </is>
      </c>
      <c r="E118" t="inlineStr">
        <is>
          <t>KNIVSTA</t>
        </is>
      </c>
      <c r="F118" t="inlineStr">
        <is>
          <t>Holmen skog AB</t>
        </is>
      </c>
      <c r="G118" t="n">
        <v>3.3</v>
      </c>
      <c r="H118" t="n">
        <v>0</v>
      </c>
      <c r="I118" t="n">
        <v>0</v>
      </c>
      <c r="J118" t="n">
        <v>0</v>
      </c>
      <c r="K118" t="n">
        <v>0</v>
      </c>
      <c r="L118" t="n">
        <v>0</v>
      </c>
      <c r="M118" t="n">
        <v>0</v>
      </c>
      <c r="N118" t="n">
        <v>0</v>
      </c>
      <c r="O118" t="n">
        <v>0</v>
      </c>
      <c r="P118" t="n">
        <v>0</v>
      </c>
      <c r="Q118" t="n">
        <v>0</v>
      </c>
      <c r="R118" s="2" t="inlineStr"/>
    </row>
    <row r="119" ht="15" customHeight="1">
      <c r="A119" t="inlineStr">
        <is>
          <t>A 13001-2026</t>
        </is>
      </c>
      <c r="B119" s="1" t="n">
        <v>46092.68502314815</v>
      </c>
      <c r="C119" s="1" t="n">
        <v>46094</v>
      </c>
      <c r="D119" t="inlineStr">
        <is>
          <t>UPPSALA LÄN</t>
        </is>
      </c>
      <c r="E119" t="inlineStr">
        <is>
          <t>KNIVSTA</t>
        </is>
      </c>
      <c r="F119" t="inlineStr">
        <is>
          <t>Holmen skog AB</t>
        </is>
      </c>
      <c r="G119" t="n">
        <v>2.9</v>
      </c>
      <c r="H119" t="n">
        <v>0</v>
      </c>
      <c r="I119" t="n">
        <v>0</v>
      </c>
      <c r="J119" t="n">
        <v>0</v>
      </c>
      <c r="K119" t="n">
        <v>0</v>
      </c>
      <c r="L119" t="n">
        <v>0</v>
      </c>
      <c r="M119" t="n">
        <v>0</v>
      </c>
      <c r="N119" t="n">
        <v>0</v>
      </c>
      <c r="O119" t="n">
        <v>0</v>
      </c>
      <c r="P119" t="n">
        <v>0</v>
      </c>
      <c r="Q119" t="n">
        <v>0</v>
      </c>
      <c r="R119" s="2" t="inlineStr"/>
    </row>
    <row r="120" ht="15" customHeight="1">
      <c r="A120" t="inlineStr">
        <is>
          <t>A 13002-2026</t>
        </is>
      </c>
      <c r="B120" s="1" t="n">
        <v>46092.68854166667</v>
      </c>
      <c r="C120" s="1" t="n">
        <v>46094</v>
      </c>
      <c r="D120" t="inlineStr">
        <is>
          <t>UPPSALA LÄN</t>
        </is>
      </c>
      <c r="E120" t="inlineStr">
        <is>
          <t>KNIVSTA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13004-2026</t>
        </is>
      </c>
      <c r="B121" s="1" t="n">
        <v>46092.68935185186</v>
      </c>
      <c r="C121" s="1" t="n">
        <v>46094</v>
      </c>
      <c r="D121" t="inlineStr">
        <is>
          <t>UPPSALA LÄN</t>
        </is>
      </c>
      <c r="E121" t="inlineStr">
        <is>
          <t>KNIVSTA</t>
        </is>
      </c>
      <c r="F121" t="inlineStr">
        <is>
          <t>Holmen skog AB</t>
        </is>
      </c>
      <c r="G121" t="n">
        <v>7.8</v>
      </c>
      <c r="H121" t="n">
        <v>0</v>
      </c>
      <c r="I121" t="n">
        <v>0</v>
      </c>
      <c r="J121" t="n">
        <v>0</v>
      </c>
      <c r="K121" t="n">
        <v>0</v>
      </c>
      <c r="L121" t="n">
        <v>0</v>
      </c>
      <c r="M121" t="n">
        <v>0</v>
      </c>
      <c r="N121" t="n">
        <v>0</v>
      </c>
      <c r="O121" t="n">
        <v>0</v>
      </c>
      <c r="P121" t="n">
        <v>0</v>
      </c>
      <c r="Q121" t="n">
        <v>0</v>
      </c>
      <c r="R121" s="2" t="inlineStr"/>
    </row>
    <row r="122" ht="15" customHeight="1">
      <c r="A122" t="inlineStr">
        <is>
          <t>A 12991-2026</t>
        </is>
      </c>
      <c r="B122" s="1" t="n">
        <v>46092.66820601852</v>
      </c>
      <c r="C122" s="1" t="n">
        <v>46094</v>
      </c>
      <c r="D122" t="inlineStr">
        <is>
          <t>UPPSALA LÄN</t>
        </is>
      </c>
      <c r="E122" t="inlineStr">
        <is>
          <t>KNIVSTA</t>
        </is>
      </c>
      <c r="F122" t="inlineStr">
        <is>
          <t>Holmen skog AB</t>
        </is>
      </c>
      <c r="G122" t="n">
        <v>4.6</v>
      </c>
      <c r="H122" t="n">
        <v>0</v>
      </c>
      <c r="I122" t="n">
        <v>0</v>
      </c>
      <c r="J122" t="n">
        <v>0</v>
      </c>
      <c r="K122" t="n">
        <v>0</v>
      </c>
      <c r="L122" t="n">
        <v>0</v>
      </c>
      <c r="M122" t="n">
        <v>0</v>
      </c>
      <c r="N122" t="n">
        <v>0</v>
      </c>
      <c r="O122" t="n">
        <v>0</v>
      </c>
      <c r="P122" t="n">
        <v>0</v>
      </c>
      <c r="Q122" t="n">
        <v>0</v>
      </c>
      <c r="R122" s="2" t="inlineStr"/>
    </row>
    <row r="123" ht="15" customHeight="1">
      <c r="A123" t="inlineStr">
        <is>
          <t>A 13011-2026</t>
        </is>
      </c>
      <c r="B123" s="1" t="n">
        <v>46092.71887731482</v>
      </c>
      <c r="C123" s="1" t="n">
        <v>46094</v>
      </c>
      <c r="D123" t="inlineStr">
        <is>
          <t>UPPSALA LÄN</t>
        </is>
      </c>
      <c r="E123" t="inlineStr">
        <is>
          <t>KNIVSTA</t>
        </is>
      </c>
      <c r="F123" t="inlineStr">
        <is>
          <t>Holmen skog AB</t>
        </is>
      </c>
      <c r="G123" t="n">
        <v>1.9</v>
      </c>
      <c r="H123" t="n">
        <v>0</v>
      </c>
      <c r="I123" t="n">
        <v>0</v>
      </c>
      <c r="J123" t="n">
        <v>0</v>
      </c>
      <c r="K123" t="n">
        <v>0</v>
      </c>
      <c r="L123" t="n">
        <v>0</v>
      </c>
      <c r="M123" t="n">
        <v>0</v>
      </c>
      <c r="N123" t="n">
        <v>0</v>
      </c>
      <c r="O123" t="n">
        <v>0</v>
      </c>
      <c r="P123" t="n">
        <v>0</v>
      </c>
      <c r="Q123" t="n">
        <v>0</v>
      </c>
      <c r="R123" s="2" t="inlineStr"/>
    </row>
    <row r="124" ht="15" customHeight="1">
      <c r="A124" t="inlineStr">
        <is>
          <t>A 12958-2026</t>
        </is>
      </c>
      <c r="B124" s="1" t="n">
        <v>46092.63871527778</v>
      </c>
      <c r="C124" s="1" t="n">
        <v>46094</v>
      </c>
      <c r="D124" t="inlineStr">
        <is>
          <t>UPPSALA LÄN</t>
        </is>
      </c>
      <c r="E124" t="inlineStr">
        <is>
          <t>KNIVSTA</t>
        </is>
      </c>
      <c r="F124" t="inlineStr">
        <is>
          <t>Holmen skog AB</t>
        </is>
      </c>
      <c r="G124" t="n">
        <v>3.8</v>
      </c>
      <c r="H124" t="n">
        <v>0</v>
      </c>
      <c r="I124" t="n">
        <v>0</v>
      </c>
      <c r="J124" t="n">
        <v>0</v>
      </c>
      <c r="K124" t="n">
        <v>0</v>
      </c>
      <c r="L124" t="n">
        <v>0</v>
      </c>
      <c r="M124" t="n">
        <v>0</v>
      </c>
      <c r="N124" t="n">
        <v>0</v>
      </c>
      <c r="O124" t="n">
        <v>0</v>
      </c>
      <c r="P124" t="n">
        <v>0</v>
      </c>
      <c r="Q124" t="n">
        <v>0</v>
      </c>
      <c r="R124" s="2" t="inlineStr"/>
    </row>
    <row r="125" ht="15" customHeight="1">
      <c r="A125" t="inlineStr">
        <is>
          <t>A 13005-2026</t>
        </is>
      </c>
      <c r="B125" s="1" t="n">
        <v>46092.69429398148</v>
      </c>
      <c r="C125" s="1" t="n">
        <v>46094</v>
      </c>
      <c r="D125" t="inlineStr">
        <is>
          <t>UPPSALA LÄN</t>
        </is>
      </c>
      <c r="E125" t="inlineStr">
        <is>
          <t>KNIVSTA</t>
        </is>
      </c>
      <c r="F125" t="inlineStr">
        <is>
          <t>Holmen skog AB</t>
        </is>
      </c>
      <c r="G125" t="n">
        <v>3</v>
      </c>
      <c r="H125" t="n">
        <v>0</v>
      </c>
      <c r="I125" t="n">
        <v>0</v>
      </c>
      <c r="J125" t="n">
        <v>0</v>
      </c>
      <c r="K125" t="n">
        <v>0</v>
      </c>
      <c r="L125" t="n">
        <v>0</v>
      </c>
      <c r="M125" t="n">
        <v>0</v>
      </c>
      <c r="N125" t="n">
        <v>0</v>
      </c>
      <c r="O125" t="n">
        <v>0</v>
      </c>
      <c r="P125" t="n">
        <v>0</v>
      </c>
      <c r="Q125" t="n">
        <v>0</v>
      </c>
      <c r="R125" s="2" t="inlineStr"/>
    </row>
    <row r="126" ht="15" customHeight="1">
      <c r="A126" t="inlineStr">
        <is>
          <t>A 13016-2026</t>
        </is>
      </c>
      <c r="B126" s="1" t="n">
        <v>46092.73381944445</v>
      </c>
      <c r="C126" s="1" t="n">
        <v>46094</v>
      </c>
      <c r="D126" t="inlineStr">
        <is>
          <t>UPPSALA LÄN</t>
        </is>
      </c>
      <c r="E126" t="inlineStr">
        <is>
          <t>KNIVSTA</t>
        </is>
      </c>
      <c r="F126" t="inlineStr">
        <is>
          <t>Holmen skog AB</t>
        </is>
      </c>
      <c r="G126" t="n">
        <v>1.5</v>
      </c>
      <c r="H126" t="n">
        <v>0</v>
      </c>
      <c r="I126" t="n">
        <v>0</v>
      </c>
      <c r="J126" t="n">
        <v>0</v>
      </c>
      <c r="K126" t="n">
        <v>0</v>
      </c>
      <c r="L126" t="n">
        <v>0</v>
      </c>
      <c r="M126" t="n">
        <v>0</v>
      </c>
      <c r="N126" t="n">
        <v>0</v>
      </c>
      <c r="O126" t="n">
        <v>0</v>
      </c>
      <c r="P126" t="n">
        <v>0</v>
      </c>
      <c r="Q126" t="n">
        <v>0</v>
      </c>
      <c r="R126" s="2" t="inlineStr"/>
    </row>
    <row r="127">
      <c r="A127" t="inlineStr">
        <is>
          <t>A 13013-2026</t>
        </is>
      </c>
      <c r="B127" s="1" t="n">
        <v>46092.7271412037</v>
      </c>
      <c r="C127" s="1" t="n">
        <v>46094</v>
      </c>
      <c r="D127" t="inlineStr">
        <is>
          <t>UPPSALA LÄN</t>
        </is>
      </c>
      <c r="E127" t="inlineStr">
        <is>
          <t>KNIVSTA</t>
        </is>
      </c>
      <c r="F127" t="inlineStr">
        <is>
          <t>Holmen skog AB</t>
        </is>
      </c>
      <c r="G127" t="n">
        <v>4.6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2026-03-13T11:16:10Z</dcterms:created>
  <dcterms:modified xmlns:dcterms="http://purl.org/dc/terms/" xmlns:xsi="http://www.w3.org/2001/XMLSchema-instance" xsi:type="dcterms:W3CDTF">2026-03-13T11:16:10Z</dcterms:modified>
</cp:coreProperties>
</file>