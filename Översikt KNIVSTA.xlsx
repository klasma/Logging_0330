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46322</v>
      </c>
      <c r="F2" t="inlineStr">
        <is>
          <t>UPPSALA LÄN</t>
        </is>
      </c>
      <c r="G2" t="inlineStr">
        <is>
          <t>KNIVSTA</t>
        </is>
      </c>
      <c r="I2" t="n">
        <v>14.4</v>
      </c>
      <c r="J2" t="n">
        <v>8</v>
      </c>
      <c r="K2" t="n">
        <v>14</v>
      </c>
      <c r="L2" t="n">
        <v>15</v>
      </c>
      <c r="M2" t="n">
        <v>4</v>
      </c>
      <c r="N2" t="n">
        <v>3</v>
      </c>
      <c r="O2" t="n">
        <v>0</v>
      </c>
      <c r="P2" t="n">
        <v>0</v>
      </c>
      <c r="Q2" t="n">
        <v>22</v>
      </c>
      <c r="R2" t="n">
        <v>7</v>
      </c>
      <c r="S2" t="n">
        <v>41</v>
      </c>
      <c r="T2" t="n">
        <v>132</v>
      </c>
      <c r="U2" t="n">
        <v>125</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Granbarkgnagare
Grovticka
Gullgröppa
Korallblylav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46322</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46322</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46322</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46322</v>
      </c>
      <c r="F6" t="inlineStr">
        <is>
          <t>UPPSALA LÄN</t>
        </is>
      </c>
      <c r="G6" t="inlineStr">
        <is>
          <t>KNIVSTA</t>
        </is>
      </c>
      <c r="I6" t="n">
        <v>0.7</v>
      </c>
      <c r="J6" t="n">
        <v>1</v>
      </c>
      <c r="K6" t="n">
        <v>9</v>
      </c>
      <c r="L6" t="n">
        <v>6</v>
      </c>
      <c r="M6" t="n">
        <v>3</v>
      </c>
      <c r="N6" t="n">
        <v>0</v>
      </c>
      <c r="O6" t="n">
        <v>0</v>
      </c>
      <c r="P6" t="n">
        <v>0</v>
      </c>
      <c r="Q6" t="n">
        <v>9</v>
      </c>
      <c r="R6" t="n">
        <v>3</v>
      </c>
      <c r="S6" t="n">
        <v>19</v>
      </c>
      <c r="T6" t="n">
        <v>34</v>
      </c>
      <c r="U6" t="n">
        <v>11</v>
      </c>
      <c r="V6" s="2" t="inlineStr">
        <is>
          <t>Apelticka
Aspfjädermossa
Kärnticka
Blastenia relicta
Grönhjon
Kandelabersvamp
Koralltaggsvamp
Lunglav
Ullticka
Bronshjon
Bårdlav
Dvärgtufs
Granbarkgnagare
Platt fjädermossa
Rävticka
Stekelbock
Stor aspticka
Thomsons trägnagare
Vanlig padda</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46322</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46322</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35395-2026</t>
        </is>
      </c>
      <c r="B9" t="inlineStr">
        <is>
          <t>avverkningsanmälan</t>
        </is>
      </c>
      <c r="C9" t="inlineStr">
        <is>
          <t>Föryngringsavverkning</t>
        </is>
      </c>
      <c r="D9" s="1" t="n">
        <v>46261</v>
      </c>
      <c r="E9" s="1" t="n">
        <v>46322</v>
      </c>
      <c r="F9" t="inlineStr">
        <is>
          <t>UPPSALA LÄN</t>
        </is>
      </c>
      <c r="G9" t="inlineStr">
        <is>
          <t>KNIVSTA</t>
        </is>
      </c>
      <c r="H9" t="inlineStr">
        <is>
          <t>Holmen skog AB</t>
        </is>
      </c>
      <c r="I9" t="n">
        <v>7.4</v>
      </c>
      <c r="J9" t="n">
        <v>2</v>
      </c>
      <c r="K9" t="n">
        <v>5</v>
      </c>
      <c r="L9" t="n">
        <v>4</v>
      </c>
      <c r="M9" t="n">
        <v>0</v>
      </c>
      <c r="N9" t="n">
        <v>0</v>
      </c>
      <c r="O9" t="n">
        <v>0</v>
      </c>
      <c r="P9" t="n">
        <v>0</v>
      </c>
      <c r="Q9" t="n">
        <v>4</v>
      </c>
      <c r="R9" t="n">
        <v>0</v>
      </c>
      <c r="S9" t="n">
        <v>12</v>
      </c>
      <c r="T9" t="n">
        <v>22</v>
      </c>
      <c r="U9" t="n">
        <v>22</v>
      </c>
      <c r="V9" s="2" t="inlineStr">
        <is>
          <t>Motaggsvamp
Spinnfingersvamp
Tallkötticka
Ullticka
Björksplintborre
Blodticka
Brandticka
Fällmossa
Vedticka
Kransmossa
Tjäder
Tofsmes</t>
        </is>
      </c>
      <c r="W9">
        <f>HYPERLINK("https://klasma.github.io/Logging_0330/artfynd/A 35395-2026 artfynd.xlsx", "A 35395-2026")</f>
        <v/>
      </c>
      <c r="X9">
        <f>HYPERLINK("https://klasma.github.io/Logging_0330/kartor/A 35395-2026 karta.png", "A 35395-2026")</f>
        <v/>
      </c>
      <c r="Y9">
        <f>HYPERLINK("https://klasma.github.io/Logging_0330/kartor_geotiff/A 35395-2026 georefererad karta.tif", "A 35395-2026")</f>
        <v/>
      </c>
      <c r="AA9">
        <f>HYPERLINK("https://klasma.github.io/Logging_0330/klagomål/A 35395-2026 FSC-klagomål.docx", "A 35395-2026")</f>
        <v/>
      </c>
      <c r="AB9">
        <f>HYPERLINK("https://klasma.github.io/Logging_0330/klagomålsmail/A 35395-2026 FSC-klagomål mail.docx", "A 35395-2026")</f>
        <v/>
      </c>
      <c r="AC9">
        <f>HYPERLINK("https://klasma.github.io/Logging_0330/tillsyn/A 35395-2026 tillsynsbegäran.docx", "A 35395-2026")</f>
        <v/>
      </c>
      <c r="AD9">
        <f>HYPERLINK("https://klasma.github.io/Logging_0330/tillsynsmail/A 35395-2026 tillsynsbegäran mail.docx", "A 35395-2026")</f>
        <v/>
      </c>
      <c r="AE9">
        <f>HYPERLINK("https://klasma.github.io/Logging_0330/fåglar/A 35395-2026 prioriterade fågelarter.docx", "A 35395-2026")</f>
        <v/>
      </c>
    </row>
    <row r="10" ht="15" customHeight="1">
      <c r="A10" t="inlineStr">
        <is>
          <t>A 2214-2026</t>
        </is>
      </c>
      <c r="B10" t="inlineStr">
        <is>
          <t>avverkningsanmälan</t>
        </is>
      </c>
      <c r="C10" t="inlineStr">
        <is>
          <t>Avverkning för annat ändamål</t>
        </is>
      </c>
      <c r="D10" s="1" t="n">
        <v>46036</v>
      </c>
      <c r="E10" s="1" t="n">
        <v>46322</v>
      </c>
      <c r="F10" t="inlineStr">
        <is>
          <t>UPPSALA LÄN</t>
        </is>
      </c>
      <c r="G10" t="inlineStr">
        <is>
          <t>KNIVSTA</t>
        </is>
      </c>
      <c r="I10" t="n">
        <v>4.4</v>
      </c>
      <c r="J10" t="n">
        <v>2</v>
      </c>
      <c r="K10" t="n">
        <v>1</v>
      </c>
      <c r="L10" t="n">
        <v>5</v>
      </c>
      <c r="M10" t="n">
        <v>1</v>
      </c>
      <c r="N10" t="n">
        <v>0</v>
      </c>
      <c r="O10" t="n">
        <v>0</v>
      </c>
      <c r="P10" t="n">
        <v>0</v>
      </c>
      <c r="Q10" t="n">
        <v>6</v>
      </c>
      <c r="R10" t="n">
        <v>1</v>
      </c>
      <c r="S10" t="n">
        <v>8</v>
      </c>
      <c r="T10" t="n">
        <v>19</v>
      </c>
      <c r="U10" t="n">
        <v>9</v>
      </c>
      <c r="V10" s="2" t="inlineStr">
        <is>
          <t>Knärot
Dropptaggsvamp
Motaggsvamp
Tallticka
Ullticka
Vintertagging
Blomkålssvamp
Fläcknycklar</t>
        </is>
      </c>
      <c r="W10">
        <f>HYPERLINK("https://klasma.github.io/Logging_0330/artfynd/A 2214-2026 artfynd.xlsx", "A 2214-2026")</f>
        <v/>
      </c>
      <c r="X10">
        <f>HYPERLINK("https://klasma.github.io/Logging_0330/kartor/A 2214-2026 karta.png", "A 2214-2026")</f>
        <v/>
      </c>
      <c r="Y10">
        <f>HYPERLINK("https://klasma.github.io/Logging_0330/kartor_geotiff/A 2214-2026 georefererad karta.tif", "A 2214-2026")</f>
        <v/>
      </c>
      <c r="Z10">
        <f>HYPERLINK("https://klasma.github.io/Logging_0330/knärot/A 2214-2026 karta knärot.png", "A 2214-2026")</f>
        <v/>
      </c>
      <c r="AA10">
        <f>HYPERLINK("https://klasma.github.io/Logging_0330/klagomål/A 2214-2026 FSC-klagomål.docx", "A 2214-2026")</f>
        <v/>
      </c>
      <c r="AB10">
        <f>HYPERLINK("https://klasma.github.io/Logging_0330/klagomålsmail/A 2214-2026 FSC-klagomål mail.docx", "A 2214-2026")</f>
        <v/>
      </c>
      <c r="AC10">
        <f>HYPERLINK("https://klasma.github.io/Logging_0330/tillsyn/A 2214-2026 tillsynsbegäran.docx", "A 2214-2026")</f>
        <v/>
      </c>
      <c r="AD10">
        <f>HYPERLINK("https://klasma.github.io/Logging_0330/tillsynsmail/A 2214-2026 tillsynsbegäran mail.docx", "A 2214-2026")</f>
        <v/>
      </c>
    </row>
    <row r="11" ht="15" customHeight="1">
      <c r="A11" t="inlineStr">
        <is>
          <t>S 4597-2022</t>
        </is>
      </c>
      <c r="B11" t="inlineStr">
        <is>
          <t>samrådsanmälan</t>
        </is>
      </c>
      <c r="C11" t="inlineStr">
        <is>
          <t>Annan skogsbruksåtgärd</t>
        </is>
      </c>
      <c r="D11" s="1" t="n">
        <v>44791</v>
      </c>
      <c r="E11" s="1" t="n">
        <v>46322</v>
      </c>
      <c r="F11" t="inlineStr">
        <is>
          <t>UPPSALA LÄN</t>
        </is>
      </c>
      <c r="G11" t="inlineStr">
        <is>
          <t>KNIVSTA</t>
        </is>
      </c>
      <c r="H11" t="inlineStr">
        <is>
          <t>Övriga statliga verk och myndigheter</t>
        </is>
      </c>
      <c r="I11" t="n">
        <v>30.1</v>
      </c>
      <c r="J11" t="n">
        <v>3</v>
      </c>
      <c r="K11" t="n">
        <v>0</v>
      </c>
      <c r="L11" t="n">
        <v>2</v>
      </c>
      <c r="M11" t="n">
        <v>1</v>
      </c>
      <c r="N11" t="n">
        <v>1</v>
      </c>
      <c r="O11" t="n">
        <v>0</v>
      </c>
      <c r="P11" t="n">
        <v>0</v>
      </c>
      <c r="Q11" t="n">
        <v>4</v>
      </c>
      <c r="R11" t="n">
        <v>2</v>
      </c>
      <c r="S11" t="n">
        <v>7</v>
      </c>
      <c r="T11" t="n">
        <v>7</v>
      </c>
      <c r="U11" t="n">
        <v>3</v>
      </c>
      <c r="V11" s="2" t="inlineStr">
        <is>
          <t>Franstandad barkskinnbagge
Skrovlig taggsvamp
Bronspraktbagge
Tallticka
Järpe
Havsörn
Fläcknycklar</t>
        </is>
      </c>
      <c r="W11">
        <f>HYPERLINK("https://klasma.github.io/Logging_0330/artfynd/S 4597-2022 artfynd.xlsx", "S 4597-2022")</f>
        <v/>
      </c>
      <c r="X11">
        <f>HYPERLINK("https://klasma.github.io/Logging_0330/kartor/S 4597-2022 karta.png", "S 4597-2022")</f>
        <v/>
      </c>
      <c r="Y11">
        <f>HYPERLINK("https://klasma.github.io/Logging_0330/kartor_geotiff/S 4597-2022 georefererad karta.tif", "S 4597-2022")</f>
        <v/>
      </c>
      <c r="AA11">
        <f>HYPERLINK("https://klasma.github.io/Logging_0330/klagomål/S 4597-2022 FSC-klagomål.docx", "S 4597-2022")</f>
        <v/>
      </c>
      <c r="AB11">
        <f>HYPERLINK("https://klasma.github.io/Logging_0330/klagomålsmail/S 4597-2022 FSC-klagomål mail.docx", "S 4597-2022")</f>
        <v/>
      </c>
      <c r="AC11">
        <f>HYPERLINK("https://klasma.github.io/Logging_0330/tillsyn/S 4597-2022 tillsynsbegäran.docx", "S 4597-2022")</f>
        <v/>
      </c>
      <c r="AD11">
        <f>HYPERLINK("https://klasma.github.io/Logging_0330/tillsynsmail/S 4597-2022 tillsynsbegäran mail.docx", "S 4597-2022")</f>
        <v/>
      </c>
      <c r="AE11">
        <f>HYPERLINK("https://klasma.github.io/Logging_0330/fåglar/S 4597-2022 prioriterade fågelarter.docx", "S 4597-2022")</f>
        <v/>
      </c>
    </row>
    <row r="12" ht="15" customHeight="1">
      <c r="A12" t="inlineStr">
        <is>
          <t>S 3400-2025</t>
        </is>
      </c>
      <c r="B12" t="inlineStr">
        <is>
          <t>samrådsanmälan</t>
        </is>
      </c>
      <c r="C12" t="inlineStr">
        <is>
          <t>Skogsgödsling</t>
        </is>
      </c>
      <c r="D12" s="1" t="n">
        <v>45994</v>
      </c>
      <c r="E12" s="1" t="n">
        <v>46322</v>
      </c>
      <c r="F12" t="inlineStr">
        <is>
          <t>UPPSALA LÄN</t>
        </is>
      </c>
      <c r="G12" t="inlineStr">
        <is>
          <t>KNIVSTA</t>
        </is>
      </c>
      <c r="H12" t="inlineStr">
        <is>
          <t>Holmen skog AB</t>
        </is>
      </c>
      <c r="I12" t="n">
        <v>158.5</v>
      </c>
      <c r="J12" t="n">
        <v>1</v>
      </c>
      <c r="K12" t="n">
        <v>4</v>
      </c>
      <c r="L12" t="n">
        <v>0</v>
      </c>
      <c r="M12" t="n">
        <v>1</v>
      </c>
      <c r="N12" t="n">
        <v>0</v>
      </c>
      <c r="O12" t="n">
        <v>0</v>
      </c>
      <c r="P12" t="n">
        <v>0</v>
      </c>
      <c r="Q12" t="n">
        <v>1</v>
      </c>
      <c r="R12" t="n">
        <v>1</v>
      </c>
      <c r="S12" t="n">
        <v>6</v>
      </c>
      <c r="T12" t="n">
        <v>7</v>
      </c>
      <c r="U12" t="n">
        <v>0</v>
      </c>
      <c r="V12" s="2" t="inlineStr">
        <is>
          <t>Mindre bastardsvärmare
Grönpyrola
Ljus vedstrit
Mörk vedstrit
Vanlig flatbagge
Tjäder</t>
        </is>
      </c>
      <c r="W12">
        <f>HYPERLINK("https://klasma.github.io/Logging_0330/artfynd/S 3400-2025 artfynd.xlsx", "S 3400-2025")</f>
        <v/>
      </c>
      <c r="X12">
        <f>HYPERLINK("https://klasma.github.io/Logging_0330/kartor/S 3400-2025 karta.png", "S 3400-2025")</f>
        <v/>
      </c>
      <c r="Y12">
        <f>HYPERLINK("https://klasma.github.io/Logging_0330/kartor_geotiff/S 3400-2025 georefererad karta.tif", "S 3400-2025")</f>
        <v/>
      </c>
      <c r="AA12">
        <f>HYPERLINK("https://klasma.github.io/Logging_0330/klagomål/S 3400-2025 FSC-klagomål.docx", "S 3400-2025")</f>
        <v/>
      </c>
      <c r="AB12">
        <f>HYPERLINK("https://klasma.github.io/Logging_0330/klagomålsmail/S 3400-2025 FSC-klagomål mail.docx", "S 3400-2025")</f>
        <v/>
      </c>
      <c r="AC12">
        <f>HYPERLINK("https://klasma.github.io/Logging_0330/tillsyn/S 3400-2025 tillsynsbegäran.docx", "S 3400-2025")</f>
        <v/>
      </c>
      <c r="AD12">
        <f>HYPERLINK("https://klasma.github.io/Logging_0330/tillsynsmail/S 3400-2025 tillsynsbegäran mail.docx", "S 3400-2025")</f>
        <v/>
      </c>
      <c r="AE12">
        <f>HYPERLINK("https://klasma.github.io/Logging_0330/fåglar/S 3400-2025 prioriterade fågelarter.docx", "S 3400-2025")</f>
        <v/>
      </c>
    </row>
    <row r="13" ht="15" customHeight="1">
      <c r="A13" t="inlineStr">
        <is>
          <t>A 12958-2026</t>
        </is>
      </c>
      <c r="B13" t="inlineStr">
        <is>
          <t>avverkningsanmälan</t>
        </is>
      </c>
      <c r="C13" t="inlineStr">
        <is>
          <t>Föryngringsavverkning</t>
        </is>
      </c>
      <c r="D13" s="1" t="n">
        <v>46092</v>
      </c>
      <c r="E13" s="1" t="n">
        <v>46322</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34604-2026</t>
        </is>
      </c>
      <c r="B14" t="inlineStr">
        <is>
          <t>avverkningsanmälan</t>
        </is>
      </c>
      <c r="C14" t="inlineStr">
        <is>
          <t>Föryngringsavverkning</t>
        </is>
      </c>
      <c r="D14" s="1" t="n">
        <v>46255</v>
      </c>
      <c r="E14" s="1" t="n">
        <v>46322</v>
      </c>
      <c r="F14" t="inlineStr">
        <is>
          <t>UPPSALA LÄN</t>
        </is>
      </c>
      <c r="G14" t="inlineStr">
        <is>
          <t>KNIVSTA</t>
        </is>
      </c>
      <c r="H14" t="inlineStr">
        <is>
          <t>Holmen skog AB</t>
        </is>
      </c>
      <c r="I14" t="n">
        <v>7.6</v>
      </c>
      <c r="J14" t="n">
        <v>3</v>
      </c>
      <c r="K14" t="n">
        <v>0</v>
      </c>
      <c r="L14" t="n">
        <v>1</v>
      </c>
      <c r="M14" t="n">
        <v>0</v>
      </c>
      <c r="N14" t="n">
        <v>0</v>
      </c>
      <c r="O14" t="n">
        <v>0</v>
      </c>
      <c r="P14" t="n">
        <v>0</v>
      </c>
      <c r="Q14" t="n">
        <v>1</v>
      </c>
      <c r="R14" t="n">
        <v>0</v>
      </c>
      <c r="S14" t="n">
        <v>5</v>
      </c>
      <c r="T14" t="n">
        <v>11</v>
      </c>
      <c r="U14" t="n">
        <v>11</v>
      </c>
      <c r="V14" s="2" t="inlineStr">
        <is>
          <t>Motaggsvamp
Blåsippa
Kransmossa
Tjäder
Lopplummer (aggregat)</t>
        </is>
      </c>
      <c r="W14">
        <f>HYPERLINK("https://klasma.github.io/Logging_0330/artfynd/A 34604-2026 artfynd.xlsx", "A 34604-2026")</f>
        <v/>
      </c>
      <c r="X14">
        <f>HYPERLINK("https://klasma.github.io/Logging_0330/kartor/A 34604-2026 karta.png", "A 34604-2026")</f>
        <v/>
      </c>
      <c r="Y14">
        <f>HYPERLINK("https://klasma.github.io/Logging_0330/kartor_geotiff/A 34604-2026 georefererad karta.tif", "A 34604-2026")</f>
        <v/>
      </c>
      <c r="AA14">
        <f>HYPERLINK("https://klasma.github.io/Logging_0330/klagomål/A 34604-2026 FSC-klagomål.docx", "A 34604-2026")</f>
        <v/>
      </c>
      <c r="AB14">
        <f>HYPERLINK("https://klasma.github.io/Logging_0330/klagomålsmail/A 34604-2026 FSC-klagomål mail.docx", "A 34604-2026")</f>
        <v/>
      </c>
      <c r="AC14">
        <f>HYPERLINK("https://klasma.github.io/Logging_0330/tillsyn/A 34604-2026 tillsynsbegäran.docx", "A 34604-2026")</f>
        <v/>
      </c>
      <c r="AD14">
        <f>HYPERLINK("https://klasma.github.io/Logging_0330/tillsynsmail/A 34604-2026 tillsynsbegäran mail.docx", "A 34604-2026")</f>
        <v/>
      </c>
      <c r="AE14">
        <f>HYPERLINK("https://klasma.github.io/Logging_0330/fåglar/A 34604-2026 prioriterade fågelarter.docx", "A 34604-2026")</f>
        <v/>
      </c>
    </row>
    <row r="15" ht="15" customHeight="1">
      <c r="A15" t="inlineStr">
        <is>
          <t>A 17101-2023</t>
        </is>
      </c>
      <c r="B15" t="inlineStr">
        <is>
          <t>avverkningsanmälan</t>
        </is>
      </c>
      <c r="C15" t="inlineStr">
        <is>
          <t>Föryngringsavverkning</t>
        </is>
      </c>
      <c r="D15" s="1" t="n">
        <v>45034</v>
      </c>
      <c r="E15" s="1" t="n">
        <v>46322</v>
      </c>
      <c r="F15" t="inlineStr">
        <is>
          <t>UPPSALA LÄN</t>
        </is>
      </c>
      <c r="G15" t="inlineStr">
        <is>
          <t>KNIVSTA</t>
        </is>
      </c>
      <c r="I15" t="n">
        <v>4.2</v>
      </c>
      <c r="J15" t="n">
        <v>3</v>
      </c>
      <c r="K15" t="n">
        <v>2</v>
      </c>
      <c r="L15" t="n">
        <v>3</v>
      </c>
      <c r="M15" t="n">
        <v>0</v>
      </c>
      <c r="N15" t="n">
        <v>0</v>
      </c>
      <c r="O15" t="n">
        <v>0</v>
      </c>
      <c r="P15" t="n">
        <v>0</v>
      </c>
      <c r="Q15" t="n">
        <v>3</v>
      </c>
      <c r="R15" t="n">
        <v>0</v>
      </c>
      <c r="S15" t="n">
        <v>5</v>
      </c>
      <c r="T15" t="n">
        <v>5</v>
      </c>
      <c r="U15" t="n">
        <v>4</v>
      </c>
      <c r="V15" s="2" t="inlineStr">
        <is>
          <t>Entita
Mindre hackspett
Ullticka
Grön sköldmossa
Trådticka</t>
        </is>
      </c>
      <c r="W15">
        <f>HYPERLINK("https://klasma.github.io/Logging_0330/artfynd/A 17101-2023 artfynd.xlsx", "A 17101-2023")</f>
        <v/>
      </c>
      <c r="X15">
        <f>HYPERLINK("https://klasma.github.io/Logging_0330/kartor/A 17101-2023 karta.png", "A 17101-2023")</f>
        <v/>
      </c>
      <c r="Y15">
        <f>HYPERLINK("https://klasma.github.io/Logging_0330/kartor_geotiff/A 17101-2023 georefererad karta.tif", "A 17101-2023")</f>
        <v/>
      </c>
      <c r="AA15">
        <f>HYPERLINK("https://klasma.github.io/Logging_0330/klagomål/A 17101-2023 FSC-klagomål.docx", "A 17101-2023")</f>
        <v/>
      </c>
      <c r="AB15">
        <f>HYPERLINK("https://klasma.github.io/Logging_0330/klagomålsmail/A 17101-2023 FSC-klagomål mail.docx", "A 17101-2023")</f>
        <v/>
      </c>
      <c r="AC15">
        <f>HYPERLINK("https://klasma.github.io/Logging_0330/tillsyn/A 17101-2023 tillsynsbegäran.docx", "A 17101-2023")</f>
        <v/>
      </c>
      <c r="AD15">
        <f>HYPERLINK("https://klasma.github.io/Logging_0330/tillsynsmail/A 17101-2023 tillsynsbegäran mail.docx", "A 17101-2023")</f>
        <v/>
      </c>
      <c r="AE15">
        <f>HYPERLINK("https://klasma.github.io/Logging_0330/fåglar/A 17101-2023 prioriterade fågelarter.docx", "A 17101-2023")</f>
        <v/>
      </c>
    </row>
    <row r="16" ht="15" customHeight="1">
      <c r="A16" t="inlineStr">
        <is>
          <t>A 9553-2025</t>
        </is>
      </c>
      <c r="B16" t="inlineStr">
        <is>
          <t>avverkningsanmälan</t>
        </is>
      </c>
      <c r="C16" t="inlineStr">
        <is>
          <t>Föryngringsavverkning</t>
        </is>
      </c>
      <c r="D16" s="1" t="n">
        <v>45715</v>
      </c>
      <c r="E16" s="1" t="n">
        <v>46322</v>
      </c>
      <c r="F16" t="inlineStr">
        <is>
          <t>UPPSALA LÄN</t>
        </is>
      </c>
      <c r="G16" t="inlineStr">
        <is>
          <t>KNIVSTA</t>
        </is>
      </c>
      <c r="I16" t="n">
        <v>3.5</v>
      </c>
      <c r="J16" t="n">
        <v>1</v>
      </c>
      <c r="K16" t="n">
        <v>1</v>
      </c>
      <c r="L16" t="n">
        <v>1</v>
      </c>
      <c r="M16" t="n">
        <v>1</v>
      </c>
      <c r="N16" t="n">
        <v>0</v>
      </c>
      <c r="O16" t="n">
        <v>0</v>
      </c>
      <c r="P16" t="n">
        <v>0</v>
      </c>
      <c r="Q16" t="n">
        <v>2</v>
      </c>
      <c r="R16" t="n">
        <v>1</v>
      </c>
      <c r="S16" t="n">
        <v>4</v>
      </c>
      <c r="T16" t="n">
        <v>5</v>
      </c>
      <c r="U16" t="n">
        <v>1</v>
      </c>
      <c r="V16" s="2" t="inlineStr">
        <is>
          <t>Gulvit blekspik
Veckticka
Fällmossa
Nattviol</t>
        </is>
      </c>
      <c r="W16">
        <f>HYPERLINK("https://klasma.github.io/Logging_0330/artfynd/A 9553-2025 artfynd.xlsx", "A 9553-2025")</f>
        <v/>
      </c>
      <c r="X16">
        <f>HYPERLINK("https://klasma.github.io/Logging_0330/kartor/A 9553-2025 karta.png", "A 9553-2025")</f>
        <v/>
      </c>
      <c r="Y16">
        <f>HYPERLINK("https://klasma.github.io/Logging_0330/kartor_geotiff/A 9553-2025 georefererad karta.tif", "A 9553-2025")</f>
        <v/>
      </c>
      <c r="AA16">
        <f>HYPERLINK("https://klasma.github.io/Logging_0330/klagomål/A 9553-2025 FSC-klagomål.docx", "A 9553-2025")</f>
        <v/>
      </c>
      <c r="AB16">
        <f>HYPERLINK("https://klasma.github.io/Logging_0330/klagomålsmail/A 9553-2025 FSC-klagomål mail.docx", "A 9553-2025")</f>
        <v/>
      </c>
      <c r="AC16">
        <f>HYPERLINK("https://klasma.github.io/Logging_0330/tillsyn/A 9553-2025 tillsynsbegäran.docx", "A 9553-2025")</f>
        <v/>
      </c>
      <c r="AD16">
        <f>HYPERLINK("https://klasma.github.io/Logging_0330/tillsynsmail/A 9553-2025 tillsynsbegäran mail.docx", "A 9553-2025")</f>
        <v/>
      </c>
    </row>
    <row r="17" ht="15" customHeight="1">
      <c r="A17" t="inlineStr">
        <is>
          <t>A 26239-2022</t>
        </is>
      </c>
      <c r="B17" t="inlineStr">
        <is>
          <t>avverkningsanmälan</t>
        </is>
      </c>
      <c r="C17" t="inlineStr">
        <is>
          <t>Föryngringsavverkning</t>
        </is>
      </c>
      <c r="D17" s="1" t="n">
        <v>44735</v>
      </c>
      <c r="E17" s="1" t="n">
        <v>46322</v>
      </c>
      <c r="F17" t="inlineStr">
        <is>
          <t>UPPSALA LÄN</t>
        </is>
      </c>
      <c r="G17" t="inlineStr">
        <is>
          <t>KNIVSTA</t>
        </is>
      </c>
      <c r="I17" t="n">
        <v>4.4</v>
      </c>
      <c r="J17" t="n">
        <v>3</v>
      </c>
      <c r="K17" t="n">
        <v>0</v>
      </c>
      <c r="L17" t="n">
        <v>1</v>
      </c>
      <c r="M17" t="n">
        <v>1</v>
      </c>
      <c r="N17" t="n">
        <v>0</v>
      </c>
      <c r="O17" t="n">
        <v>0</v>
      </c>
      <c r="P17" t="n">
        <v>0</v>
      </c>
      <c r="Q17" t="n">
        <v>2</v>
      </c>
      <c r="R17" t="n">
        <v>1</v>
      </c>
      <c r="S17" t="n">
        <v>3</v>
      </c>
      <c r="T17" t="n">
        <v>4</v>
      </c>
      <c r="U17" t="n">
        <v>4</v>
      </c>
      <c r="V17" s="2" t="inlineStr">
        <is>
          <t>Grönfink
Järnsparv
Grönsiska</t>
        </is>
      </c>
      <c r="W17">
        <f>HYPERLINK("https://klasma.github.io/Logging_0330/artfynd/A 26239-2022 artfynd.xlsx", "A 26239-2022")</f>
        <v/>
      </c>
      <c r="X17">
        <f>HYPERLINK("https://klasma.github.io/Logging_0330/kartor/A 26239-2022 karta.png", "A 26239-2022")</f>
        <v/>
      </c>
      <c r="Y17">
        <f>HYPERLINK("https://klasma.github.io/Logging_0330/kartor_geotiff/A 26239-2022 georefererad karta.tif", "A 26239-2022")</f>
        <v/>
      </c>
      <c r="AA17">
        <f>HYPERLINK("https://klasma.github.io/Logging_0330/klagomål/A 26239-2022 FSC-klagomål.docx", "A 26239-2022")</f>
        <v/>
      </c>
      <c r="AB17">
        <f>HYPERLINK("https://klasma.github.io/Logging_0330/klagomålsmail/A 26239-2022 FSC-klagomål mail.docx", "A 26239-2022")</f>
        <v/>
      </c>
      <c r="AC17">
        <f>HYPERLINK("https://klasma.github.io/Logging_0330/tillsyn/A 26239-2022 tillsynsbegäran.docx", "A 26239-2022")</f>
        <v/>
      </c>
      <c r="AD17">
        <f>HYPERLINK("https://klasma.github.io/Logging_0330/tillsynsmail/A 26239-2022 tillsynsbegäran mail.docx", "A 26239-2022")</f>
        <v/>
      </c>
      <c r="AE17">
        <f>HYPERLINK("https://klasma.github.io/Logging_0330/fåglar/A 26239-2022 prioriterade fågelarter.docx", "A 26239-2022")</f>
        <v/>
      </c>
    </row>
    <row r="18" ht="15" customHeight="1">
      <c r="A18" t="inlineStr">
        <is>
          <t>A 61768-2025</t>
        </is>
      </c>
      <c r="B18" t="inlineStr">
        <is>
          <t>avverkningsanmälan</t>
        </is>
      </c>
      <c r="C18" t="inlineStr">
        <is>
          <t>Föryngringsavverkning</t>
        </is>
      </c>
      <c r="D18" s="1" t="n">
        <v>46002</v>
      </c>
      <c r="E18" s="1" t="n">
        <v>46322</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34859-2025</t>
        </is>
      </c>
      <c r="B19" t="inlineStr">
        <is>
          <t>avverkningsanmälan</t>
        </is>
      </c>
      <c r="C19" t="inlineStr">
        <is>
          <t>Föryngringsavverkning</t>
        </is>
      </c>
      <c r="D19" s="1" t="n">
        <v>45849</v>
      </c>
      <c r="E19" s="1" t="n">
        <v>46322</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A 13004-2026</t>
        </is>
      </c>
      <c r="B20" t="inlineStr">
        <is>
          <t>avverkningsanmälan</t>
        </is>
      </c>
      <c r="C20" t="inlineStr">
        <is>
          <t>Föryngringsavverkning</t>
        </is>
      </c>
      <c r="D20" s="1" t="n">
        <v>46092</v>
      </c>
      <c r="E20" s="1" t="n">
        <v>46322</v>
      </c>
      <c r="F20" t="inlineStr">
        <is>
          <t>UPPSALA LÄN</t>
        </is>
      </c>
      <c r="G20" t="inlineStr">
        <is>
          <t>KNIVSTA</t>
        </is>
      </c>
      <c r="H20" t="inlineStr">
        <is>
          <t>Holmen skog AB</t>
        </is>
      </c>
      <c r="I20" t="n">
        <v>7.8</v>
      </c>
      <c r="J20" t="n">
        <v>2</v>
      </c>
      <c r="K20" t="n">
        <v>0</v>
      </c>
      <c r="L20" t="n">
        <v>0</v>
      </c>
      <c r="M20" t="n">
        <v>1</v>
      </c>
      <c r="N20" t="n">
        <v>0</v>
      </c>
      <c r="O20" t="n">
        <v>0</v>
      </c>
      <c r="P20" t="n">
        <v>0</v>
      </c>
      <c r="Q20" t="n">
        <v>1</v>
      </c>
      <c r="R20" t="n">
        <v>1</v>
      </c>
      <c r="S20" t="n">
        <v>2</v>
      </c>
      <c r="T20" t="n">
        <v>2</v>
      </c>
      <c r="U20" t="n">
        <v>2</v>
      </c>
      <c r="V20" s="2" t="inlineStr">
        <is>
          <t>Knärot
Spillkråka</t>
        </is>
      </c>
      <c r="W20">
        <f>HYPERLINK("https://klasma.github.io/Logging_0330/artfynd/A 13004-2026 artfynd.xlsx", "A 13004-2026")</f>
        <v/>
      </c>
      <c r="X20">
        <f>HYPERLINK("https://klasma.github.io/Logging_0330/kartor/A 13004-2026 karta.png", "A 13004-2026")</f>
        <v/>
      </c>
      <c r="Y20">
        <f>HYPERLINK("https://klasma.github.io/Logging_0330/kartor_geotiff/A 13004-2026 georefererad karta.tif", "A 13004-2026")</f>
        <v/>
      </c>
      <c r="Z20">
        <f>HYPERLINK("https://klasma.github.io/Logging_0330/knärot/A 13004-2026 karta knärot.png", "A 13004-2026")</f>
        <v/>
      </c>
      <c r="AA20">
        <f>HYPERLINK("https://klasma.github.io/Logging_0330/klagomål/A 13004-2026 FSC-klagomål.docx", "A 13004-2026")</f>
        <v/>
      </c>
      <c r="AB20">
        <f>HYPERLINK("https://klasma.github.io/Logging_0330/klagomålsmail/A 13004-2026 FSC-klagomål mail.docx", "A 13004-2026")</f>
        <v/>
      </c>
      <c r="AC20">
        <f>HYPERLINK("https://klasma.github.io/Logging_0330/tillsyn/A 13004-2026 tillsynsbegäran.docx", "A 13004-2026")</f>
        <v/>
      </c>
      <c r="AD20">
        <f>HYPERLINK("https://klasma.github.io/Logging_0330/tillsynsmail/A 13004-2026 tillsynsbegäran mail.docx", "A 13004-2026")</f>
        <v/>
      </c>
      <c r="AE20">
        <f>HYPERLINK("https://klasma.github.io/Logging_0330/fåglar/A 13004-2026 prioriterade fågelarter.docx", "A 13004-2026")</f>
        <v/>
      </c>
    </row>
    <row r="21" ht="15" customHeight="1">
      <c r="A21" t="inlineStr">
        <is>
          <t>A 18576-2026</t>
        </is>
      </c>
      <c r="B21" t="inlineStr">
        <is>
          <t>avverkningsanmälan</t>
        </is>
      </c>
      <c r="C21" t="inlineStr">
        <is>
          <t>Föryngringsavverkning</t>
        </is>
      </c>
      <c r="D21" s="1" t="n">
        <v>46127</v>
      </c>
      <c r="E21" s="1" t="n">
        <v>46322</v>
      </c>
      <c r="F21" t="inlineStr">
        <is>
          <t>UPPSALA LÄN</t>
        </is>
      </c>
      <c r="G21" t="inlineStr">
        <is>
          <t>KNIVSTA</t>
        </is>
      </c>
      <c r="I21" t="n">
        <v>4.8</v>
      </c>
      <c r="J21" t="n">
        <v>1</v>
      </c>
      <c r="K21" t="n">
        <v>0</v>
      </c>
      <c r="L21" t="n">
        <v>0</v>
      </c>
      <c r="M21" t="n">
        <v>0</v>
      </c>
      <c r="N21" t="n">
        <v>0</v>
      </c>
      <c r="O21" t="n">
        <v>0</v>
      </c>
      <c r="P21" t="n">
        <v>0</v>
      </c>
      <c r="Q21" t="n">
        <v>0</v>
      </c>
      <c r="R21" t="n">
        <v>0</v>
      </c>
      <c r="S21" t="n">
        <v>2</v>
      </c>
      <c r="T21" t="n">
        <v>7</v>
      </c>
      <c r="U21" t="n">
        <v>7</v>
      </c>
      <c r="V21" s="2" t="inlineStr">
        <is>
          <t>Blåsippa
Kransmossa</t>
        </is>
      </c>
      <c r="W21">
        <f>HYPERLINK("https://klasma.github.io/Logging_0330/artfynd/A 18576-2026 artfynd.xlsx", "A 18576-2026")</f>
        <v/>
      </c>
      <c r="X21">
        <f>HYPERLINK("https://klasma.github.io/Logging_0330/kartor/A 18576-2026 karta.png", "A 18576-2026")</f>
        <v/>
      </c>
      <c r="Y21">
        <f>HYPERLINK("https://klasma.github.io/Logging_0330/kartor_geotiff/A 18576-2026 georefererad karta.tif", "A 18576-2026")</f>
        <v/>
      </c>
      <c r="AA21">
        <f>HYPERLINK("https://klasma.github.io/Logging_0330/klagomål/A 18576-2026 FSC-klagomål.docx", "A 18576-2026")</f>
        <v/>
      </c>
      <c r="AB21">
        <f>HYPERLINK("https://klasma.github.io/Logging_0330/klagomålsmail/A 18576-2026 FSC-klagomål mail.docx", "A 18576-2026")</f>
        <v/>
      </c>
      <c r="AC21">
        <f>HYPERLINK("https://klasma.github.io/Logging_0330/tillsyn/A 18576-2026 tillsynsbegäran.docx", "A 18576-2026")</f>
        <v/>
      </c>
      <c r="AD21">
        <f>HYPERLINK("https://klasma.github.io/Logging_0330/tillsynsmail/A 18576-2026 tillsynsbegäran mail.docx", "A 18576-2026")</f>
        <v/>
      </c>
    </row>
    <row r="22" ht="15" customHeight="1">
      <c r="A22" t="inlineStr">
        <is>
          <t>A 37356-2026</t>
        </is>
      </c>
      <c r="B22" t="inlineStr">
        <is>
          <t>avverkningsanmälan</t>
        </is>
      </c>
      <c r="C22" t="inlineStr">
        <is>
          <t>Föryngringsavverkning</t>
        </is>
      </c>
      <c r="D22" s="1" t="n">
        <v>46275</v>
      </c>
      <c r="E22" s="1" t="n">
        <v>46322</v>
      </c>
      <c r="F22" t="inlineStr">
        <is>
          <t>UPPSALA LÄN</t>
        </is>
      </c>
      <c r="G22" t="inlineStr">
        <is>
          <t>KNIVSTA</t>
        </is>
      </c>
      <c r="H22" t="inlineStr">
        <is>
          <t>Holmen skog AB</t>
        </is>
      </c>
      <c r="I22" t="n">
        <v>5.8</v>
      </c>
      <c r="J22" t="n">
        <v>1</v>
      </c>
      <c r="K22" t="n">
        <v>0</v>
      </c>
      <c r="L22" t="n">
        <v>1</v>
      </c>
      <c r="M22" t="n">
        <v>0</v>
      </c>
      <c r="N22" t="n">
        <v>0</v>
      </c>
      <c r="O22" t="n">
        <v>0</v>
      </c>
      <c r="P22" t="n">
        <v>0</v>
      </c>
      <c r="Q22" t="n">
        <v>1</v>
      </c>
      <c r="R22" t="n">
        <v>0</v>
      </c>
      <c r="S22" t="n">
        <v>2</v>
      </c>
      <c r="T22" t="n">
        <v>2</v>
      </c>
      <c r="U22" t="n">
        <v>2</v>
      </c>
      <c r="V22" s="2" t="inlineStr">
        <is>
          <t>Talltita
Kransmossa</t>
        </is>
      </c>
      <c r="W22">
        <f>HYPERLINK("https://klasma.github.io/Logging_0330/artfynd/A 37356-2026 artfynd.xlsx", "A 37356-2026")</f>
        <v/>
      </c>
      <c r="X22">
        <f>HYPERLINK("https://klasma.github.io/Logging_0330/kartor/A 37356-2026 karta.png", "A 37356-2026")</f>
        <v/>
      </c>
      <c r="Y22">
        <f>HYPERLINK("https://klasma.github.io/Logging_0330/kartor_geotiff/A 37356-2026 georefererad karta.tif", "A 37356-2026")</f>
        <v/>
      </c>
      <c r="AA22">
        <f>HYPERLINK("https://klasma.github.io/Logging_0330/klagomål/A 37356-2026 FSC-klagomål.docx", "A 37356-2026")</f>
        <v/>
      </c>
      <c r="AB22">
        <f>HYPERLINK("https://klasma.github.io/Logging_0330/klagomålsmail/A 37356-2026 FSC-klagomål mail.docx", "A 37356-2026")</f>
        <v/>
      </c>
      <c r="AC22">
        <f>HYPERLINK("https://klasma.github.io/Logging_0330/tillsyn/A 37356-2026 tillsynsbegäran.docx", "A 37356-2026")</f>
        <v/>
      </c>
      <c r="AD22">
        <f>HYPERLINK("https://klasma.github.io/Logging_0330/tillsynsmail/A 37356-2026 tillsynsbegäran mail.docx", "A 37356-2026")</f>
        <v/>
      </c>
      <c r="AE22">
        <f>HYPERLINK("https://klasma.github.io/Logging_0330/fåglar/A 37356-2026 prioriterade fågelarter.docx", "A 37356-2026")</f>
        <v/>
      </c>
    </row>
    <row r="23" ht="15" customHeight="1">
      <c r="A23" t="inlineStr">
        <is>
          <t>S 194-2025</t>
        </is>
      </c>
      <c r="B23" t="inlineStr">
        <is>
          <t>samrådsanmälan</t>
        </is>
      </c>
      <c r="C23" t="inlineStr">
        <is>
          <t>Annan skogsbruksåtgärd</t>
        </is>
      </c>
      <c r="D23" s="1" t="n">
        <v>45679</v>
      </c>
      <c r="E23" s="1" t="n">
        <v>46322</v>
      </c>
      <c r="F23" t="inlineStr">
        <is>
          <t>UPPSALA LÄN</t>
        </is>
      </c>
      <c r="G23" t="inlineStr">
        <is>
          <t>KNIVSTA</t>
        </is>
      </c>
      <c r="I23" t="n">
        <v>1</v>
      </c>
      <c r="J23" t="n">
        <v>0</v>
      </c>
      <c r="K23" t="n">
        <v>1</v>
      </c>
      <c r="L23" t="n">
        <v>1</v>
      </c>
      <c r="M23" t="n">
        <v>0</v>
      </c>
      <c r="N23" t="n">
        <v>0</v>
      </c>
      <c r="O23" t="n">
        <v>0</v>
      </c>
      <c r="P23" t="n">
        <v>0</v>
      </c>
      <c r="Q23" t="n">
        <v>1</v>
      </c>
      <c r="R23" t="n">
        <v>0</v>
      </c>
      <c r="S23" t="n">
        <v>2</v>
      </c>
      <c r="T23" t="n">
        <v>3</v>
      </c>
      <c r="U23" t="n">
        <v>0</v>
      </c>
      <c r="V23" s="2" t="inlineStr">
        <is>
          <t>Tallticka
Grovticka</t>
        </is>
      </c>
      <c r="W23">
        <f>HYPERLINK("https://klasma.github.io/Logging_0330/artfynd/S 194-2025 artfynd.xlsx", "S 194-2025")</f>
        <v/>
      </c>
      <c r="X23">
        <f>HYPERLINK("https://klasma.github.io/Logging_0330/kartor/S 194-2025 karta.png", "S 194-2025")</f>
        <v/>
      </c>
      <c r="Y23">
        <f>HYPERLINK("https://klasma.github.io/Logging_0330/kartor_geotiff/S 194-2025 georefererad karta.tif", "S 194-2025")</f>
        <v/>
      </c>
      <c r="AA23">
        <f>HYPERLINK("https://klasma.github.io/Logging_0330/klagomål/S 194-2025 FSC-klagomål.docx", "S 194-2025")</f>
        <v/>
      </c>
      <c r="AB23">
        <f>HYPERLINK("https://klasma.github.io/Logging_0330/klagomålsmail/S 194-2025 FSC-klagomål mail.docx", "S 194-2025")</f>
        <v/>
      </c>
      <c r="AC23">
        <f>HYPERLINK("https://klasma.github.io/Logging_0330/tillsyn/S 194-2025 tillsynsbegäran.docx", "S 194-2025")</f>
        <v/>
      </c>
      <c r="AD23">
        <f>HYPERLINK("https://klasma.github.io/Logging_0330/tillsynsmail/S 194-2025 tillsynsbegäran mail.docx", "S 194-2025")</f>
        <v/>
      </c>
    </row>
    <row r="24" ht="15" customHeight="1">
      <c r="A24" t="inlineStr">
        <is>
          <t>A 66305-2021</t>
        </is>
      </c>
      <c r="B24" t="inlineStr">
        <is>
          <t>avverkningsanmälan</t>
        </is>
      </c>
      <c r="C24" t="inlineStr">
        <is>
          <t>Föryngringsavverkning</t>
        </is>
      </c>
      <c r="D24" s="1" t="n">
        <v>44518</v>
      </c>
      <c r="E24" s="1" t="n">
        <v>46322</v>
      </c>
      <c r="F24" t="inlineStr">
        <is>
          <t>UPPSALA LÄN</t>
        </is>
      </c>
      <c r="G24" t="inlineStr">
        <is>
          <t>KNIVSTA</t>
        </is>
      </c>
      <c r="I24" t="n">
        <v>8.300000000000001</v>
      </c>
      <c r="J24" t="n">
        <v>0</v>
      </c>
      <c r="K24" t="n">
        <v>0</v>
      </c>
      <c r="L24" t="n">
        <v>0</v>
      </c>
      <c r="M24" t="n">
        <v>1</v>
      </c>
      <c r="N24" t="n">
        <v>0</v>
      </c>
      <c r="O24" t="n">
        <v>0</v>
      </c>
      <c r="P24" t="n">
        <v>0</v>
      </c>
      <c r="Q24" t="n">
        <v>1</v>
      </c>
      <c r="R24" t="n">
        <v>1</v>
      </c>
      <c r="S24" t="n">
        <v>1</v>
      </c>
      <c r="T24" t="n">
        <v>1</v>
      </c>
      <c r="U24" t="n">
        <v>1</v>
      </c>
      <c r="V24" s="2" t="inlineStr">
        <is>
          <t>Silverblåvinge</t>
        </is>
      </c>
      <c r="W24">
        <f>HYPERLINK("https://klasma.github.io/Logging_0330/artfynd/A 66305-2021 artfynd.xlsx", "A 66305-2021")</f>
        <v/>
      </c>
      <c r="X24">
        <f>HYPERLINK("https://klasma.github.io/Logging_0330/kartor/A 66305-2021 karta.png", "A 66305-2021")</f>
        <v/>
      </c>
      <c r="Y24">
        <f>HYPERLINK("https://klasma.github.io/Logging_0330/kartor_geotiff/A 66305-2021 georefererad karta.tif", "A 66305-2021")</f>
        <v/>
      </c>
      <c r="AA24">
        <f>HYPERLINK("https://klasma.github.io/Logging_0330/klagomål/A 66305-2021 FSC-klagomål.docx", "A 66305-2021")</f>
        <v/>
      </c>
      <c r="AB24">
        <f>HYPERLINK("https://klasma.github.io/Logging_0330/klagomålsmail/A 66305-2021 FSC-klagomål mail.docx", "A 66305-2021")</f>
        <v/>
      </c>
      <c r="AC24">
        <f>HYPERLINK("https://klasma.github.io/Logging_0330/tillsyn/A 66305-2021 tillsynsbegäran.docx", "A 66305-2021")</f>
        <v/>
      </c>
      <c r="AD24">
        <f>HYPERLINK("https://klasma.github.io/Logging_0330/tillsynsmail/A 66305-2021 tillsynsbegäran mail.docx", "A 66305-2021")</f>
        <v/>
      </c>
    </row>
    <row r="25" ht="15" customHeight="1">
      <c r="A25" t="inlineStr">
        <is>
          <t>A 2171-2024</t>
        </is>
      </c>
      <c r="B25" t="inlineStr">
        <is>
          <t>avverkningsanmälan</t>
        </is>
      </c>
      <c r="C25" t="inlineStr">
        <is>
          <t>Föryngringsavverkning</t>
        </is>
      </c>
      <c r="D25" s="1" t="n">
        <v>45309</v>
      </c>
      <c r="E25" s="1" t="n">
        <v>46322</v>
      </c>
      <c r="F25" t="inlineStr">
        <is>
          <t>UPPSALA LÄN</t>
        </is>
      </c>
      <c r="G25" t="inlineStr">
        <is>
          <t>KNIVSTA</t>
        </is>
      </c>
      <c r="H25" t="inlineStr">
        <is>
          <t>Holmen skog AB</t>
        </is>
      </c>
      <c r="I25" t="n">
        <v>3.3</v>
      </c>
      <c r="J25" t="n">
        <v>1</v>
      </c>
      <c r="K25" t="n">
        <v>0</v>
      </c>
      <c r="L25" t="n">
        <v>0</v>
      </c>
      <c r="M25" t="n">
        <v>0</v>
      </c>
      <c r="N25" t="n">
        <v>0</v>
      </c>
      <c r="O25" t="n">
        <v>0</v>
      </c>
      <c r="P25" t="n">
        <v>0</v>
      </c>
      <c r="Q25" t="n">
        <v>0</v>
      </c>
      <c r="R25" t="n">
        <v>0</v>
      </c>
      <c r="S25" t="n">
        <v>1</v>
      </c>
      <c r="T25" t="n">
        <v>1</v>
      </c>
      <c r="U25" t="n">
        <v>1</v>
      </c>
      <c r="V25" s="2" t="inlineStr">
        <is>
          <t>Blåsippa</t>
        </is>
      </c>
      <c r="W25">
        <f>HYPERLINK("https://klasma.github.io/Logging_0330/artfynd/A 2171-2024 artfynd.xlsx", "A 2171-2024")</f>
        <v/>
      </c>
      <c r="X25">
        <f>HYPERLINK("https://klasma.github.io/Logging_0330/kartor/A 2171-2024 karta.png", "A 2171-2024")</f>
        <v/>
      </c>
      <c r="Y25">
        <f>HYPERLINK("https://klasma.github.io/Logging_0330/kartor_geotiff/A 2171-2024 georefererad karta.tif", "A 2171-2024")</f>
        <v/>
      </c>
      <c r="AA25">
        <f>HYPERLINK("https://klasma.github.io/Logging_0330/klagomål/A 2171-2024 FSC-klagomål.docx", "A 2171-2024")</f>
        <v/>
      </c>
      <c r="AB25">
        <f>HYPERLINK("https://klasma.github.io/Logging_0330/klagomålsmail/A 2171-2024 FSC-klagomål mail.docx", "A 2171-2024")</f>
        <v/>
      </c>
      <c r="AC25">
        <f>HYPERLINK("https://klasma.github.io/Logging_0330/tillsyn/A 2171-2024 tillsynsbegäran.docx", "A 2171-2024")</f>
        <v/>
      </c>
      <c r="AD25">
        <f>HYPERLINK("https://klasma.github.io/Logging_0330/tillsynsmail/A 2171-2024 tillsynsbegäran mail.docx", "A 2171-2024")</f>
        <v/>
      </c>
    </row>
    <row r="26" ht="15" customHeight="1">
      <c r="A26" t="inlineStr">
        <is>
          <t>A 5402-2023</t>
        </is>
      </c>
      <c r="B26" t="inlineStr">
        <is>
          <t>avverkningsanmälan</t>
        </is>
      </c>
      <c r="C26" t="inlineStr">
        <is>
          <t>Föryngringsavverkning</t>
        </is>
      </c>
      <c r="D26" s="1" t="n">
        <v>44959</v>
      </c>
      <c r="E26" s="1" t="n">
        <v>46322</v>
      </c>
      <c r="F26" t="inlineStr">
        <is>
          <t>UPPSALA LÄN</t>
        </is>
      </c>
      <c r="G26" t="inlineStr">
        <is>
          <t>KNIVSTA</t>
        </is>
      </c>
      <c r="I26" t="n">
        <v>4.3</v>
      </c>
      <c r="J26" t="n">
        <v>0</v>
      </c>
      <c r="K26" t="n">
        <v>0</v>
      </c>
      <c r="L26" t="n">
        <v>0</v>
      </c>
      <c r="M26" t="n">
        <v>1</v>
      </c>
      <c r="N26" t="n">
        <v>0</v>
      </c>
      <c r="O26" t="n">
        <v>0</v>
      </c>
      <c r="P26" t="n">
        <v>0</v>
      </c>
      <c r="Q26" t="n">
        <v>1</v>
      </c>
      <c r="R26" t="n">
        <v>1</v>
      </c>
      <c r="S26" t="n">
        <v>1</v>
      </c>
      <c r="T26" t="n">
        <v>1</v>
      </c>
      <c r="U26" t="n">
        <v>0</v>
      </c>
      <c r="V26" s="2" t="inlineStr">
        <is>
          <t>Askfingersvamp</t>
        </is>
      </c>
      <c r="W26">
        <f>HYPERLINK("https://klasma.github.io/Logging_0330/artfynd/A 5402-2023 artfynd.xlsx", "A 5402-2023")</f>
        <v/>
      </c>
      <c r="X26">
        <f>HYPERLINK("https://klasma.github.io/Logging_0330/kartor/A 5402-2023 karta.png", "A 5402-2023")</f>
        <v/>
      </c>
      <c r="Y26">
        <f>HYPERLINK("https://klasma.github.io/Logging_0330/kartor_geotiff/A 5402-2023 georefererad karta.tif", "A 5402-2023")</f>
        <v/>
      </c>
      <c r="AA26">
        <f>HYPERLINK("https://klasma.github.io/Logging_0330/klagomål/A 5402-2023 FSC-klagomål.docx", "A 5402-2023")</f>
        <v/>
      </c>
      <c r="AB26">
        <f>HYPERLINK("https://klasma.github.io/Logging_0330/klagomålsmail/A 5402-2023 FSC-klagomål mail.docx", "A 5402-2023")</f>
        <v/>
      </c>
      <c r="AC26">
        <f>HYPERLINK("https://klasma.github.io/Logging_0330/tillsyn/A 5402-2023 tillsynsbegäran.docx", "A 5402-2023")</f>
        <v/>
      </c>
      <c r="AD26">
        <f>HYPERLINK("https://klasma.github.io/Logging_0330/tillsynsmail/A 5402-2023 tillsynsbegäran mail.docx", "A 5402-2023")</f>
        <v/>
      </c>
    </row>
    <row r="27" ht="15" customHeight="1">
      <c r="A27" t="inlineStr">
        <is>
          <t>A 666-2026</t>
        </is>
      </c>
      <c r="B27" t="inlineStr">
        <is>
          <t>avverkningsanmälan</t>
        </is>
      </c>
      <c r="C27" t="inlineStr">
        <is>
          <t>Föryngringsavverkning</t>
        </is>
      </c>
      <c r="D27" s="1" t="n">
        <v>46029</v>
      </c>
      <c r="E27" s="1" t="n">
        <v>46322</v>
      </c>
      <c r="F27" t="inlineStr">
        <is>
          <t>UPPSALA LÄN</t>
        </is>
      </c>
      <c r="G27" t="inlineStr">
        <is>
          <t>KNIVSTA</t>
        </is>
      </c>
      <c r="I27" t="n">
        <v>1.8</v>
      </c>
      <c r="J27" t="n">
        <v>1</v>
      </c>
      <c r="K27" t="n">
        <v>0</v>
      </c>
      <c r="L27" t="n">
        <v>0</v>
      </c>
      <c r="M27" t="n">
        <v>0</v>
      </c>
      <c r="N27" t="n">
        <v>0</v>
      </c>
      <c r="O27" t="n">
        <v>0</v>
      </c>
      <c r="P27" t="n">
        <v>0</v>
      </c>
      <c r="Q27" t="n">
        <v>0</v>
      </c>
      <c r="R27" t="n">
        <v>0</v>
      </c>
      <c r="S27" t="n">
        <v>1</v>
      </c>
      <c r="T27" t="n">
        <v>1</v>
      </c>
      <c r="U27" t="n">
        <v>0</v>
      </c>
      <c r="V27" s="2" t="inlineStr">
        <is>
          <t>Havsörn</t>
        </is>
      </c>
      <c r="W27">
        <f>HYPERLINK("https://klasma.github.io/Logging_0330/artfynd/A 666-2026 artfynd.xlsx", "A 666-2026")</f>
        <v/>
      </c>
      <c r="X27">
        <f>HYPERLINK("https://klasma.github.io/Logging_0330/kartor/A 666-2026 karta.png", "A 666-2026")</f>
        <v/>
      </c>
      <c r="Y27">
        <f>HYPERLINK("https://klasma.github.io/Logging_0330/kartor_geotiff/A 666-2026 georefererad karta.tif", "A 666-2026")</f>
        <v/>
      </c>
      <c r="AA27">
        <f>HYPERLINK("https://klasma.github.io/Logging_0330/klagomål/A 666-2026 FSC-klagomål.docx", "A 666-2026")</f>
        <v/>
      </c>
      <c r="AB27">
        <f>HYPERLINK("https://klasma.github.io/Logging_0330/klagomålsmail/A 666-2026 FSC-klagomål mail.docx", "A 666-2026")</f>
        <v/>
      </c>
      <c r="AC27">
        <f>HYPERLINK("https://klasma.github.io/Logging_0330/tillsyn/A 666-2026 tillsynsbegäran.docx", "A 666-2026")</f>
        <v/>
      </c>
      <c r="AD27">
        <f>HYPERLINK("https://klasma.github.io/Logging_0330/tillsynsmail/A 666-2026 tillsynsbegäran mail.docx", "A 666-2026")</f>
        <v/>
      </c>
      <c r="AE27">
        <f>HYPERLINK("https://klasma.github.io/Logging_0330/fåglar/A 666-2026 prioriterade fågelarter.docx", "A 666-2026")</f>
        <v/>
      </c>
    </row>
    <row r="28" ht="15" customHeight="1">
      <c r="A28" t="inlineStr">
        <is>
          <t>A 3836-2026</t>
        </is>
      </c>
      <c r="B28" t="inlineStr">
        <is>
          <t>avverkningsanmälan</t>
        </is>
      </c>
      <c r="C28" t="inlineStr">
        <is>
          <t>Föryngringsavverkning</t>
        </is>
      </c>
      <c r="D28" s="1" t="n">
        <v>46043</v>
      </c>
      <c r="E28" s="1" t="n">
        <v>46322</v>
      </c>
      <c r="F28" t="inlineStr">
        <is>
          <t>UPPSALA LÄN</t>
        </is>
      </c>
      <c r="G28" t="inlineStr">
        <is>
          <t>KNIVSTA</t>
        </is>
      </c>
      <c r="I28" t="n">
        <v>3.7</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HYPERLINK("https://klasma.github.io/Logging_0330/artfynd/A 3836-2026 artfynd.xlsx", "A 3836-2026")</f>
        <v/>
      </c>
      <c r="X28">
        <f>HYPERLINK("https://klasma.github.io/Logging_0330/kartor/A 3836-2026 karta.png", "A 3836-2026")</f>
        <v/>
      </c>
      <c r="Y28">
        <f>HYPERLINK("https://klasma.github.io/Logging_0330/kartor_geotiff/A 3836-2026 georefererad karta.tif", "A 3836-2026")</f>
        <v/>
      </c>
      <c r="AA28">
        <f>HYPERLINK("https://klasma.github.io/Logging_0330/klagomål/A 3836-2026 FSC-klagomål.docx", "A 3836-2026")</f>
        <v/>
      </c>
      <c r="AB28">
        <f>HYPERLINK("https://klasma.github.io/Logging_0330/klagomålsmail/A 3836-2026 FSC-klagomål mail.docx", "A 3836-2026")</f>
        <v/>
      </c>
      <c r="AC28">
        <f>HYPERLINK("https://klasma.github.io/Logging_0330/tillsyn/A 3836-2026 tillsynsbegäran.docx", "A 3836-2026")</f>
        <v/>
      </c>
      <c r="AD28">
        <f>HYPERLINK("https://klasma.github.io/Logging_0330/tillsynsmail/A 3836-2026 tillsynsbegäran mail.docx", "A 3836-2026")</f>
        <v/>
      </c>
      <c r="AE28">
        <f>HYPERLINK("https://klasma.github.io/Logging_0330/fåglar/A 3836-2026 prioriterade fågelarter.docx", "A 3836-2026")</f>
        <v/>
      </c>
    </row>
    <row r="29" ht="15" customHeight="1">
      <c r="A29" t="inlineStr">
        <is>
          <t>A 9561-2026</t>
        </is>
      </c>
      <c r="B29" t="inlineStr">
        <is>
          <t>avverkningsanmälan</t>
        </is>
      </c>
      <c r="C29" t="inlineStr">
        <is>
          <t>Föryngringsavverkning</t>
        </is>
      </c>
      <c r="D29" s="1" t="n">
        <v>46071</v>
      </c>
      <c r="E29" s="1" t="n">
        <v>46322</v>
      </c>
      <c r="F29" t="inlineStr">
        <is>
          <t>UPPSALA LÄN</t>
        </is>
      </c>
      <c r="G29" t="inlineStr">
        <is>
          <t>KNIVSTA</t>
        </is>
      </c>
      <c r="H29" t="inlineStr">
        <is>
          <t>Övriga statliga verk och myndigheter</t>
        </is>
      </c>
      <c r="I29" t="n">
        <v>2.6</v>
      </c>
      <c r="J29" t="n">
        <v>0</v>
      </c>
      <c r="K29" t="n">
        <v>0</v>
      </c>
      <c r="L29" t="n">
        <v>1</v>
      </c>
      <c r="M29" t="n">
        <v>0</v>
      </c>
      <c r="N29" t="n">
        <v>0</v>
      </c>
      <c r="O29" t="n">
        <v>0</v>
      </c>
      <c r="P29" t="n">
        <v>0</v>
      </c>
      <c r="Q29" t="n">
        <v>1</v>
      </c>
      <c r="R29" t="n">
        <v>0</v>
      </c>
      <c r="S29" t="n">
        <v>1</v>
      </c>
      <c r="T29" t="n">
        <v>1</v>
      </c>
      <c r="U29" t="n">
        <v>0</v>
      </c>
      <c r="V29" s="2" t="inlineStr">
        <is>
          <t>Svartöra</t>
        </is>
      </c>
      <c r="W29">
        <f>HYPERLINK("https://klasma.github.io/Logging_0330/artfynd/A 9561-2026 artfynd.xlsx", "A 9561-2026")</f>
        <v/>
      </c>
      <c r="X29">
        <f>HYPERLINK("https://klasma.github.io/Logging_0330/kartor/A 9561-2026 karta.png", "A 9561-2026")</f>
        <v/>
      </c>
      <c r="Y29">
        <f>HYPERLINK("https://klasma.github.io/Logging_0330/kartor_geotiff/A 9561-2026 georefererad karta.tif", "A 9561-2026")</f>
        <v/>
      </c>
      <c r="AA29">
        <f>HYPERLINK("https://klasma.github.io/Logging_0330/klagomål/A 9561-2026 FSC-klagomål.docx", "A 9561-2026")</f>
        <v/>
      </c>
      <c r="AB29">
        <f>HYPERLINK("https://klasma.github.io/Logging_0330/klagomålsmail/A 9561-2026 FSC-klagomål mail.docx", "A 9561-2026")</f>
        <v/>
      </c>
      <c r="AC29">
        <f>HYPERLINK("https://klasma.github.io/Logging_0330/tillsyn/A 9561-2026 tillsynsbegäran.docx", "A 9561-2026")</f>
        <v/>
      </c>
      <c r="AD29">
        <f>HYPERLINK("https://klasma.github.io/Logging_0330/tillsynsmail/A 9561-2026 tillsynsbegäran mail.docx", "A 9561-2026")</f>
        <v/>
      </c>
    </row>
    <row r="30" ht="15" customHeight="1">
      <c r="A30" t="inlineStr">
        <is>
          <t>A 13002-2026</t>
        </is>
      </c>
      <c r="B30" t="inlineStr">
        <is>
          <t>avverkningsanmälan</t>
        </is>
      </c>
      <c r="C30" t="inlineStr">
        <is>
          <t>Föryngringsavverkning</t>
        </is>
      </c>
      <c r="D30" s="1" t="n">
        <v>46092</v>
      </c>
      <c r="E30" s="1" t="n">
        <v>46322</v>
      </c>
      <c r="F30" t="inlineStr">
        <is>
          <t>UPPSALA LÄN</t>
        </is>
      </c>
      <c r="G30" t="inlineStr">
        <is>
          <t>KNIVSTA</t>
        </is>
      </c>
      <c r="H30" t="inlineStr">
        <is>
          <t>Holmen skog AB</t>
        </is>
      </c>
      <c r="I30" t="n">
        <v>0.7</v>
      </c>
      <c r="J30" t="n">
        <v>1</v>
      </c>
      <c r="K30" t="n">
        <v>0</v>
      </c>
      <c r="L30" t="n">
        <v>0</v>
      </c>
      <c r="M30" t="n">
        <v>1</v>
      </c>
      <c r="N30" t="n">
        <v>0</v>
      </c>
      <c r="O30" t="n">
        <v>0</v>
      </c>
      <c r="P30" t="n">
        <v>0</v>
      </c>
      <c r="Q30" t="n">
        <v>1</v>
      </c>
      <c r="R30" t="n">
        <v>1</v>
      </c>
      <c r="S30" t="n">
        <v>1</v>
      </c>
      <c r="T30" t="n">
        <v>1</v>
      </c>
      <c r="U30" t="n">
        <v>1</v>
      </c>
      <c r="V30" s="2" t="inlineStr">
        <is>
          <t>Knärot</t>
        </is>
      </c>
      <c r="W30">
        <f>HYPERLINK("https://klasma.github.io/Logging_0330/artfynd/A 13002-2026 artfynd.xlsx", "A 13002-2026")</f>
        <v/>
      </c>
      <c r="X30">
        <f>HYPERLINK("https://klasma.github.io/Logging_0330/kartor/A 13002-2026 karta.png", "A 13002-2026")</f>
        <v/>
      </c>
      <c r="Y30">
        <f>HYPERLINK("https://klasma.github.io/Logging_0330/kartor_geotiff/A 13002-2026 georefererad karta.tif", "A 13002-2026")</f>
        <v/>
      </c>
      <c r="Z30">
        <f>HYPERLINK("https://klasma.github.io/Logging_0330/knärot/A 13002-2026 karta knärot.png", "A 13002-2026")</f>
        <v/>
      </c>
      <c r="AA30">
        <f>HYPERLINK("https://klasma.github.io/Logging_0330/klagomål/A 13002-2026 FSC-klagomål.docx", "A 13002-2026")</f>
        <v/>
      </c>
      <c r="AB30">
        <f>HYPERLINK("https://klasma.github.io/Logging_0330/klagomålsmail/A 13002-2026 FSC-klagomål mail.docx", "A 13002-2026")</f>
        <v/>
      </c>
      <c r="AC30">
        <f>HYPERLINK("https://klasma.github.io/Logging_0330/tillsyn/A 13002-2026 tillsynsbegäran.docx", "A 13002-2026")</f>
        <v/>
      </c>
      <c r="AD30">
        <f>HYPERLINK("https://klasma.github.io/Logging_0330/tillsynsmail/A 13002-2026 tillsynsbegäran mail.docx", "A 13002-2026")</f>
        <v/>
      </c>
    </row>
    <row r="31" ht="15" customHeight="1">
      <c r="A31" t="inlineStr">
        <is>
          <t>A 12991-2026</t>
        </is>
      </c>
      <c r="B31" t="inlineStr">
        <is>
          <t>avverkningsanmälan</t>
        </is>
      </c>
      <c r="C31" t="inlineStr">
        <is>
          <t>Föryngringsavverkning</t>
        </is>
      </c>
      <c r="D31" s="1" t="n">
        <v>46092</v>
      </c>
      <c r="E31" s="1" t="n">
        <v>46322</v>
      </c>
      <c r="F31" t="inlineStr">
        <is>
          <t>UPPSALA LÄN</t>
        </is>
      </c>
      <c r="G31" t="inlineStr">
        <is>
          <t>KNIVSTA</t>
        </is>
      </c>
      <c r="H31" t="inlineStr">
        <is>
          <t>Holmen skog AB</t>
        </is>
      </c>
      <c r="I31" t="n">
        <v>4.6</v>
      </c>
      <c r="J31" t="n">
        <v>1</v>
      </c>
      <c r="K31" t="n">
        <v>0</v>
      </c>
      <c r="L31" t="n">
        <v>0</v>
      </c>
      <c r="M31" t="n">
        <v>0</v>
      </c>
      <c r="N31" t="n">
        <v>0</v>
      </c>
      <c r="O31" t="n">
        <v>0</v>
      </c>
      <c r="P31" t="n">
        <v>0</v>
      </c>
      <c r="Q31" t="n">
        <v>0</v>
      </c>
      <c r="R31" t="n">
        <v>0</v>
      </c>
      <c r="S31" t="n">
        <v>1</v>
      </c>
      <c r="T31" t="n">
        <v>1</v>
      </c>
      <c r="U31" t="n">
        <v>1</v>
      </c>
      <c r="V31" s="2" t="inlineStr">
        <is>
          <t>Tjäder</t>
        </is>
      </c>
      <c r="W31">
        <f>HYPERLINK("https://klasma.github.io/Logging_0330/artfynd/A 12991-2026 artfynd.xlsx", "A 12991-2026")</f>
        <v/>
      </c>
      <c r="X31">
        <f>HYPERLINK("https://klasma.github.io/Logging_0330/kartor/A 12991-2026 karta.png", "A 12991-2026")</f>
        <v/>
      </c>
      <c r="Y31">
        <f>HYPERLINK("https://klasma.github.io/Logging_0330/kartor_geotiff/A 12991-2026 georefererad karta.tif", "A 12991-2026")</f>
        <v/>
      </c>
      <c r="AA31">
        <f>HYPERLINK("https://klasma.github.io/Logging_0330/klagomål/A 12991-2026 FSC-klagomål.docx", "A 12991-2026")</f>
        <v/>
      </c>
      <c r="AB31">
        <f>HYPERLINK("https://klasma.github.io/Logging_0330/klagomålsmail/A 12991-2026 FSC-klagomål mail.docx", "A 12991-2026")</f>
        <v/>
      </c>
      <c r="AC31">
        <f>HYPERLINK("https://klasma.github.io/Logging_0330/tillsyn/A 12991-2026 tillsynsbegäran.docx", "A 12991-2026")</f>
        <v/>
      </c>
      <c r="AD31">
        <f>HYPERLINK("https://klasma.github.io/Logging_0330/tillsynsmail/A 12991-2026 tillsynsbegäran mail.docx", "A 12991-2026")</f>
        <v/>
      </c>
      <c r="AE31">
        <f>HYPERLINK("https://klasma.github.io/Logging_0330/fåglar/A 12991-2026 prioriterade fågelarter.docx", "A 12991-2026")</f>
        <v/>
      </c>
    </row>
    <row r="32" ht="15" customHeight="1">
      <c r="A32" t="inlineStr">
        <is>
          <t>A 13380-2026</t>
        </is>
      </c>
      <c r="B32" t="inlineStr">
        <is>
          <t>avverkningsanmälan</t>
        </is>
      </c>
      <c r="C32" t="inlineStr">
        <is>
          <t>Föryngringsavverkning</t>
        </is>
      </c>
      <c r="D32" s="1" t="n">
        <v>46094</v>
      </c>
      <c r="E32" s="1" t="n">
        <v>46322</v>
      </c>
      <c r="F32" t="inlineStr">
        <is>
          <t>UPPSALA LÄN</t>
        </is>
      </c>
      <c r="G32" t="inlineStr">
        <is>
          <t>KNIVSTA</t>
        </is>
      </c>
      <c r="I32" t="n">
        <v>1.7</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HYPERLINK("https://klasma.github.io/Logging_0330/artfynd/A 13380-2026 artfynd.xlsx", "A 13380-2026")</f>
        <v/>
      </c>
      <c r="X32">
        <f>HYPERLINK("https://klasma.github.io/Logging_0330/kartor/A 13380-2026 karta.png", "A 13380-2026")</f>
        <v/>
      </c>
      <c r="Y32">
        <f>HYPERLINK("https://klasma.github.io/Logging_0330/kartor_geotiff/A 13380-2026 georefererad karta.tif", "A 13380-2026")</f>
        <v/>
      </c>
      <c r="AA32">
        <f>HYPERLINK("https://klasma.github.io/Logging_0330/klagomål/A 13380-2026 FSC-klagomål.docx", "A 13380-2026")</f>
        <v/>
      </c>
      <c r="AB32">
        <f>HYPERLINK("https://klasma.github.io/Logging_0330/klagomålsmail/A 13380-2026 FSC-klagomål mail.docx", "A 13380-2026")</f>
        <v/>
      </c>
      <c r="AC32">
        <f>HYPERLINK("https://klasma.github.io/Logging_0330/tillsyn/A 13380-2026 tillsynsbegäran.docx", "A 13380-2026")</f>
        <v/>
      </c>
      <c r="AD32">
        <f>HYPERLINK("https://klasma.github.io/Logging_0330/tillsynsmail/A 13380-2026 tillsynsbegäran mail.docx", "A 13380-2026")</f>
        <v/>
      </c>
      <c r="AE32">
        <f>HYPERLINK("https://klasma.github.io/Logging_0330/fåglar/A 13380-2026 prioriterade fågelarter.docx", "A 13380-2026")</f>
        <v/>
      </c>
    </row>
    <row r="33" ht="15" customHeight="1">
      <c r="A33" t="inlineStr">
        <is>
          <t>A 33770-2023</t>
        </is>
      </c>
      <c r="B33" t="inlineStr">
        <is>
          <t>avverkningsanmälan</t>
        </is>
      </c>
      <c r="C33" t="inlineStr">
        <is>
          <t>Föryngringsavverkning</t>
        </is>
      </c>
      <c r="D33" s="1" t="n">
        <v>45133</v>
      </c>
      <c r="E33" s="1" t="n">
        <v>46322</v>
      </c>
      <c r="F33" t="inlineStr">
        <is>
          <t>UPPSALA LÄN</t>
        </is>
      </c>
      <c r="G33" t="inlineStr">
        <is>
          <t>KNIVSTA</t>
        </is>
      </c>
      <c r="H33" t="inlineStr">
        <is>
          <t>Holmen skog AB</t>
        </is>
      </c>
      <c r="I33" t="n">
        <v>4</v>
      </c>
      <c r="J33" t="n">
        <v>1</v>
      </c>
      <c r="K33" t="n">
        <v>0</v>
      </c>
      <c r="L33" t="n">
        <v>0</v>
      </c>
      <c r="M33" t="n">
        <v>0</v>
      </c>
      <c r="N33" t="n">
        <v>0</v>
      </c>
      <c r="O33" t="n">
        <v>0</v>
      </c>
      <c r="P33" t="n">
        <v>0</v>
      </c>
      <c r="Q33" t="n">
        <v>0</v>
      </c>
      <c r="R33" t="n">
        <v>0</v>
      </c>
      <c r="S33" t="n">
        <v>1</v>
      </c>
      <c r="T33" t="n">
        <v>1</v>
      </c>
      <c r="U33" t="n">
        <v>0</v>
      </c>
      <c r="V33" s="2" t="inlineStr">
        <is>
          <t>Slaguggla</t>
        </is>
      </c>
      <c r="W33">
        <f>HYPERLINK("https://klasma.github.io/Logging_0330/artfynd/A 33770-2023 artfynd.xlsx", "A 33770-2023")</f>
        <v/>
      </c>
      <c r="X33">
        <f>HYPERLINK("https://klasma.github.io/Logging_0330/kartor/A 33770-2023 karta.png", "A 33770-2023")</f>
        <v/>
      </c>
      <c r="Y33">
        <f>HYPERLINK("https://klasma.github.io/Logging_0330/kartor_geotiff/A 33770-2023 georefererad karta.tif", "A 33770-2023")</f>
        <v/>
      </c>
      <c r="AA33">
        <f>HYPERLINK("https://klasma.github.io/Logging_0330/klagomål/A 33770-2023 FSC-klagomål.docx", "A 33770-2023")</f>
        <v/>
      </c>
      <c r="AB33">
        <f>HYPERLINK("https://klasma.github.io/Logging_0330/klagomålsmail/A 33770-2023 FSC-klagomål mail.docx", "A 33770-2023")</f>
        <v/>
      </c>
      <c r="AC33">
        <f>HYPERLINK("https://klasma.github.io/Logging_0330/tillsyn/A 33770-2023 tillsynsbegäran.docx", "A 33770-2023")</f>
        <v/>
      </c>
      <c r="AD33">
        <f>HYPERLINK("https://klasma.github.io/Logging_0330/tillsynsmail/A 33770-2023 tillsynsbegäran mail.docx", "A 33770-2023")</f>
        <v/>
      </c>
      <c r="AE33">
        <f>HYPERLINK("https://klasma.github.io/Logging_0330/fåglar/A 33770-2023 prioriterade fågelarter.docx", "A 33770-2023")</f>
        <v/>
      </c>
    </row>
    <row r="34" ht="15" customHeight="1">
      <c r="A34" t="inlineStr">
        <is>
          <t>A 11405-2025</t>
        </is>
      </c>
      <c r="B34" t="inlineStr">
        <is>
          <t>avverkningsanmälan</t>
        </is>
      </c>
      <c r="C34" t="inlineStr">
        <is>
          <t>Föryngringsavverkning</t>
        </is>
      </c>
      <c r="D34" s="1" t="n">
        <v>45726</v>
      </c>
      <c r="E34" s="1" t="n">
        <v>46322</v>
      </c>
      <c r="F34" t="inlineStr">
        <is>
          <t>UPPSALA LÄN</t>
        </is>
      </c>
      <c r="G34" t="inlineStr">
        <is>
          <t>KNIVSTA</t>
        </is>
      </c>
      <c r="I34" t="n">
        <v>1.6</v>
      </c>
      <c r="J34" t="n">
        <v>0</v>
      </c>
      <c r="K34" t="n">
        <v>0</v>
      </c>
      <c r="L34" t="n">
        <v>0</v>
      </c>
      <c r="M34" t="n">
        <v>1</v>
      </c>
      <c r="N34" t="n">
        <v>0</v>
      </c>
      <c r="O34" t="n">
        <v>0</v>
      </c>
      <c r="P34" t="n">
        <v>0</v>
      </c>
      <c r="Q34" t="n">
        <v>1</v>
      </c>
      <c r="R34" t="n">
        <v>1</v>
      </c>
      <c r="S34" t="n">
        <v>1</v>
      </c>
      <c r="T34" t="n">
        <v>1</v>
      </c>
      <c r="U34" t="n">
        <v>0</v>
      </c>
      <c r="V34" s="2" t="inlineStr">
        <is>
          <t>Fältgentiana</t>
        </is>
      </c>
      <c r="W34">
        <f>HYPERLINK("https://klasma.github.io/Logging_0330/artfynd/A 11405-2025 artfynd.xlsx", "A 11405-2025")</f>
        <v/>
      </c>
      <c r="X34">
        <f>HYPERLINK("https://klasma.github.io/Logging_0330/kartor/A 11405-2025 karta.png", "A 11405-2025")</f>
        <v/>
      </c>
      <c r="Y34">
        <f>HYPERLINK("https://klasma.github.io/Logging_0330/kartor_geotiff/A 11405-2025 georefererad karta.tif", "A 11405-2025")</f>
        <v/>
      </c>
      <c r="AA34">
        <f>HYPERLINK("https://klasma.github.io/Logging_0330/klagomål/A 11405-2025 FSC-klagomål.docx", "A 11405-2025")</f>
        <v/>
      </c>
      <c r="AB34">
        <f>HYPERLINK("https://klasma.github.io/Logging_0330/klagomålsmail/A 11405-2025 FSC-klagomål mail.docx", "A 11405-2025")</f>
        <v/>
      </c>
      <c r="AC34">
        <f>HYPERLINK("https://klasma.github.io/Logging_0330/tillsyn/A 11405-2025 tillsynsbegäran.docx", "A 11405-2025")</f>
        <v/>
      </c>
      <c r="AD34">
        <f>HYPERLINK("https://klasma.github.io/Logging_0330/tillsynsmail/A 11405-2025 tillsynsbegäran mail.docx", "A 11405-2025")</f>
        <v/>
      </c>
    </row>
    <row r="35" ht="15" customHeight="1">
      <c r="A35" t="inlineStr">
        <is>
          <t>A 60885-2021</t>
        </is>
      </c>
      <c r="B35" t="inlineStr">
        <is>
          <t>avverkningsanmälan</t>
        </is>
      </c>
      <c r="C35" t="inlineStr">
        <is>
          <t>Föryngringsavverkning</t>
        </is>
      </c>
      <c r="D35" s="1" t="n">
        <v>44497</v>
      </c>
      <c r="E35" s="1" t="n">
        <v>46322</v>
      </c>
      <c r="F35" t="inlineStr">
        <is>
          <t>UPPSALA LÄN</t>
        </is>
      </c>
      <c r="G35" t="inlineStr">
        <is>
          <t>KNIVSTA</t>
        </is>
      </c>
      <c r="I35" t="n">
        <v>1.5</v>
      </c>
      <c r="J35" t="n">
        <v>0</v>
      </c>
      <c r="K35" t="n">
        <v>1</v>
      </c>
      <c r="L35" t="n">
        <v>0</v>
      </c>
      <c r="M35" t="n">
        <v>0</v>
      </c>
      <c r="N35" t="n">
        <v>0</v>
      </c>
      <c r="O35" t="n">
        <v>0</v>
      </c>
      <c r="P35" t="n">
        <v>0</v>
      </c>
      <c r="Q35" t="n">
        <v>0</v>
      </c>
      <c r="R35" t="n">
        <v>0</v>
      </c>
      <c r="S35" t="n">
        <v>1</v>
      </c>
      <c r="T35" t="n">
        <v>1</v>
      </c>
      <c r="U35" t="n">
        <v>1</v>
      </c>
      <c r="V35" s="2" t="inlineStr">
        <is>
          <t>Sotlav</t>
        </is>
      </c>
      <c r="W35">
        <f>HYPERLINK("https://klasma.github.io/Logging_0330/artfynd/A 60885-2021 artfynd.xlsx", "A 60885-2021")</f>
        <v/>
      </c>
      <c r="X35">
        <f>HYPERLINK("https://klasma.github.io/Logging_0330/kartor/A 60885-2021 karta.png", "A 60885-2021")</f>
        <v/>
      </c>
      <c r="Y35">
        <f>HYPERLINK("https://klasma.github.io/Logging_0330/kartor_geotiff/A 60885-2021 georefererad karta.tif", "A 60885-2021")</f>
        <v/>
      </c>
      <c r="AA35">
        <f>HYPERLINK("https://klasma.github.io/Logging_0330/klagomål/A 60885-2021 FSC-klagomål.docx", "A 60885-2021")</f>
        <v/>
      </c>
      <c r="AB35">
        <f>HYPERLINK("https://klasma.github.io/Logging_0330/klagomålsmail/A 60885-2021 FSC-klagomål mail.docx", "A 60885-2021")</f>
        <v/>
      </c>
      <c r="AC35">
        <f>HYPERLINK("https://klasma.github.io/Logging_0330/tillsyn/A 60885-2021 tillsynsbegäran.docx", "A 60885-2021")</f>
        <v/>
      </c>
      <c r="AD35">
        <f>HYPERLINK("https://klasma.github.io/Logging_0330/tillsynsmail/A 60885-2021 tillsynsbegäran mail.docx", "A 60885-2021")</f>
        <v/>
      </c>
    </row>
    <row r="36" ht="15" customHeight="1">
      <c r="A36" t="inlineStr">
        <is>
          <t>A 43575-2026</t>
        </is>
      </c>
      <c r="B36" t="inlineStr">
        <is>
          <t>avverkningsanmälan</t>
        </is>
      </c>
      <c r="C36" t="inlineStr">
        <is>
          <t>Föryngringsavverkning</t>
        </is>
      </c>
      <c r="D36" s="1" t="n">
        <v>46315</v>
      </c>
      <c r="E36" s="1" t="n">
        <v>46322</v>
      </c>
      <c r="F36" t="inlineStr">
        <is>
          <t>UPPSALA LÄN</t>
        </is>
      </c>
      <c r="G36" t="inlineStr">
        <is>
          <t>KNIVSTA</t>
        </is>
      </c>
      <c r="I36" t="n">
        <v>6.9</v>
      </c>
      <c r="J36" t="n">
        <v>0</v>
      </c>
      <c r="K36" t="n">
        <v>1</v>
      </c>
      <c r="L36" t="n">
        <v>0</v>
      </c>
      <c r="M36" t="n">
        <v>0</v>
      </c>
      <c r="N36" t="n">
        <v>0</v>
      </c>
      <c r="O36" t="n">
        <v>0</v>
      </c>
      <c r="P36" t="n">
        <v>0</v>
      </c>
      <c r="Q36" t="n">
        <v>0</v>
      </c>
      <c r="R36" t="n">
        <v>0</v>
      </c>
      <c r="S36" t="n">
        <v>1</v>
      </c>
      <c r="T36" t="n">
        <v>1</v>
      </c>
      <c r="U36" t="n">
        <v>0</v>
      </c>
      <c r="V36" s="2" t="inlineStr">
        <is>
          <t>Sotlav</t>
        </is>
      </c>
      <c r="W36">
        <f>HYPERLINK("https://klasma.github.io/Logging_0330/artfynd/A 43575-2026 artfynd.xlsx", "A 43575-2026")</f>
        <v/>
      </c>
      <c r="X36">
        <f>HYPERLINK("https://klasma.github.io/Logging_0330/kartor/A 43575-2026 karta.png", "A 43575-2026")</f>
        <v/>
      </c>
      <c r="Y36">
        <f>HYPERLINK("https://klasma.github.io/Logging_0330/kartor_geotiff/A 43575-2026 georefererad karta.tif", "A 43575-2026")</f>
        <v/>
      </c>
      <c r="AA36">
        <f>HYPERLINK("https://klasma.github.io/Logging_0330/klagomål/A 43575-2026 FSC-klagomål.docx", "A 43575-2026")</f>
        <v/>
      </c>
      <c r="AB36">
        <f>HYPERLINK("https://klasma.github.io/Logging_0330/klagomålsmail/A 43575-2026 FSC-klagomål mail.docx", "A 43575-2026")</f>
        <v/>
      </c>
      <c r="AC36">
        <f>HYPERLINK("https://klasma.github.io/Logging_0330/tillsyn/A 43575-2026 tillsynsbegäran.docx", "A 43575-2026")</f>
        <v/>
      </c>
      <c r="AD36">
        <f>HYPERLINK("https://klasma.github.io/Logging_0330/tillsynsmail/A 43575-2026 tillsynsbegäran mail.docx", "A 43575-2026")</f>
        <v/>
      </c>
    </row>
    <row r="37" ht="15" customHeight="1">
      <c r="A37" t="inlineStr">
        <is>
          <t>S 1786-2022</t>
        </is>
      </c>
      <c r="B37" t="inlineStr">
        <is>
          <t>samrådsanmälan</t>
        </is>
      </c>
      <c r="C37" t="inlineStr">
        <is>
          <t>Åtgärd i nyckelbiotop</t>
        </is>
      </c>
      <c r="D37" s="1" t="n">
        <v>44655</v>
      </c>
      <c r="E37" s="1" t="n">
        <v>46322</v>
      </c>
      <c r="F37" t="inlineStr">
        <is>
          <t>UPPSALA LÄN</t>
        </is>
      </c>
      <c r="G37" t="inlineStr">
        <is>
          <t>KNIVSTA</t>
        </is>
      </c>
      <c r="H37" t="inlineStr">
        <is>
          <t>Kyrkan</t>
        </is>
      </c>
      <c r="I37" t="n">
        <v>4.3</v>
      </c>
      <c r="J37" t="n">
        <v>0</v>
      </c>
      <c r="K37" t="n">
        <v>0</v>
      </c>
      <c r="L37" t="n">
        <v>1</v>
      </c>
      <c r="M37" t="n">
        <v>0</v>
      </c>
      <c r="N37" t="n">
        <v>0</v>
      </c>
      <c r="O37" t="n">
        <v>0</v>
      </c>
      <c r="P37" t="n">
        <v>0</v>
      </c>
      <c r="Q37" t="n">
        <v>1</v>
      </c>
      <c r="R37" t="n">
        <v>0</v>
      </c>
      <c r="S37" t="n">
        <v>1</v>
      </c>
      <c r="T37" t="n">
        <v>1</v>
      </c>
      <c r="U37" t="n">
        <v>0</v>
      </c>
      <c r="V37" s="2" t="inlineStr">
        <is>
          <t>Tallticka</t>
        </is>
      </c>
      <c r="W37">
        <f>HYPERLINK("https://klasma.github.io/Logging_0330/artfynd/S 1786-2022 artfynd.xlsx", "S 1786-2022")</f>
        <v/>
      </c>
      <c r="X37">
        <f>HYPERLINK("https://klasma.github.io/Logging_0330/kartor/S 1786-2022 karta.png", "S 1786-2022")</f>
        <v/>
      </c>
      <c r="Y37">
        <f>HYPERLINK("https://klasma.github.io/Logging_0330/kartor_geotiff/S 1786-2022 georefererad karta.tif", "S 1786-2022")</f>
        <v/>
      </c>
      <c r="AA37">
        <f>HYPERLINK("https://klasma.github.io/Logging_0330/klagomål/S 1786-2022 FSC-klagomål.docx", "S 1786-2022")</f>
        <v/>
      </c>
      <c r="AB37">
        <f>HYPERLINK("https://klasma.github.io/Logging_0330/klagomålsmail/S 1786-2022 FSC-klagomål mail.docx", "S 1786-2022")</f>
        <v/>
      </c>
      <c r="AC37">
        <f>HYPERLINK("https://klasma.github.io/Logging_0330/tillsyn/S 1786-2022 tillsynsbegäran.docx", "S 1786-2022")</f>
        <v/>
      </c>
      <c r="AD37">
        <f>HYPERLINK("https://klasma.github.io/Logging_0330/tillsynsmail/S 1786-2022 tillsynsbegäran mail.docx", "S 1786-2022")</f>
        <v/>
      </c>
    </row>
    <row r="38" ht="15" customHeight="1">
      <c r="A38" t="inlineStr">
        <is>
          <t>A 66298-2021</t>
        </is>
      </c>
      <c r="B38" t="inlineStr">
        <is>
          <t>avverkningsanmälan</t>
        </is>
      </c>
      <c r="C38" t="inlineStr">
        <is>
          <t>Föryngringsavverkning</t>
        </is>
      </c>
      <c r="D38" s="1" t="n">
        <v>44518</v>
      </c>
      <c r="E38" s="1" t="n">
        <v>46322</v>
      </c>
      <c r="F38" t="inlineStr">
        <is>
          <t>UPPSALA LÄN</t>
        </is>
      </c>
      <c r="G38" t="inlineStr">
        <is>
          <t>KNIVSTA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46149-2022</t>
        </is>
      </c>
      <c r="B39" t="inlineStr">
        <is>
          <t>avverkningsanmälan</t>
        </is>
      </c>
      <c r="C39" t="inlineStr">
        <is>
          <t>Föryngringsavverkning</t>
        </is>
      </c>
      <c r="D39" s="1" t="n">
        <v>44847</v>
      </c>
      <c r="E39" s="1" t="n">
        <v>46322</v>
      </c>
      <c r="F39" t="inlineStr">
        <is>
          <t>UPPSALA LÄN</t>
        </is>
      </c>
      <c r="G39" t="inlineStr">
        <is>
          <t>KNIVSTA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16775-2022</t>
        </is>
      </c>
      <c r="B40" t="inlineStr">
        <is>
          <t>avverkningsanmälan</t>
        </is>
      </c>
      <c r="C40" t="inlineStr">
        <is>
          <t>Avverkning för annat ändamål</t>
        </is>
      </c>
      <c r="D40" s="1" t="n">
        <v>44673</v>
      </c>
      <c r="E40" s="1" t="n">
        <v>46322</v>
      </c>
      <c r="F40" t="inlineStr">
        <is>
          <t>UPPSALA LÄN</t>
        </is>
      </c>
      <c r="G40" t="inlineStr">
        <is>
          <t>KNIVSTA</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62451-2021</t>
        </is>
      </c>
      <c r="B41" t="inlineStr">
        <is>
          <t>avverkningsanmälan</t>
        </is>
      </c>
      <c r="C41" t="inlineStr">
        <is>
          <t>Föryngringsavverkning</t>
        </is>
      </c>
      <c r="D41" s="1" t="n">
        <v>44509</v>
      </c>
      <c r="E41" s="1" t="n">
        <v>46322</v>
      </c>
      <c r="F41" t="inlineStr">
        <is>
          <t>UPPSALA LÄN</t>
        </is>
      </c>
      <c r="G41" t="inlineStr">
        <is>
          <t>KNIVSTA</t>
        </is>
      </c>
      <c r="I41" t="n">
        <v>2.5</v>
      </c>
      <c r="J41" t="n">
        <v>0</v>
      </c>
      <c r="K41" t="n">
        <v>0</v>
      </c>
      <c r="L41" t="n">
        <v>0</v>
      </c>
      <c r="M41" t="n">
        <v>0</v>
      </c>
      <c r="N41" t="n">
        <v>0</v>
      </c>
      <c r="O41" t="n">
        <v>0</v>
      </c>
      <c r="P41" t="n">
        <v>0</v>
      </c>
      <c r="Q41" t="n">
        <v>0</v>
      </c>
      <c r="R41" t="n">
        <v>0</v>
      </c>
      <c r="S41" t="n">
        <v>0</v>
      </c>
      <c r="T41" t="n">
        <v>0</v>
      </c>
      <c r="U41" t="n">
        <v>0</v>
      </c>
      <c r="V41" s="2" t="inlineStr"/>
    </row>
    <row r="42" ht="15" customHeight="1">
      <c r="A42" t="inlineStr">
        <is>
          <t>A 64044-2021</t>
        </is>
      </c>
      <c r="B42" t="inlineStr">
        <is>
          <t>avverkningsanmälan</t>
        </is>
      </c>
      <c r="C42" t="inlineStr">
        <is>
          <t>Föryngringsavverkning</t>
        </is>
      </c>
      <c r="D42" s="1" t="n">
        <v>44510</v>
      </c>
      <c r="E42" s="1" t="n">
        <v>46322</v>
      </c>
      <c r="F42" t="inlineStr">
        <is>
          <t>UPPSALA LÄN</t>
        </is>
      </c>
      <c r="G42" t="inlineStr">
        <is>
          <t>KNIVSTA</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70275-2021</t>
        </is>
      </c>
      <c r="B43" t="inlineStr">
        <is>
          <t>avverkningsanmälan</t>
        </is>
      </c>
      <c r="C43" t="inlineStr">
        <is>
          <t>Föryngringsavverkning</t>
        </is>
      </c>
      <c r="D43" s="1" t="n">
        <v>44536</v>
      </c>
      <c r="E43" s="1" t="n">
        <v>46322</v>
      </c>
      <c r="F43" t="inlineStr">
        <is>
          <t>UPPSALA LÄN</t>
        </is>
      </c>
      <c r="G43" t="inlineStr">
        <is>
          <t>KNIVSTA</t>
        </is>
      </c>
      <c r="H43" t="inlineStr">
        <is>
          <t>Holmen skog AB</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66256-2021</t>
        </is>
      </c>
      <c r="B44" t="inlineStr">
        <is>
          <t>avverkningsanmälan</t>
        </is>
      </c>
      <c r="C44" t="inlineStr">
        <is>
          <t>Föryngringsavverkning</t>
        </is>
      </c>
      <c r="D44" s="1" t="n">
        <v>44518</v>
      </c>
      <c r="E44" s="1" t="n">
        <v>46322</v>
      </c>
      <c r="F44" t="inlineStr">
        <is>
          <t>UPPSALA LÄN</t>
        </is>
      </c>
      <c r="G44" t="inlineStr">
        <is>
          <t>KNIVSTA</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18820-2022</t>
        </is>
      </c>
      <c r="B45" t="inlineStr">
        <is>
          <t>avverkningsanmälan</t>
        </is>
      </c>
      <c r="C45" t="inlineStr">
        <is>
          <t>Föryngringsavverkning</t>
        </is>
      </c>
      <c r="D45" s="1" t="n">
        <v>44690</v>
      </c>
      <c r="E45" s="1" t="n">
        <v>46322</v>
      </c>
      <c r="F45" t="inlineStr">
        <is>
          <t>UPPSALA LÄN</t>
        </is>
      </c>
      <c r="G45" t="inlineStr">
        <is>
          <t>KNIVSTA</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62441-2021</t>
        </is>
      </c>
      <c r="B46" t="inlineStr">
        <is>
          <t>avverkningsanmälan</t>
        </is>
      </c>
      <c r="C46" t="inlineStr">
        <is>
          <t>Föryngringsavverkning</t>
        </is>
      </c>
      <c r="D46" s="1" t="n">
        <v>44503</v>
      </c>
      <c r="E46" s="1" t="n">
        <v>46322</v>
      </c>
      <c r="F46" t="inlineStr">
        <is>
          <t>UPPSALA LÄN</t>
        </is>
      </c>
      <c r="G46" t="inlineStr">
        <is>
          <t>KNIVSTA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72966-2021</t>
        </is>
      </c>
      <c r="B47" t="inlineStr">
        <is>
          <t>avverkningsanmälan</t>
        </is>
      </c>
      <c r="C47" t="inlineStr">
        <is>
          <t>Föryngringsavverkning</t>
        </is>
      </c>
      <c r="D47" s="1" t="n">
        <v>44548</v>
      </c>
      <c r="E47" s="1" t="n">
        <v>46322</v>
      </c>
      <c r="F47" t="inlineStr">
        <is>
          <t>UPPSALA LÄN</t>
        </is>
      </c>
      <c r="G47" t="inlineStr">
        <is>
          <t>KNIVSTA</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72967-2021</t>
        </is>
      </c>
      <c r="B48" t="inlineStr">
        <is>
          <t>avverkningsanmälan</t>
        </is>
      </c>
      <c r="C48" t="inlineStr">
        <is>
          <t>Föryngringsavverkning</t>
        </is>
      </c>
      <c r="D48" s="1" t="n">
        <v>44548</v>
      </c>
      <c r="E48" s="1" t="n">
        <v>46322</v>
      </c>
      <c r="F48" t="inlineStr">
        <is>
          <t>UPPSALA LÄN</t>
        </is>
      </c>
      <c r="G48" t="inlineStr">
        <is>
          <t>KNIVSTA</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34078-2022</t>
        </is>
      </c>
      <c r="B49" t="inlineStr">
        <is>
          <t>avverkningsanmälan</t>
        </is>
      </c>
      <c r="C49" t="inlineStr">
        <is>
          <t>Föryngringsavverkning</t>
        </is>
      </c>
      <c r="D49" s="1" t="n">
        <v>44791</v>
      </c>
      <c r="E49" s="1" t="n">
        <v>46322</v>
      </c>
      <c r="F49" t="inlineStr">
        <is>
          <t>UPPSALA LÄN</t>
        </is>
      </c>
      <c r="G49" t="inlineStr">
        <is>
          <t>KNIVSTA</t>
        </is>
      </c>
      <c r="H49" t="inlineStr">
        <is>
          <t>Övriga statliga verk och myndigheter</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17091-2023</t>
        </is>
      </c>
      <c r="B50" t="inlineStr">
        <is>
          <t>avverkningsanmälan</t>
        </is>
      </c>
      <c r="C50" t="inlineStr">
        <is>
          <t>Föryngringsavverkning</t>
        </is>
      </c>
      <c r="D50" s="1" t="n">
        <v>45034</v>
      </c>
      <c r="E50" s="1" t="n">
        <v>46322</v>
      </c>
      <c r="F50" t="inlineStr">
        <is>
          <t>UPPSALA LÄN</t>
        </is>
      </c>
      <c r="G50" t="inlineStr">
        <is>
          <t>KNIVSTA</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45453-2025</t>
        </is>
      </c>
      <c r="B51" t="inlineStr">
        <is>
          <t>avverkningsanmälan</t>
        </is>
      </c>
      <c r="C51" t="inlineStr">
        <is>
          <t>Föryngringsavverkning</t>
        </is>
      </c>
      <c r="D51" s="1" t="n">
        <v>45922</v>
      </c>
      <c r="E51" s="1" t="n">
        <v>46322</v>
      </c>
      <c r="F51" t="inlineStr">
        <is>
          <t>UPPSALA LÄN</t>
        </is>
      </c>
      <c r="G51" t="inlineStr">
        <is>
          <t>KNIVSTA</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13697-2024</t>
        </is>
      </c>
      <c r="B52" t="inlineStr">
        <is>
          <t>avverkningsanmälan</t>
        </is>
      </c>
      <c r="C52" t="inlineStr">
        <is>
          <t>Föryngringsavverkning</t>
        </is>
      </c>
      <c r="D52" s="1" t="n">
        <v>45390</v>
      </c>
      <c r="E52" s="1" t="n">
        <v>46322</v>
      </c>
      <c r="F52" t="inlineStr">
        <is>
          <t>UPPSALA LÄN</t>
        </is>
      </c>
      <c r="G52" t="inlineStr">
        <is>
          <t>KNIVSTA</t>
        </is>
      </c>
      <c r="H52" t="inlineStr">
        <is>
          <t>Holmen skog AB</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26182-2022</t>
        </is>
      </c>
      <c r="B53" t="inlineStr">
        <is>
          <t>avverkningsanmälan</t>
        </is>
      </c>
      <c r="C53" t="inlineStr">
        <is>
          <t>Föryngringsavverkning</t>
        </is>
      </c>
      <c r="D53" s="1" t="n">
        <v>44735</v>
      </c>
      <c r="E53" s="1" t="n">
        <v>46322</v>
      </c>
      <c r="F53" t="inlineStr">
        <is>
          <t>UPPSALA LÄN</t>
        </is>
      </c>
      <c r="G53" t="inlineStr">
        <is>
          <t>KNIVSTA</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47803-2025</t>
        </is>
      </c>
      <c r="B54" t="inlineStr">
        <is>
          <t>avverkningsanmälan</t>
        </is>
      </c>
      <c r="C54" t="inlineStr">
        <is>
          <t>Avverkning för annat ändamål</t>
        </is>
      </c>
      <c r="D54" s="1" t="n">
        <v>45931</v>
      </c>
      <c r="E54" s="1" t="n">
        <v>46322</v>
      </c>
      <c r="F54" t="inlineStr">
        <is>
          <t>UPPSALA LÄN</t>
        </is>
      </c>
      <c r="G54" t="inlineStr">
        <is>
          <t>KNIVSTA</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2628-2025</t>
        </is>
      </c>
      <c r="B55" t="inlineStr">
        <is>
          <t>avverkningsanmälan</t>
        </is>
      </c>
      <c r="C55" t="inlineStr">
        <is>
          <t>Föryngringsavverkning</t>
        </is>
      </c>
      <c r="D55" s="1" t="n">
        <v>45675</v>
      </c>
      <c r="E55" s="1" t="n">
        <v>46322</v>
      </c>
      <c r="F55" t="inlineStr">
        <is>
          <t>UPPSALA LÄN</t>
        </is>
      </c>
      <c r="G55" t="inlineStr">
        <is>
          <t>KNIVSTA</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17333-2024</t>
        </is>
      </c>
      <c r="B56" t="inlineStr">
        <is>
          <t>avverkningsanmälan</t>
        </is>
      </c>
      <c r="C56" t="inlineStr">
        <is>
          <t>Föryngringsavverkning</t>
        </is>
      </c>
      <c r="D56" s="1" t="n">
        <v>45414</v>
      </c>
      <c r="E56" s="1" t="n">
        <v>46322</v>
      </c>
      <c r="F56" t="inlineStr">
        <is>
          <t>UPPSALA LÄN</t>
        </is>
      </c>
      <c r="G56" t="inlineStr">
        <is>
          <t>KNIVSTA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49090-2025</t>
        </is>
      </c>
      <c r="B57" t="inlineStr">
        <is>
          <t>avverkningsanmälan</t>
        </is>
      </c>
      <c r="C57" t="inlineStr">
        <is>
          <t>Föryngringsavverkning</t>
        </is>
      </c>
      <c r="D57" s="1" t="n">
        <v>45937</v>
      </c>
      <c r="E57" s="1" t="n">
        <v>46322</v>
      </c>
      <c r="F57" t="inlineStr">
        <is>
          <t>UPPSALA LÄN</t>
        </is>
      </c>
      <c r="G57" t="inlineStr">
        <is>
          <t>KNIVSTA</t>
        </is>
      </c>
      <c r="I57" t="n">
        <v>4.1</v>
      </c>
      <c r="J57" t="n">
        <v>0</v>
      </c>
      <c r="K57" t="n">
        <v>0</v>
      </c>
      <c r="L57" t="n">
        <v>0</v>
      </c>
      <c r="M57" t="n">
        <v>0</v>
      </c>
      <c r="N57" t="n">
        <v>0</v>
      </c>
      <c r="O57" t="n">
        <v>0</v>
      </c>
      <c r="P57" t="n">
        <v>0</v>
      </c>
      <c r="Q57" t="n">
        <v>0</v>
      </c>
      <c r="R57" t="n">
        <v>0</v>
      </c>
      <c r="S57" t="n">
        <v>0</v>
      </c>
      <c r="T57" t="n">
        <v>0</v>
      </c>
      <c r="U57" t="n">
        <v>0</v>
      </c>
      <c r="V57" s="2" t="inlineStr"/>
    </row>
    <row r="58" ht="15" customHeight="1">
      <c r="A58" t="inlineStr">
        <is>
          <t>A 1629-2024</t>
        </is>
      </c>
      <c r="B58" t="inlineStr">
        <is>
          <t>avverkningsanmälan</t>
        </is>
      </c>
      <c r="C58" t="inlineStr">
        <is>
          <t>Föryngringsavverkning</t>
        </is>
      </c>
      <c r="D58" s="1" t="n">
        <v>45306</v>
      </c>
      <c r="E58" s="1" t="n">
        <v>46322</v>
      </c>
      <c r="F58" t="inlineStr">
        <is>
          <t>UPPSALA LÄN</t>
        </is>
      </c>
      <c r="G58" t="inlineStr">
        <is>
          <t>KNIVSTA</t>
        </is>
      </c>
      <c r="H58" t="inlineStr">
        <is>
          <t>Holmen skog AB</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30764-2023</t>
        </is>
      </c>
      <c r="B59" t="inlineStr">
        <is>
          <t>avverkningsanmälan</t>
        </is>
      </c>
      <c r="C59" t="inlineStr">
        <is>
          <t>Föryngringsavverkning</t>
        </is>
      </c>
      <c r="D59" s="1" t="n">
        <v>45112</v>
      </c>
      <c r="E59" s="1" t="n">
        <v>46322</v>
      </c>
      <c r="F59" t="inlineStr">
        <is>
          <t>UPPSALA LÄN</t>
        </is>
      </c>
      <c r="G59" t="inlineStr">
        <is>
          <t>KNIVSTA</t>
        </is>
      </c>
      <c r="H59" t="inlineStr">
        <is>
          <t>Holmen skog AB</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11841-2023</t>
        </is>
      </c>
      <c r="B60" t="inlineStr">
        <is>
          <t>avverkningsanmälan</t>
        </is>
      </c>
      <c r="C60" t="inlineStr">
        <is>
          <t>Föryngringsavverkning</t>
        </is>
      </c>
      <c r="D60" s="1" t="n">
        <v>44995</v>
      </c>
      <c r="E60" s="1" t="n">
        <v>46322</v>
      </c>
      <c r="F60" t="inlineStr">
        <is>
          <t>UPPSALA LÄN</t>
        </is>
      </c>
      <c r="G60" t="inlineStr">
        <is>
          <t>KNIVSTA</t>
        </is>
      </c>
      <c r="I60" t="n">
        <v>3.9</v>
      </c>
      <c r="J60" t="n">
        <v>0</v>
      </c>
      <c r="K60" t="n">
        <v>0</v>
      </c>
      <c r="L60" t="n">
        <v>0</v>
      </c>
      <c r="M60" t="n">
        <v>0</v>
      </c>
      <c r="N60" t="n">
        <v>0</v>
      </c>
      <c r="O60" t="n">
        <v>0</v>
      </c>
      <c r="P60" t="n">
        <v>0</v>
      </c>
      <c r="Q60" t="n">
        <v>0</v>
      </c>
      <c r="R60" t="n">
        <v>0</v>
      </c>
      <c r="S60" t="n">
        <v>0</v>
      </c>
      <c r="T60" t="n">
        <v>0</v>
      </c>
      <c r="U60" t="n">
        <v>0</v>
      </c>
      <c r="V60" s="2" t="inlineStr"/>
    </row>
    <row r="61" ht="15" customHeight="1">
      <c r="A61" t="inlineStr">
        <is>
          <t>A 11450-2023</t>
        </is>
      </c>
      <c r="B61" t="inlineStr">
        <is>
          <t>avverkningsanmälan</t>
        </is>
      </c>
      <c r="C61" t="inlineStr">
        <is>
          <t>Föryngringsavverkning</t>
        </is>
      </c>
      <c r="D61" s="1" t="n">
        <v>44993</v>
      </c>
      <c r="E61" s="1" t="n">
        <v>46322</v>
      </c>
      <c r="F61" t="inlineStr">
        <is>
          <t>UPPSALA LÄN</t>
        </is>
      </c>
      <c r="G61" t="inlineStr">
        <is>
          <t>KNIVSTA</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45525-2023</t>
        </is>
      </c>
      <c r="B62" t="inlineStr">
        <is>
          <t>avverkningsanmälan</t>
        </is>
      </c>
      <c r="C62" t="inlineStr">
        <is>
          <t>Avverkning för annat ändamål</t>
        </is>
      </c>
      <c r="D62" s="1" t="n">
        <v>45194</v>
      </c>
      <c r="E62" s="1" t="n">
        <v>46322</v>
      </c>
      <c r="F62" t="inlineStr">
        <is>
          <t>UPPSALA LÄN</t>
        </is>
      </c>
      <c r="G62" t="inlineStr">
        <is>
          <t>KNIVSTA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794-2024</t>
        </is>
      </c>
      <c r="B63" t="inlineStr">
        <is>
          <t>avverkningsanmälan</t>
        </is>
      </c>
      <c r="C63" t="inlineStr">
        <is>
          <t>Föryngringsavverkning</t>
        </is>
      </c>
      <c r="D63" s="1" t="n">
        <v>45300</v>
      </c>
      <c r="E63" s="1" t="n">
        <v>46322</v>
      </c>
      <c r="F63" t="inlineStr">
        <is>
          <t>UPPSALA LÄN</t>
        </is>
      </c>
      <c r="G63" t="inlineStr">
        <is>
          <t>KNIVSTA</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60243-2025</t>
        </is>
      </c>
      <c r="B64" t="inlineStr">
        <is>
          <t>avverkningsanmälan</t>
        </is>
      </c>
      <c r="C64" t="inlineStr">
        <is>
          <t>Föryngringsavverkning</t>
        </is>
      </c>
      <c r="D64" s="1" t="n">
        <v>45994</v>
      </c>
      <c r="E64" s="1" t="n">
        <v>46322</v>
      </c>
      <c r="F64" t="inlineStr">
        <is>
          <t>UPPSALA LÄN</t>
        </is>
      </c>
      <c r="G64" t="inlineStr">
        <is>
          <t>KNIVSTA</t>
        </is>
      </c>
      <c r="H64" t="inlineStr">
        <is>
          <t>Holmen skog AB</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20902-2024</t>
        </is>
      </c>
      <c r="B65" t="inlineStr">
        <is>
          <t>avverkningsanmälan</t>
        </is>
      </c>
      <c r="C65" t="inlineStr">
        <is>
          <t>Föryngringsavverkning</t>
        </is>
      </c>
      <c r="D65" s="1" t="n">
        <v>45439</v>
      </c>
      <c r="E65" s="1" t="n">
        <v>46322</v>
      </c>
      <c r="F65" t="inlineStr">
        <is>
          <t>UPPSALA LÄN</t>
        </is>
      </c>
      <c r="G65" t="inlineStr">
        <is>
          <t>KNIVSTA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16773-2022</t>
        </is>
      </c>
      <c r="B66" t="inlineStr">
        <is>
          <t>avverkningsanmälan</t>
        </is>
      </c>
      <c r="C66" t="inlineStr">
        <is>
          <t>Avverkning för annat ändamål</t>
        </is>
      </c>
      <c r="D66" s="1" t="n">
        <v>44673</v>
      </c>
      <c r="E66" s="1" t="n">
        <v>46322</v>
      </c>
      <c r="F66" t="inlineStr">
        <is>
          <t>UPPSALA LÄN</t>
        </is>
      </c>
      <c r="G66" t="inlineStr">
        <is>
          <t>KNIVSTA</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60018-2024</t>
        </is>
      </c>
      <c r="B67" t="inlineStr">
        <is>
          <t>avverkningsanmälan</t>
        </is>
      </c>
      <c r="C67" t="inlineStr">
        <is>
          <t>Föryngringsavverkning</t>
        </is>
      </c>
      <c r="D67" s="1" t="n">
        <v>45642</v>
      </c>
      <c r="E67" s="1" t="n">
        <v>46322</v>
      </c>
      <c r="F67" t="inlineStr">
        <is>
          <t>UPPSALA LÄN</t>
        </is>
      </c>
      <c r="G67" t="inlineStr">
        <is>
          <t>KNIVSTA</t>
        </is>
      </c>
      <c r="I67" t="n">
        <v>4.1</v>
      </c>
      <c r="J67" t="n">
        <v>0</v>
      </c>
      <c r="K67" t="n">
        <v>0</v>
      </c>
      <c r="L67" t="n">
        <v>0</v>
      </c>
      <c r="M67" t="n">
        <v>0</v>
      </c>
      <c r="N67" t="n">
        <v>0</v>
      </c>
      <c r="O67" t="n">
        <v>0</v>
      </c>
      <c r="P67" t="n">
        <v>0</v>
      </c>
      <c r="Q67" t="n">
        <v>0</v>
      </c>
      <c r="R67" t="n">
        <v>0</v>
      </c>
      <c r="S67" t="n">
        <v>0</v>
      </c>
      <c r="T67" t="n">
        <v>0</v>
      </c>
      <c r="U67" t="n">
        <v>0</v>
      </c>
      <c r="V67" s="2" t="inlineStr"/>
    </row>
    <row r="68" ht="15" customHeight="1">
      <c r="A68" t="inlineStr">
        <is>
          <t>A 662-2026</t>
        </is>
      </c>
      <c r="B68" t="inlineStr">
        <is>
          <t>avverkningsanmälan</t>
        </is>
      </c>
      <c r="C68" t="inlineStr">
        <is>
          <t>Föryngringsavverkning</t>
        </is>
      </c>
      <c r="D68" s="1" t="n">
        <v>46029</v>
      </c>
      <c r="E68" s="1" t="n">
        <v>46322</v>
      </c>
      <c r="F68" t="inlineStr">
        <is>
          <t>UPPSALA LÄN</t>
        </is>
      </c>
      <c r="G68" t="inlineStr">
        <is>
          <t>KNIVSTA</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1791-2024</t>
        </is>
      </c>
      <c r="B69" t="inlineStr">
        <is>
          <t>avverkningsanmälan</t>
        </is>
      </c>
      <c r="C69" t="inlineStr">
        <is>
          <t>Föryngringsavverkning</t>
        </is>
      </c>
      <c r="D69" s="1" t="n">
        <v>45307</v>
      </c>
      <c r="E69" s="1" t="n">
        <v>46322</v>
      </c>
      <c r="F69" t="inlineStr">
        <is>
          <t>UPPSALA LÄN</t>
        </is>
      </c>
      <c r="G69" t="inlineStr">
        <is>
          <t>KNIVSTA</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34864-2025</t>
        </is>
      </c>
      <c r="B70" t="inlineStr">
        <is>
          <t>avverkningsanmälan</t>
        </is>
      </c>
      <c r="C70" t="inlineStr">
        <is>
          <t>Föryngringsavverkning</t>
        </is>
      </c>
      <c r="D70" s="1" t="n">
        <v>45849</v>
      </c>
      <c r="E70" s="1" t="n">
        <v>46322</v>
      </c>
      <c r="F70" t="inlineStr">
        <is>
          <t>UPPSALA LÄN</t>
        </is>
      </c>
      <c r="G70" t="inlineStr">
        <is>
          <t>KNIVSTA</t>
        </is>
      </c>
      <c r="H70" t="inlineStr">
        <is>
          <t>Holmen skog AB</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35318-2025</t>
        </is>
      </c>
      <c r="B71" t="inlineStr">
        <is>
          <t>avverkningsanmälan</t>
        </is>
      </c>
      <c r="C71" t="inlineStr">
        <is>
          <t>Föryngringsavverkning</t>
        </is>
      </c>
      <c r="D71" s="1" t="n">
        <v>45854</v>
      </c>
      <c r="E71" s="1" t="n">
        <v>46322</v>
      </c>
      <c r="F71" t="inlineStr">
        <is>
          <t>UPPSALA LÄN</t>
        </is>
      </c>
      <c r="G71" t="inlineStr">
        <is>
          <t>KNIVSTA</t>
        </is>
      </c>
      <c r="H71" t="inlineStr">
        <is>
          <t>Holmen skog AB</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3824-2026</t>
        </is>
      </c>
      <c r="B72" t="inlineStr">
        <is>
          <t>avverkningsanmälan</t>
        </is>
      </c>
      <c r="C72" t="inlineStr">
        <is>
          <t>Föryngringsavverkning</t>
        </is>
      </c>
      <c r="D72" s="1" t="n">
        <v>46043</v>
      </c>
      <c r="E72" s="1" t="n">
        <v>46322</v>
      </c>
      <c r="F72" t="inlineStr">
        <is>
          <t>UPPSALA LÄN</t>
        </is>
      </c>
      <c r="G72" t="inlineStr">
        <is>
          <t>KNIVSTA</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36473-2025</t>
        </is>
      </c>
      <c r="B73" t="inlineStr">
        <is>
          <t>avverkningsanmälan</t>
        </is>
      </c>
      <c r="C73" t="inlineStr">
        <is>
          <t>Föryngringsavverkning</t>
        </is>
      </c>
      <c r="D73" s="1" t="n">
        <v>45869</v>
      </c>
      <c r="E73" s="1" t="n">
        <v>46322</v>
      </c>
      <c r="F73" t="inlineStr">
        <is>
          <t>UPPSALA LÄN</t>
        </is>
      </c>
      <c r="G73" t="inlineStr">
        <is>
          <t>KNIVSTA</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3375-2026</t>
        </is>
      </c>
      <c r="B74" t="inlineStr">
        <is>
          <t>avverkningsanmälan</t>
        </is>
      </c>
      <c r="C74" t="inlineStr">
        <is>
          <t>Föryngringsavverkning</t>
        </is>
      </c>
      <c r="D74" s="1" t="n">
        <v>46042</v>
      </c>
      <c r="E74" s="1" t="n">
        <v>46322</v>
      </c>
      <c r="F74" t="inlineStr">
        <is>
          <t>UPPSALA LÄN</t>
        </is>
      </c>
      <c r="G74" t="inlineStr">
        <is>
          <t>KNIVSTA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5908-2026</t>
        </is>
      </c>
      <c r="B75" t="inlineStr">
        <is>
          <t>avverkningsanmälan</t>
        </is>
      </c>
      <c r="C75" t="inlineStr">
        <is>
          <t>Föryngringsavverkning</t>
        </is>
      </c>
      <c r="D75" s="1" t="n">
        <v>46052</v>
      </c>
      <c r="E75" s="1" t="n">
        <v>46322</v>
      </c>
      <c r="F75" t="inlineStr">
        <is>
          <t>UPPSALA LÄN</t>
        </is>
      </c>
      <c r="G75" t="inlineStr">
        <is>
          <t>KNIVSTA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5910-2026</t>
        </is>
      </c>
      <c r="B76" t="inlineStr">
        <is>
          <t>avverkningsanmälan</t>
        </is>
      </c>
      <c r="C76" t="inlineStr">
        <is>
          <t>Föryngringsavverkning</t>
        </is>
      </c>
      <c r="D76" s="1" t="n">
        <v>46052</v>
      </c>
      <c r="E76" s="1" t="n">
        <v>46322</v>
      </c>
      <c r="F76" t="inlineStr">
        <is>
          <t>UPPSALA LÄN</t>
        </is>
      </c>
      <c r="G76" t="inlineStr">
        <is>
          <t>KNIVSTA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23239-2023</t>
        </is>
      </c>
      <c r="B77" t="inlineStr">
        <is>
          <t>avverkningsanmälan</t>
        </is>
      </c>
      <c r="C77" t="inlineStr">
        <is>
          <t>Föryngringsavverkning</t>
        </is>
      </c>
      <c r="D77" s="1" t="n">
        <v>45075</v>
      </c>
      <c r="E77" s="1" t="n">
        <v>46322</v>
      </c>
      <c r="F77" t="inlineStr">
        <is>
          <t>UPPSALA LÄN</t>
        </is>
      </c>
      <c r="G77" t="inlineStr">
        <is>
          <t>KNIVSTA</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9744-2026</t>
        </is>
      </c>
      <c r="B78" t="inlineStr">
        <is>
          <t>avverkningsanmälan</t>
        </is>
      </c>
      <c r="C78" t="inlineStr">
        <is>
          <t>Föryngringsavverkning</t>
        </is>
      </c>
      <c r="D78" s="1" t="n">
        <v>46072</v>
      </c>
      <c r="E78" s="1" t="n">
        <v>46322</v>
      </c>
      <c r="F78" t="inlineStr">
        <is>
          <t>UPPSALA LÄN</t>
        </is>
      </c>
      <c r="G78" t="inlineStr">
        <is>
          <t>KNIVSTA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28668-2026</t>
        </is>
      </c>
      <c r="B79" t="inlineStr">
        <is>
          <t>avverkningsanmälan</t>
        </is>
      </c>
      <c r="C79" t="inlineStr">
        <is>
          <t>Avverkning för annat ändamål</t>
        </is>
      </c>
      <c r="D79" s="1" t="n">
        <v>46193</v>
      </c>
      <c r="E79" s="1" t="n">
        <v>46322</v>
      </c>
      <c r="F79" t="inlineStr">
        <is>
          <t>UPPSALA LÄN</t>
        </is>
      </c>
      <c r="G79" t="inlineStr">
        <is>
          <t>KNIVSTA</t>
        </is>
      </c>
      <c r="I79" t="n">
        <v>7.4</v>
      </c>
      <c r="J79" t="n">
        <v>0</v>
      </c>
      <c r="K79" t="n">
        <v>0</v>
      </c>
      <c r="L79" t="n">
        <v>0</v>
      </c>
      <c r="M79" t="n">
        <v>0</v>
      </c>
      <c r="N79" t="n">
        <v>0</v>
      </c>
      <c r="O79" t="n">
        <v>0</v>
      </c>
      <c r="P79" t="n">
        <v>0</v>
      </c>
      <c r="Q79" t="n">
        <v>0</v>
      </c>
      <c r="R79" t="n">
        <v>0</v>
      </c>
      <c r="S79" t="n">
        <v>0</v>
      </c>
      <c r="T79" t="n">
        <v>0</v>
      </c>
      <c r="U79" t="n">
        <v>0</v>
      </c>
      <c r="V79" s="2" t="inlineStr"/>
    </row>
    <row r="80" ht="15" customHeight="1">
      <c r="A80" t="inlineStr">
        <is>
          <t>A 12027-2026</t>
        </is>
      </c>
      <c r="B80" t="inlineStr">
        <is>
          <t>avverkningsanmälan</t>
        </is>
      </c>
      <c r="C80" t="inlineStr">
        <is>
          <t>Avverkning för annat ändamål</t>
        </is>
      </c>
      <c r="D80" s="1" t="n">
        <v>46085</v>
      </c>
      <c r="E80" s="1" t="n">
        <v>46322</v>
      </c>
      <c r="F80" t="inlineStr">
        <is>
          <t>UPPSALA LÄN</t>
        </is>
      </c>
      <c r="G80" t="inlineStr">
        <is>
          <t>KNIVSTA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12774-2026</t>
        </is>
      </c>
      <c r="B81" t="inlineStr">
        <is>
          <t>avverkningsanmälan</t>
        </is>
      </c>
      <c r="C81" t="inlineStr">
        <is>
          <t>Föryngringsavverkning</t>
        </is>
      </c>
      <c r="D81" s="1" t="n">
        <v>46091</v>
      </c>
      <c r="E81" s="1" t="n">
        <v>46322</v>
      </c>
      <c r="F81" t="inlineStr">
        <is>
          <t>UPPSALA LÄN</t>
        </is>
      </c>
      <c r="G81" t="inlineStr">
        <is>
          <t>KNIVSTA</t>
        </is>
      </c>
      <c r="H81" t="inlineStr">
        <is>
          <t>Holmen skog AB</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13011-2026</t>
        </is>
      </c>
      <c r="B82" t="inlineStr">
        <is>
          <t>avverkningsanmälan</t>
        </is>
      </c>
      <c r="C82" t="inlineStr">
        <is>
          <t>Föryngringsavverkning</t>
        </is>
      </c>
      <c r="D82" s="1" t="n">
        <v>46092</v>
      </c>
      <c r="E82" s="1" t="n">
        <v>46322</v>
      </c>
      <c r="F82" t="inlineStr">
        <is>
          <t>UPPSALA LÄN</t>
        </is>
      </c>
      <c r="G82" t="inlineStr">
        <is>
          <t>KNIVSTA</t>
        </is>
      </c>
      <c r="H82" t="inlineStr">
        <is>
          <t>Holmen skog AB</t>
        </is>
      </c>
      <c r="I82" t="n">
        <v>1.9</v>
      </c>
      <c r="J82" t="n">
        <v>0</v>
      </c>
      <c r="K82" t="n">
        <v>0</v>
      </c>
      <c r="L82" t="n">
        <v>0</v>
      </c>
      <c r="M82" t="n">
        <v>0</v>
      </c>
      <c r="N82" t="n">
        <v>0</v>
      </c>
      <c r="O82" t="n">
        <v>0</v>
      </c>
      <c r="P82" t="n">
        <v>0</v>
      </c>
      <c r="Q82" t="n">
        <v>0</v>
      </c>
      <c r="R82" t="n">
        <v>0</v>
      </c>
      <c r="S82" t="n">
        <v>0</v>
      </c>
      <c r="T82" t="n">
        <v>0</v>
      </c>
      <c r="U82" t="n">
        <v>0</v>
      </c>
      <c r="V82" s="2" t="inlineStr"/>
      <c r="Z82">
        <f>HYPERLINK("https://klasma.github.io/Logging_0330/knärot/A 13011-2026 karta knärot.png", "A 13011-2026")</f>
        <v/>
      </c>
      <c r="AA82">
        <f>HYPERLINK("https://klasma.github.io/Logging_0330/klagomål/A 13011-2026 FSC-klagomål.docx", "A 13011-2026")</f>
        <v/>
      </c>
      <c r="AB82">
        <f>HYPERLINK("https://klasma.github.io/Logging_0330/klagomålsmail/A 13011-2026 FSC-klagomål mail.docx", "A 13011-2026")</f>
        <v/>
      </c>
      <c r="AC82">
        <f>HYPERLINK("https://klasma.github.io/Logging_0330/tillsyn/A 13011-2026 tillsynsbegäran.docx", "A 13011-2026")</f>
        <v/>
      </c>
      <c r="AD82">
        <f>HYPERLINK("https://klasma.github.io/Logging_0330/tillsynsmail/A 13011-2026 tillsynsbegäran mail.docx", "A 13011-2026")</f>
        <v/>
      </c>
    </row>
    <row r="83" ht="15" customHeight="1">
      <c r="A83" t="inlineStr">
        <is>
          <t>A 13013-2026</t>
        </is>
      </c>
      <c r="B83" t="inlineStr">
        <is>
          <t>avverkningsanmälan</t>
        </is>
      </c>
      <c r="C83" t="inlineStr">
        <is>
          <t>Föryngringsavverkning</t>
        </is>
      </c>
      <c r="D83" s="1" t="n">
        <v>46092</v>
      </c>
      <c r="E83" s="1" t="n">
        <v>46322</v>
      </c>
      <c r="F83" t="inlineStr">
        <is>
          <t>UPPSALA LÄN</t>
        </is>
      </c>
      <c r="G83" t="inlineStr">
        <is>
          <t>KNIVSTA</t>
        </is>
      </c>
      <c r="H83" t="inlineStr">
        <is>
          <t>Holmen skog AB</t>
        </is>
      </c>
      <c r="I83" t="n">
        <v>4.6</v>
      </c>
      <c r="J83" t="n">
        <v>0</v>
      </c>
      <c r="K83" t="n">
        <v>0</v>
      </c>
      <c r="L83" t="n">
        <v>0</v>
      </c>
      <c r="M83" t="n">
        <v>0</v>
      </c>
      <c r="N83" t="n">
        <v>0</v>
      </c>
      <c r="O83" t="n">
        <v>0</v>
      </c>
      <c r="P83" t="n">
        <v>0</v>
      </c>
      <c r="Q83" t="n">
        <v>0</v>
      </c>
      <c r="R83" t="n">
        <v>0</v>
      </c>
      <c r="S83" t="n">
        <v>0</v>
      </c>
      <c r="T83" t="n">
        <v>0</v>
      </c>
      <c r="U83" t="n">
        <v>0</v>
      </c>
      <c r="V83" s="2" t="inlineStr"/>
    </row>
    <row r="84" ht="15" customHeight="1">
      <c r="A84" t="inlineStr">
        <is>
          <t>A 13001-2026</t>
        </is>
      </c>
      <c r="B84" t="inlineStr">
        <is>
          <t>avverkningsanmälan</t>
        </is>
      </c>
      <c r="C84" t="inlineStr">
        <is>
          <t>Föryngringsavverkning</t>
        </is>
      </c>
      <c r="D84" s="1" t="n">
        <v>46092</v>
      </c>
      <c r="E84" s="1" t="n">
        <v>46322</v>
      </c>
      <c r="F84" t="inlineStr">
        <is>
          <t>UPPSALA LÄN</t>
        </is>
      </c>
      <c r="G84" t="inlineStr">
        <is>
          <t>KNIVSTA</t>
        </is>
      </c>
      <c r="H84" t="inlineStr">
        <is>
          <t>Holmen skog AB</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13005-2026</t>
        </is>
      </c>
      <c r="B85" t="inlineStr">
        <is>
          <t>avverkningsanmälan</t>
        </is>
      </c>
      <c r="C85" t="inlineStr">
        <is>
          <t>Föryngringsavverkning</t>
        </is>
      </c>
      <c r="D85" s="1" t="n">
        <v>46092</v>
      </c>
      <c r="E85" s="1" t="n">
        <v>46322</v>
      </c>
      <c r="F85" t="inlineStr">
        <is>
          <t>UPPSALA LÄN</t>
        </is>
      </c>
      <c r="G85" t="inlineStr">
        <is>
          <t>KNIVSTA</t>
        </is>
      </c>
      <c r="H85" t="inlineStr">
        <is>
          <t>Holmen skog AB</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13016-2026</t>
        </is>
      </c>
      <c r="B86" t="inlineStr">
        <is>
          <t>avverkningsanmälan</t>
        </is>
      </c>
      <c r="C86" t="inlineStr">
        <is>
          <t>Föryngringsavverkning</t>
        </is>
      </c>
      <c r="D86" s="1" t="n">
        <v>46092</v>
      </c>
      <c r="E86" s="1" t="n">
        <v>46322</v>
      </c>
      <c r="F86" t="inlineStr">
        <is>
          <t>UPPSALA LÄN</t>
        </is>
      </c>
      <c r="G86" t="inlineStr">
        <is>
          <t>KNIVSTA</t>
        </is>
      </c>
      <c r="H86" t="inlineStr">
        <is>
          <t>Holmen skog AB</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66284-2021</t>
        </is>
      </c>
      <c r="B87" t="inlineStr">
        <is>
          <t>avverkningsanmälan</t>
        </is>
      </c>
      <c r="C87" t="inlineStr">
        <is>
          <t>Föryngringsavverkning</t>
        </is>
      </c>
      <c r="D87" s="1" t="n">
        <v>44518</v>
      </c>
      <c r="E87" s="1" t="n">
        <v>46322</v>
      </c>
      <c r="F87" t="inlineStr">
        <is>
          <t>UPPSALA LÄN</t>
        </is>
      </c>
      <c r="G87" t="inlineStr">
        <is>
          <t>KNIVSTA</t>
        </is>
      </c>
      <c r="I87" t="n">
        <v>6.9</v>
      </c>
      <c r="J87" t="n">
        <v>0</v>
      </c>
      <c r="K87" t="n">
        <v>0</v>
      </c>
      <c r="L87" t="n">
        <v>0</v>
      </c>
      <c r="M87" t="n">
        <v>0</v>
      </c>
      <c r="N87" t="n">
        <v>0</v>
      </c>
      <c r="O87" t="n">
        <v>0</v>
      </c>
      <c r="P87" t="n">
        <v>0</v>
      </c>
      <c r="Q87" t="n">
        <v>0</v>
      </c>
      <c r="R87" t="n">
        <v>0</v>
      </c>
      <c r="S87" t="n">
        <v>0</v>
      </c>
      <c r="T87" t="n">
        <v>0</v>
      </c>
      <c r="U87" t="n">
        <v>0</v>
      </c>
      <c r="V87" s="2" t="inlineStr"/>
    </row>
    <row r="88" ht="15" customHeight="1">
      <c r="A88" t="inlineStr">
        <is>
          <t>A 19774-2026</t>
        </is>
      </c>
      <c r="B88" t="inlineStr">
        <is>
          <t>avverkningsanmälan</t>
        </is>
      </c>
      <c r="C88" t="inlineStr">
        <is>
          <t>Föryngringsavverkning</t>
        </is>
      </c>
      <c r="D88" s="1" t="n">
        <v>46135</v>
      </c>
      <c r="E88" s="1" t="n">
        <v>46322</v>
      </c>
      <c r="F88" t="inlineStr">
        <is>
          <t>UPPSALA LÄN</t>
        </is>
      </c>
      <c r="G88" t="inlineStr">
        <is>
          <t>KNIVSTA</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11847-2023</t>
        </is>
      </c>
      <c r="B89" t="inlineStr">
        <is>
          <t>avverkningsanmälan</t>
        </is>
      </c>
      <c r="C89" t="inlineStr">
        <is>
          <t>Föryngringsavverkning</t>
        </is>
      </c>
      <c r="D89" s="1" t="n">
        <v>44995</v>
      </c>
      <c r="E89" s="1" t="n">
        <v>46322</v>
      </c>
      <c r="F89" t="inlineStr">
        <is>
          <t>UPPSALA LÄN</t>
        </is>
      </c>
      <c r="G89" t="inlineStr">
        <is>
          <t>KNIVSTA</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52666-2025</t>
        </is>
      </c>
      <c r="B90" t="inlineStr">
        <is>
          <t>avverkningsanmälan</t>
        </is>
      </c>
      <c r="C90" t="inlineStr">
        <is>
          <t>Föryngringsavverkning</t>
        </is>
      </c>
      <c r="D90" s="1" t="n">
        <v>45955</v>
      </c>
      <c r="E90" s="1" t="n">
        <v>46322</v>
      </c>
      <c r="F90" t="inlineStr">
        <is>
          <t>UPPSALA LÄN</t>
        </is>
      </c>
      <c r="G90" t="inlineStr">
        <is>
          <t>KNIVSTA</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33974-2025</t>
        </is>
      </c>
      <c r="B91" t="inlineStr">
        <is>
          <t>avverkningsanmälan</t>
        </is>
      </c>
      <c r="C91" t="inlineStr">
        <is>
          <t>Föryngringsavverkning</t>
        </is>
      </c>
      <c r="D91" s="1" t="n">
        <v>45843</v>
      </c>
      <c r="E91" s="1" t="n">
        <v>46322</v>
      </c>
      <c r="F91" t="inlineStr">
        <is>
          <t>UPPSALA LÄN</t>
        </is>
      </c>
      <c r="G91" t="inlineStr">
        <is>
          <t>KNIVSTA</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20528-2026</t>
        </is>
      </c>
      <c r="B92" t="inlineStr">
        <is>
          <t>avverkningsanmälan</t>
        </is>
      </c>
      <c r="C92" t="inlineStr">
        <is>
          <t>Föryngringsavverkning</t>
        </is>
      </c>
      <c r="D92" s="1" t="n">
        <v>46140</v>
      </c>
      <c r="E92" s="1" t="n">
        <v>46322</v>
      </c>
      <c r="F92" t="inlineStr">
        <is>
          <t>UPPSALA LÄN</t>
        </is>
      </c>
      <c r="G92" t="inlineStr">
        <is>
          <t>KNIVSTA</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39978-2026</t>
        </is>
      </c>
      <c r="B93" t="inlineStr">
        <is>
          <t>avverkningsanmälan</t>
        </is>
      </c>
      <c r="C93" t="inlineStr">
        <is>
          <t>Föryngringsavverkning</t>
        </is>
      </c>
      <c r="D93" s="1" t="n">
        <v>46293</v>
      </c>
      <c r="E93" s="1" t="n">
        <v>46322</v>
      </c>
      <c r="F93" t="inlineStr">
        <is>
          <t>UPPSALA LÄN</t>
        </is>
      </c>
      <c r="G93" t="inlineStr">
        <is>
          <t>KNIVSTA</t>
        </is>
      </c>
      <c r="H93" t="inlineStr">
        <is>
          <t>Holmen skog AB</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30351-2022</t>
        </is>
      </c>
      <c r="B94" t="inlineStr">
        <is>
          <t>avverkningsanmälan</t>
        </is>
      </c>
      <c r="C94" t="inlineStr">
        <is>
          <t>Föryngringsavverkning</t>
        </is>
      </c>
      <c r="D94" s="1" t="n">
        <v>44757</v>
      </c>
      <c r="E94" s="1" t="n">
        <v>46322</v>
      </c>
      <c r="F94" t="inlineStr">
        <is>
          <t>UPPSALA LÄN</t>
        </is>
      </c>
      <c r="G94" t="inlineStr">
        <is>
          <t>KNIVSTA</t>
        </is>
      </c>
      <c r="I94" t="n">
        <v>5.7</v>
      </c>
      <c r="J94" t="n">
        <v>0</v>
      </c>
      <c r="K94" t="n">
        <v>0</v>
      </c>
      <c r="L94" t="n">
        <v>0</v>
      </c>
      <c r="M94" t="n">
        <v>0</v>
      </c>
      <c r="N94" t="n">
        <v>0</v>
      </c>
      <c r="O94" t="n">
        <v>0</v>
      </c>
      <c r="P94" t="n">
        <v>0</v>
      </c>
      <c r="Q94" t="n">
        <v>0</v>
      </c>
      <c r="R94" t="n">
        <v>0</v>
      </c>
      <c r="S94" t="n">
        <v>0</v>
      </c>
      <c r="T94" t="n">
        <v>0</v>
      </c>
      <c r="U94" t="n">
        <v>0</v>
      </c>
      <c r="V94" s="2" t="inlineStr"/>
    </row>
    <row r="95" ht="15" customHeight="1">
      <c r="A95" t="inlineStr">
        <is>
          <t>A 31875-2022</t>
        </is>
      </c>
      <c r="B95" t="inlineStr">
        <is>
          <t>avverkningsanmälan</t>
        </is>
      </c>
      <c r="C95" t="inlineStr">
        <is>
          <t>Föryngringsavverkning</t>
        </is>
      </c>
      <c r="D95" s="1" t="n">
        <v>44777</v>
      </c>
      <c r="E95" s="1" t="n">
        <v>46322</v>
      </c>
      <c r="F95" t="inlineStr">
        <is>
          <t>UPPSALA LÄN</t>
        </is>
      </c>
      <c r="G95" t="inlineStr">
        <is>
          <t>KNIVSTA</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51849-2023</t>
        </is>
      </c>
      <c r="B96" t="inlineStr">
        <is>
          <t>avverkningsanmälan</t>
        </is>
      </c>
      <c r="C96" t="inlineStr">
        <is>
          <t>Föryngringsavverkning</t>
        </is>
      </c>
      <c r="D96" s="1" t="n">
        <v>45223</v>
      </c>
      <c r="E96" s="1" t="n">
        <v>46322</v>
      </c>
      <c r="F96" t="inlineStr">
        <is>
          <t>UPPSALA LÄN</t>
        </is>
      </c>
      <c r="G96" t="inlineStr">
        <is>
          <t>KNIVSTA</t>
        </is>
      </c>
      <c r="I96" t="n">
        <v>16.3</v>
      </c>
      <c r="J96" t="n">
        <v>0</v>
      </c>
      <c r="K96" t="n">
        <v>0</v>
      </c>
      <c r="L96" t="n">
        <v>0</v>
      </c>
      <c r="M96" t="n">
        <v>0</v>
      </c>
      <c r="N96" t="n">
        <v>0</v>
      </c>
      <c r="O96" t="n">
        <v>0</v>
      </c>
      <c r="P96" t="n">
        <v>0</v>
      </c>
      <c r="Q96" t="n">
        <v>0</v>
      </c>
      <c r="R96" t="n">
        <v>0</v>
      </c>
      <c r="S96" t="n">
        <v>0</v>
      </c>
      <c r="T96" t="n">
        <v>0</v>
      </c>
      <c r="U96" t="n">
        <v>0</v>
      </c>
      <c r="V96" s="2" t="inlineStr"/>
    </row>
    <row r="97" ht="15" customHeight="1">
      <c r="A97" t="inlineStr">
        <is>
          <t>A 66293-2021</t>
        </is>
      </c>
      <c r="B97" t="inlineStr">
        <is>
          <t>avverkningsanmälan</t>
        </is>
      </c>
      <c r="C97" t="inlineStr">
        <is>
          <t>Föryngringsavverkning</t>
        </is>
      </c>
      <c r="D97" s="1" t="n">
        <v>44518</v>
      </c>
      <c r="E97" s="1" t="n">
        <v>46322</v>
      </c>
      <c r="F97" t="inlineStr">
        <is>
          <t>UPPSALA LÄN</t>
        </is>
      </c>
      <c r="G97" t="inlineStr">
        <is>
          <t>KNIVSTA</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23969-2026</t>
        </is>
      </c>
      <c r="B98" t="inlineStr">
        <is>
          <t>avverkningsanmälan</t>
        </is>
      </c>
      <c r="C98" t="inlineStr">
        <is>
          <t>Föryngringsavverkning</t>
        </is>
      </c>
      <c r="D98" s="1" t="n">
        <v>46167</v>
      </c>
      <c r="E98" s="1" t="n">
        <v>46322</v>
      </c>
      <c r="F98" t="inlineStr">
        <is>
          <t>UPPSALA LÄN</t>
        </is>
      </c>
      <c r="G98" t="inlineStr">
        <is>
          <t>KNIVSTA</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45916-2022</t>
        </is>
      </c>
      <c r="B99" t="inlineStr">
        <is>
          <t>avverkningsanmälan</t>
        </is>
      </c>
      <c r="C99" t="inlineStr">
        <is>
          <t>Föryngringsavverkning</t>
        </is>
      </c>
      <c r="D99" s="1" t="n">
        <v>44846</v>
      </c>
      <c r="E99" s="1" t="n">
        <v>46322</v>
      </c>
      <c r="F99" t="inlineStr">
        <is>
          <t>UPPSALA LÄN</t>
        </is>
      </c>
      <c r="G99" t="inlineStr">
        <is>
          <t>KNIVSTA</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2629-2025</t>
        </is>
      </c>
      <c r="B100" t="inlineStr">
        <is>
          <t>avverkningsanmälan</t>
        </is>
      </c>
      <c r="C100" t="inlineStr">
        <is>
          <t>Föryngringsavverkning</t>
        </is>
      </c>
      <c r="D100" s="1" t="n">
        <v>45675</v>
      </c>
      <c r="E100" s="1" t="n">
        <v>46322</v>
      </c>
      <c r="F100" t="inlineStr">
        <is>
          <t>UPPSALA LÄN</t>
        </is>
      </c>
      <c r="G100" t="inlineStr">
        <is>
          <t>KNIVSTA</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5320-2023</t>
        </is>
      </c>
      <c r="B101" t="inlineStr">
        <is>
          <t>avverkningsanmälan</t>
        </is>
      </c>
      <c r="C101" t="inlineStr">
        <is>
          <t>Föryngringsavverkning</t>
        </is>
      </c>
      <c r="D101" s="1" t="n">
        <v>44959</v>
      </c>
      <c r="E101" s="1" t="n">
        <v>46322</v>
      </c>
      <c r="F101" t="inlineStr">
        <is>
          <t>UPPSALA LÄN</t>
        </is>
      </c>
      <c r="G101" t="inlineStr">
        <is>
          <t>KNIVSTA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11452-2023</t>
        </is>
      </c>
      <c r="B102" t="inlineStr">
        <is>
          <t>avverkningsanmälan</t>
        </is>
      </c>
      <c r="C102" t="inlineStr">
        <is>
          <t>Föryngringsavverkning</t>
        </is>
      </c>
      <c r="D102" s="1" t="n">
        <v>44993</v>
      </c>
      <c r="E102" s="1" t="n">
        <v>46322</v>
      </c>
      <c r="F102" t="inlineStr">
        <is>
          <t>UPPSALA LÄN</t>
        </is>
      </c>
      <c r="G102" t="inlineStr">
        <is>
          <t>KNIVSTA</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30627-2023</t>
        </is>
      </c>
      <c r="B103" t="inlineStr">
        <is>
          <t>avverkningsanmälan</t>
        </is>
      </c>
      <c r="C103" t="inlineStr">
        <is>
          <t>Föryngringsavverkning</t>
        </is>
      </c>
      <c r="D103" s="1" t="n">
        <v>45112</v>
      </c>
      <c r="E103" s="1" t="n">
        <v>46322</v>
      </c>
      <c r="F103" t="inlineStr">
        <is>
          <t>UPPSALA LÄN</t>
        </is>
      </c>
      <c r="G103" t="inlineStr">
        <is>
          <t>KNIVSTA</t>
        </is>
      </c>
      <c r="H103" t="inlineStr">
        <is>
          <t>Holmen skog AB</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19777-2026</t>
        </is>
      </c>
      <c r="B104" t="inlineStr">
        <is>
          <t>avverkningsanmälan</t>
        </is>
      </c>
      <c r="C104" t="inlineStr">
        <is>
          <t>Föryngringsavverkning</t>
        </is>
      </c>
      <c r="D104" s="1" t="n">
        <v>46135</v>
      </c>
      <c r="E104" s="1" t="n">
        <v>46322</v>
      </c>
      <c r="F104" t="inlineStr">
        <is>
          <t>UPPSALA LÄN</t>
        </is>
      </c>
      <c r="G104" t="inlineStr">
        <is>
          <t>KNIVSTA</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43908-2023</t>
        </is>
      </c>
      <c r="B105" t="inlineStr">
        <is>
          <t>avverkningsanmälan</t>
        </is>
      </c>
      <c r="C105" t="inlineStr">
        <is>
          <t>Föryngringsavverkning</t>
        </is>
      </c>
      <c r="D105" s="1" t="n">
        <v>45187</v>
      </c>
      <c r="E105" s="1" t="n">
        <v>46322</v>
      </c>
      <c r="F105" t="inlineStr">
        <is>
          <t>UPPSALA LÄN</t>
        </is>
      </c>
      <c r="G105" t="inlineStr">
        <is>
          <t>KNIVSTA</t>
        </is>
      </c>
      <c r="H105" t="inlineStr">
        <is>
          <t>Kyrkan</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8343-2024</t>
        </is>
      </c>
      <c r="B106" t="inlineStr">
        <is>
          <t>avverkningsanmälan</t>
        </is>
      </c>
      <c r="C106" t="inlineStr">
        <is>
          <t>Föryngringsavverkning</t>
        </is>
      </c>
      <c r="D106" s="1" t="n">
        <v>45352</v>
      </c>
      <c r="E106" s="1" t="n">
        <v>46322</v>
      </c>
      <c r="F106" t="inlineStr">
        <is>
          <t>UPPSALA LÄN</t>
        </is>
      </c>
      <c r="G106" t="inlineStr">
        <is>
          <t>KNIVSTA</t>
        </is>
      </c>
      <c r="H106" t="inlineStr">
        <is>
          <t>Holmen skog AB</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19676-2025</t>
        </is>
      </c>
      <c r="B107" t="inlineStr">
        <is>
          <t>avverkningsanmälan</t>
        </is>
      </c>
      <c r="C107" t="inlineStr">
        <is>
          <t>Föryngringsavverkning</t>
        </is>
      </c>
      <c r="D107" s="1" t="n">
        <v>45770</v>
      </c>
      <c r="E107" s="1" t="n">
        <v>46322</v>
      </c>
      <c r="F107" t="inlineStr">
        <is>
          <t>UPPSALA LÄN</t>
        </is>
      </c>
      <c r="G107" t="inlineStr">
        <is>
          <t>KNIVSTA</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43447-2026</t>
        </is>
      </c>
      <c r="B108" t="inlineStr">
        <is>
          <t>avverkningsanmälan</t>
        </is>
      </c>
      <c r="C108" t="inlineStr">
        <is>
          <t>Föryngringsavverkning</t>
        </is>
      </c>
      <c r="D108" s="1" t="n">
        <v>46314</v>
      </c>
      <c r="E108" s="1" t="n">
        <v>46322</v>
      </c>
      <c r="F108" t="inlineStr">
        <is>
          <t>UPPSALA LÄN</t>
        </is>
      </c>
      <c r="G108" t="inlineStr">
        <is>
          <t>KNIVSTA</t>
        </is>
      </c>
      <c r="I108" t="n">
        <v>9.699999999999999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37413-2026</t>
        </is>
      </c>
      <c r="B109" t="inlineStr">
        <is>
          <t>avverkningsanmälan</t>
        </is>
      </c>
      <c r="C109" t="inlineStr">
        <is>
          <t>Föryngringsavverkning</t>
        </is>
      </c>
      <c r="D109" s="1" t="n">
        <v>46275</v>
      </c>
      <c r="E109" s="1" t="n">
        <v>46322</v>
      </c>
      <c r="F109" t="inlineStr">
        <is>
          <t>UPPSALA LÄN</t>
        </is>
      </c>
      <c r="G109" t="inlineStr">
        <is>
          <t>KNIVSTA</t>
        </is>
      </c>
      <c r="H109" t="inlineStr">
        <is>
          <t>Holmen skog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37437-2026</t>
        </is>
      </c>
      <c r="B110" t="inlineStr">
        <is>
          <t>avverkningsanmälan</t>
        </is>
      </c>
      <c r="C110" t="inlineStr">
        <is>
          <t>Föryngringsavverkning</t>
        </is>
      </c>
      <c r="D110" s="1" t="n">
        <v>46275</v>
      </c>
      <c r="E110" s="1" t="n">
        <v>46322</v>
      </c>
      <c r="F110" t="inlineStr">
        <is>
          <t>UPPSALA LÄN</t>
        </is>
      </c>
      <c r="G110" t="inlineStr">
        <is>
          <t>KNIVSTA</t>
        </is>
      </c>
      <c r="H110" t="inlineStr">
        <is>
          <t>Holmen skog AB</t>
        </is>
      </c>
      <c r="I110" t="n">
        <v>3.4</v>
      </c>
      <c r="J110" t="n">
        <v>0</v>
      </c>
      <c r="K110" t="n">
        <v>0</v>
      </c>
      <c r="L110" t="n">
        <v>0</v>
      </c>
      <c r="M110" t="n">
        <v>0</v>
      </c>
      <c r="N110" t="n">
        <v>0</v>
      </c>
      <c r="O110" t="n">
        <v>0</v>
      </c>
      <c r="P110" t="n">
        <v>0</v>
      </c>
      <c r="Q110" t="n">
        <v>0</v>
      </c>
      <c r="R110" t="n">
        <v>0</v>
      </c>
      <c r="S110" t="n">
        <v>0</v>
      </c>
      <c r="T110" t="n">
        <v>0</v>
      </c>
      <c r="U110" t="n">
        <v>0</v>
      </c>
      <c r="V110" s="2" t="inlineStr"/>
    </row>
    <row r="111">
      <c r="A111" t="inlineStr">
        <is>
          <t>S 1411-2022</t>
        </is>
      </c>
      <c r="B111" t="inlineStr">
        <is>
          <t>samrådsanmälan</t>
        </is>
      </c>
      <c r="C111" t="inlineStr">
        <is>
          <t>Annan skogsbruksåtgärd</t>
        </is>
      </c>
      <c r="D111" s="1" t="n">
        <v>44634</v>
      </c>
      <c r="E111" s="1" t="n">
        <v>46322</v>
      </c>
      <c r="F111" t="inlineStr">
        <is>
          <t>UPPSALA LÄN</t>
        </is>
      </c>
      <c r="G111" t="inlineStr">
        <is>
          <t>KNIVSTA</t>
        </is>
      </c>
      <c r="I111" t="n">
        <v>2</v>
      </c>
      <c r="J111" t="n">
        <v>0</v>
      </c>
      <c r="K111" t="n">
        <v>0</v>
      </c>
      <c r="L111" t="n">
        <v>0</v>
      </c>
      <c r="M111" t="n">
        <v>0</v>
      </c>
      <c r="N111" t="n">
        <v>0</v>
      </c>
      <c r="O111" t="n">
        <v>0</v>
      </c>
      <c r="P111" t="n">
        <v>0</v>
      </c>
      <c r="Q111" t="n">
        <v>0</v>
      </c>
      <c r="R111" t="n">
        <v>0</v>
      </c>
      <c r="S111" t="n">
        <v>0</v>
      </c>
      <c r="T111" t="n">
        <v>0</v>
      </c>
      <c r="U111" t="n">
        <v>0</v>
      </c>
      <c r="V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2026-10-27T03:12:42Z</dcterms:created>
  <dcterms:modified xmlns:dcterms="http://purl.org/dc/terms/" xmlns:xsi="http://www.w3.org/2001/XMLSchema-instance" xsi:type="dcterms:W3CDTF">2026-10-27T03:12:42Z</dcterms:modified>
</cp:coreProperties>
</file>