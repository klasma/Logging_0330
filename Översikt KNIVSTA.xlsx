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46201</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46201</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46201</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46201</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46201</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46201</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46201</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46201</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46201</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46201</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46201</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46201</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46201</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46201</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46201</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46201</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33770-2023</t>
        </is>
      </c>
      <c r="B18" s="1" t="n">
        <v>45133</v>
      </c>
      <c r="C18" s="1" t="n">
        <v>46201</v>
      </c>
      <c r="D18" t="inlineStr">
        <is>
          <t>UPPSALA LÄN</t>
        </is>
      </c>
      <c r="E18" t="inlineStr">
        <is>
          <t>KNIVSTA</t>
        </is>
      </c>
      <c r="F18" t="inlineStr">
        <is>
          <t>Holmen skog AB</t>
        </is>
      </c>
      <c r="G18" t="n">
        <v>4</v>
      </c>
      <c r="H18" t="n">
        <v>1</v>
      </c>
      <c r="I18" t="n">
        <v>0</v>
      </c>
      <c r="J18" t="n">
        <v>0</v>
      </c>
      <c r="K18" t="n">
        <v>0</v>
      </c>
      <c r="L18" t="n">
        <v>0</v>
      </c>
      <c r="M18" t="n">
        <v>0</v>
      </c>
      <c r="N18" t="n">
        <v>0</v>
      </c>
      <c r="O18" t="n">
        <v>0</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66305-2021</t>
        </is>
      </c>
      <c r="B19" s="1" t="n">
        <v>44518</v>
      </c>
      <c r="C19" s="1" t="n">
        <v>46201</v>
      </c>
      <c r="D19" t="inlineStr">
        <is>
          <t>UPPSALA LÄN</t>
        </is>
      </c>
      <c r="E19" t="inlineStr">
        <is>
          <t>KNIVSTA</t>
        </is>
      </c>
      <c r="G19" t="n">
        <v>8.300000000000001</v>
      </c>
      <c r="H19" t="n">
        <v>0</v>
      </c>
      <c r="I19" t="n">
        <v>0</v>
      </c>
      <c r="J19" t="n">
        <v>0</v>
      </c>
      <c r="K19" t="n">
        <v>1</v>
      </c>
      <c r="L19" t="n">
        <v>0</v>
      </c>
      <c r="M19" t="n">
        <v>0</v>
      </c>
      <c r="N19" t="n">
        <v>0</v>
      </c>
      <c r="O19" t="n">
        <v>1</v>
      </c>
      <c r="P19" t="n">
        <v>1</v>
      </c>
      <c r="Q19" t="n">
        <v>1</v>
      </c>
      <c r="R19" s="2" t="inlineStr">
        <is>
          <t>Silverblåvinge</t>
        </is>
      </c>
      <c r="S19">
        <f>HYPERLINK("https://klasma.github.io/Logging_0330/artfynd/A 66305-2021 artfynd.xlsx", "A 66305-2021")</f>
        <v/>
      </c>
      <c r="T19">
        <f>HYPERLINK("https://klasma.github.io/Logging_0330/kartor/A 66305-2021 karta.png", "A 66305-2021")</f>
        <v/>
      </c>
      <c r="V19">
        <f>HYPERLINK("https://klasma.github.io/Logging_0330/klagomål/A 66305-2021 FSC-klagomål.docx", "A 66305-2021")</f>
        <v/>
      </c>
      <c r="W19">
        <f>HYPERLINK("https://klasma.github.io/Logging_0330/klagomålsmail/A 66305-2021 FSC-klagomål mail.docx", "A 66305-2021")</f>
        <v/>
      </c>
      <c r="X19">
        <f>HYPERLINK("https://klasma.github.io/Logging_0330/tillsyn/A 66305-2021 tillsynsbegäran.docx", "A 66305-2021")</f>
        <v/>
      </c>
      <c r="Y19">
        <f>HYPERLINK("https://klasma.github.io/Logging_0330/tillsynsmail/A 66305-2021 tillsynsbegäran mail.docx", "A 66305-2021")</f>
        <v/>
      </c>
    </row>
    <row r="20" ht="15" customHeight="1">
      <c r="A20" t="inlineStr">
        <is>
          <t>A 11405-2025</t>
        </is>
      </c>
      <c r="B20" s="1" t="n">
        <v>45726</v>
      </c>
      <c r="C20" s="1" t="n">
        <v>46201</v>
      </c>
      <c r="D20" t="inlineStr">
        <is>
          <t>UPPSALA LÄN</t>
        </is>
      </c>
      <c r="E20" t="inlineStr">
        <is>
          <t>KNIVSTA</t>
        </is>
      </c>
      <c r="G20" t="n">
        <v>1.6</v>
      </c>
      <c r="H20" t="n">
        <v>0</v>
      </c>
      <c r="I20" t="n">
        <v>0</v>
      </c>
      <c r="J20" t="n">
        <v>0</v>
      </c>
      <c r="K20" t="n">
        <v>1</v>
      </c>
      <c r="L20" t="n">
        <v>0</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2171-2024</t>
        </is>
      </c>
      <c r="B21" s="1" t="n">
        <v>45309</v>
      </c>
      <c r="C21" s="1" t="n">
        <v>46201</v>
      </c>
      <c r="D21" t="inlineStr">
        <is>
          <t>UPPSALA LÄN</t>
        </is>
      </c>
      <c r="E21" t="inlineStr">
        <is>
          <t>KNIVSTA</t>
        </is>
      </c>
      <c r="F21" t="inlineStr">
        <is>
          <t>Holmen skog AB</t>
        </is>
      </c>
      <c r="G21" t="n">
        <v>3.3</v>
      </c>
      <c r="H21" t="n">
        <v>1</v>
      </c>
      <c r="I21" t="n">
        <v>0</v>
      </c>
      <c r="J21" t="n">
        <v>0</v>
      </c>
      <c r="K21" t="n">
        <v>0</v>
      </c>
      <c r="L21" t="n">
        <v>0</v>
      </c>
      <c r="M21" t="n">
        <v>0</v>
      </c>
      <c r="N21" t="n">
        <v>0</v>
      </c>
      <c r="O21" t="n">
        <v>0</v>
      </c>
      <c r="P21" t="n">
        <v>0</v>
      </c>
      <c r="Q21" t="n">
        <v>1</v>
      </c>
      <c r="R21" s="2" t="inlineStr">
        <is>
          <t>Blåsippa</t>
        </is>
      </c>
      <c r="S21">
        <f>HYPERLINK("https://klasma.github.io/Logging_0330/artfynd/A 2171-2024 artfynd.xlsx", "A 2171-2024")</f>
        <v/>
      </c>
      <c r="T21">
        <f>HYPERLINK("https://klasma.github.io/Logging_0330/kartor/A 2171-2024 karta.png", "A 2171-2024")</f>
        <v/>
      </c>
      <c r="V21">
        <f>HYPERLINK("https://klasma.github.io/Logging_0330/klagomål/A 2171-2024 FSC-klagomål.docx", "A 2171-2024")</f>
        <v/>
      </c>
      <c r="W21">
        <f>HYPERLINK("https://klasma.github.io/Logging_0330/klagomålsmail/A 2171-2024 FSC-klagomål mail.docx", "A 2171-2024")</f>
        <v/>
      </c>
      <c r="X21">
        <f>HYPERLINK("https://klasma.github.io/Logging_0330/tillsyn/A 2171-2024 tillsynsbegäran.docx", "A 2171-2024")</f>
        <v/>
      </c>
      <c r="Y21">
        <f>HYPERLINK("https://klasma.github.io/Logging_0330/tillsynsmail/A 2171-2024 tillsynsbegäran mail.docx", "A 2171-2024")</f>
        <v/>
      </c>
    </row>
    <row r="22" ht="15" customHeight="1">
      <c r="A22" t="inlineStr">
        <is>
          <t>A 60885-2021</t>
        </is>
      </c>
      <c r="B22" s="1" t="n">
        <v>44497</v>
      </c>
      <c r="C22" s="1" t="n">
        <v>46201</v>
      </c>
      <c r="D22" t="inlineStr">
        <is>
          <t>UPPSALA LÄN</t>
        </is>
      </c>
      <c r="E22" t="inlineStr">
        <is>
          <t>KNIVSTA</t>
        </is>
      </c>
      <c r="G22" t="n">
        <v>1.5</v>
      </c>
      <c r="H22" t="n">
        <v>0</v>
      </c>
      <c r="I22" t="n">
        <v>1</v>
      </c>
      <c r="J22" t="n">
        <v>0</v>
      </c>
      <c r="K22" t="n">
        <v>0</v>
      </c>
      <c r="L22" t="n">
        <v>0</v>
      </c>
      <c r="M22" t="n">
        <v>0</v>
      </c>
      <c r="N22" t="n">
        <v>0</v>
      </c>
      <c r="O22" t="n">
        <v>0</v>
      </c>
      <c r="P22" t="n">
        <v>0</v>
      </c>
      <c r="Q22" t="n">
        <v>1</v>
      </c>
      <c r="R22" s="2" t="inlineStr">
        <is>
          <t>Sotlav</t>
        </is>
      </c>
      <c r="S22">
        <f>HYPERLINK("https://klasma.github.io/Logging_0330/artfynd/A 60885-2021 artfynd.xlsx", "A 60885-2021")</f>
        <v/>
      </c>
      <c r="T22">
        <f>HYPERLINK("https://klasma.github.io/Logging_0330/kartor/A 60885-2021 karta.png", "A 60885-2021")</f>
        <v/>
      </c>
      <c r="V22">
        <f>HYPERLINK("https://klasma.github.io/Logging_0330/klagomål/A 60885-2021 FSC-klagomål.docx", "A 60885-2021")</f>
        <v/>
      </c>
      <c r="W22">
        <f>HYPERLINK("https://klasma.github.io/Logging_0330/klagomålsmail/A 60885-2021 FSC-klagomål mail.docx", "A 60885-2021")</f>
        <v/>
      </c>
      <c r="X22">
        <f>HYPERLINK("https://klasma.github.io/Logging_0330/tillsyn/A 60885-2021 tillsynsbegäran.docx", "A 60885-2021")</f>
        <v/>
      </c>
      <c r="Y22">
        <f>HYPERLINK("https://klasma.github.io/Logging_0330/tillsynsmail/A 60885-2021 tillsynsbegäran mail.docx", "A 60885-2021")</f>
        <v/>
      </c>
    </row>
    <row r="23" ht="15" customHeight="1">
      <c r="A23" t="inlineStr">
        <is>
          <t>A 5402-2023</t>
        </is>
      </c>
      <c r="B23" s="1" t="n">
        <v>44959</v>
      </c>
      <c r="C23" s="1" t="n">
        <v>46201</v>
      </c>
      <c r="D23" t="inlineStr">
        <is>
          <t>UPPSALA LÄN</t>
        </is>
      </c>
      <c r="E23" t="inlineStr">
        <is>
          <t>KNIVSTA</t>
        </is>
      </c>
      <c r="G23" t="n">
        <v>4.3</v>
      </c>
      <c r="H23" t="n">
        <v>0</v>
      </c>
      <c r="I23" t="n">
        <v>0</v>
      </c>
      <c r="J23" t="n">
        <v>0</v>
      </c>
      <c r="K23" t="n">
        <v>1</v>
      </c>
      <c r="L23" t="n">
        <v>0</v>
      </c>
      <c r="M23" t="n">
        <v>0</v>
      </c>
      <c r="N23" t="n">
        <v>0</v>
      </c>
      <c r="O23" t="n">
        <v>1</v>
      </c>
      <c r="P23" t="n">
        <v>1</v>
      </c>
      <c r="Q23" t="n">
        <v>1</v>
      </c>
      <c r="R23" s="2" t="inlineStr">
        <is>
          <t>Askfingersvamp</t>
        </is>
      </c>
      <c r="S23">
        <f>HYPERLINK("https://klasma.github.io/Logging_0330/artfynd/A 5402-2023 artfynd.xlsx", "A 5402-2023")</f>
        <v/>
      </c>
      <c r="T23">
        <f>HYPERLINK("https://klasma.github.io/Logging_0330/kartor/A 5402-2023 karta.png", "A 5402-2023")</f>
        <v/>
      </c>
      <c r="V23">
        <f>HYPERLINK("https://klasma.github.io/Logging_0330/klagomål/A 5402-2023 FSC-klagomål.docx", "A 5402-2023")</f>
        <v/>
      </c>
      <c r="W23">
        <f>HYPERLINK("https://klasma.github.io/Logging_0330/klagomålsmail/A 5402-2023 FSC-klagomål mail.docx", "A 5402-2023")</f>
        <v/>
      </c>
      <c r="X23">
        <f>HYPERLINK("https://klasma.github.io/Logging_0330/tillsyn/A 5402-2023 tillsynsbegäran.docx", "A 5402-2023")</f>
        <v/>
      </c>
      <c r="Y23">
        <f>HYPERLINK("https://klasma.github.io/Logging_0330/tillsynsmail/A 5402-2023 tillsynsbegäran mail.docx", "A 5402-2023")</f>
        <v/>
      </c>
    </row>
    <row r="24" ht="15" customHeight="1">
      <c r="A24" t="inlineStr">
        <is>
          <t>A 666-2026</t>
        </is>
      </c>
      <c r="B24" s="1" t="n">
        <v>46029</v>
      </c>
      <c r="C24" s="1" t="n">
        <v>46201</v>
      </c>
      <c r="D24" t="inlineStr">
        <is>
          <t>UPPSALA LÄN</t>
        </is>
      </c>
      <c r="E24" t="inlineStr">
        <is>
          <t>KNIVSTA</t>
        </is>
      </c>
      <c r="G24" t="n">
        <v>1.8</v>
      </c>
      <c r="H24" t="n">
        <v>1</v>
      </c>
      <c r="I24" t="n">
        <v>0</v>
      </c>
      <c r="J24" t="n">
        <v>0</v>
      </c>
      <c r="K24" t="n">
        <v>0</v>
      </c>
      <c r="L24" t="n">
        <v>0</v>
      </c>
      <c r="M24" t="n">
        <v>0</v>
      </c>
      <c r="N24" t="n">
        <v>0</v>
      </c>
      <c r="O24" t="n">
        <v>0</v>
      </c>
      <c r="P24" t="n">
        <v>0</v>
      </c>
      <c r="Q24" t="n">
        <v>1</v>
      </c>
      <c r="R24" s="2" t="inlineStr">
        <is>
          <t>Havsörn</t>
        </is>
      </c>
      <c r="S24">
        <f>HYPERLINK("https://klasma.github.io/Logging_0330/artfynd/A 666-2026 artfynd.xlsx", "A 666-2026")</f>
        <v/>
      </c>
      <c r="T24">
        <f>HYPERLINK("https://klasma.github.io/Logging_0330/kartor/A 666-2026 karta.png", "A 666-2026")</f>
        <v/>
      </c>
      <c r="V24">
        <f>HYPERLINK("https://klasma.github.io/Logging_0330/klagomål/A 666-2026 FSC-klagomål.docx", "A 666-2026")</f>
        <v/>
      </c>
      <c r="W24">
        <f>HYPERLINK("https://klasma.github.io/Logging_0330/klagomålsmail/A 666-2026 FSC-klagomål mail.docx", "A 666-2026")</f>
        <v/>
      </c>
      <c r="X24">
        <f>HYPERLINK("https://klasma.github.io/Logging_0330/tillsyn/A 666-2026 tillsynsbegäran.docx", "A 666-2026")</f>
        <v/>
      </c>
      <c r="Y24">
        <f>HYPERLINK("https://klasma.github.io/Logging_0330/tillsynsmail/A 666-2026 tillsynsbegäran mail.docx", "A 666-2026")</f>
        <v/>
      </c>
      <c r="Z24">
        <f>HYPERLINK("https://klasma.github.io/Logging_0330/fåglar/A 666-2026 prioriterade fågelarter.docx", "A 666-2026")</f>
        <v/>
      </c>
    </row>
    <row r="25" ht="15" customHeight="1">
      <c r="A25" t="inlineStr">
        <is>
          <t>A 3836-2026</t>
        </is>
      </c>
      <c r="B25" s="1" t="n">
        <v>46043</v>
      </c>
      <c r="C25" s="1" t="n">
        <v>46201</v>
      </c>
      <c r="D25" t="inlineStr">
        <is>
          <t>UPPSALA LÄN</t>
        </is>
      </c>
      <c r="E25" t="inlineStr">
        <is>
          <t>KNIVSTA</t>
        </is>
      </c>
      <c r="G25" t="n">
        <v>3.7</v>
      </c>
      <c r="H25" t="n">
        <v>1</v>
      </c>
      <c r="I25" t="n">
        <v>0</v>
      </c>
      <c r="J25" t="n">
        <v>0</v>
      </c>
      <c r="K25" t="n">
        <v>0</v>
      </c>
      <c r="L25" t="n">
        <v>0</v>
      </c>
      <c r="M25" t="n">
        <v>0</v>
      </c>
      <c r="N25" t="n">
        <v>0</v>
      </c>
      <c r="O25" t="n">
        <v>0</v>
      </c>
      <c r="P25" t="n">
        <v>0</v>
      </c>
      <c r="Q25" t="n">
        <v>1</v>
      </c>
      <c r="R25" s="2" t="inlineStr">
        <is>
          <t>Spillkråka</t>
        </is>
      </c>
      <c r="S25">
        <f>HYPERLINK("https://klasma.github.io/Logging_0330/artfynd/A 3836-2026 artfynd.xlsx", "A 3836-2026")</f>
        <v/>
      </c>
      <c r="T25">
        <f>HYPERLINK("https://klasma.github.io/Logging_0330/kartor/A 3836-2026 karta.png", "A 3836-2026")</f>
        <v/>
      </c>
      <c r="V25">
        <f>HYPERLINK("https://klasma.github.io/Logging_0330/klagomål/A 3836-2026 FSC-klagomål.docx", "A 3836-2026")</f>
        <v/>
      </c>
      <c r="W25">
        <f>HYPERLINK("https://klasma.github.io/Logging_0330/klagomålsmail/A 3836-2026 FSC-klagomål mail.docx", "A 3836-2026")</f>
        <v/>
      </c>
      <c r="X25">
        <f>HYPERLINK("https://klasma.github.io/Logging_0330/tillsyn/A 3836-2026 tillsynsbegäran.docx", "A 3836-2026")</f>
        <v/>
      </c>
      <c r="Y25">
        <f>HYPERLINK("https://klasma.github.io/Logging_0330/tillsynsmail/A 3836-2026 tillsynsbegäran mail.docx", "A 3836-2026")</f>
        <v/>
      </c>
      <c r="Z25">
        <f>HYPERLINK("https://klasma.github.io/Logging_0330/fåglar/A 3836-2026 prioriterade fågelarter.docx", "A 3836-2026")</f>
        <v/>
      </c>
    </row>
    <row r="26" ht="15" customHeight="1">
      <c r="A26" t="inlineStr">
        <is>
          <t>A 9561-2026</t>
        </is>
      </c>
      <c r="B26" s="1" t="n">
        <v>46071</v>
      </c>
      <c r="C26" s="1" t="n">
        <v>46201</v>
      </c>
      <c r="D26" t="inlineStr">
        <is>
          <t>UPPSALA LÄN</t>
        </is>
      </c>
      <c r="E26" t="inlineStr">
        <is>
          <t>KNIVSTA</t>
        </is>
      </c>
      <c r="F26" t="inlineStr">
        <is>
          <t>Övriga statliga verk och myndigheter</t>
        </is>
      </c>
      <c r="G26" t="n">
        <v>2.6</v>
      </c>
      <c r="H26" t="n">
        <v>0</v>
      </c>
      <c r="I26" t="n">
        <v>0</v>
      </c>
      <c r="J26" t="n">
        <v>1</v>
      </c>
      <c r="K26" t="n">
        <v>0</v>
      </c>
      <c r="L26" t="n">
        <v>0</v>
      </c>
      <c r="M26" t="n">
        <v>0</v>
      </c>
      <c r="N26" t="n">
        <v>0</v>
      </c>
      <c r="O26" t="n">
        <v>1</v>
      </c>
      <c r="P26" t="n">
        <v>0</v>
      </c>
      <c r="Q26" t="n">
        <v>1</v>
      </c>
      <c r="R26" s="2" t="inlineStr">
        <is>
          <t>Svartöra</t>
        </is>
      </c>
      <c r="S26">
        <f>HYPERLINK("https://klasma.github.io/Logging_0330/artfynd/A 9561-2026 artfynd.xlsx", "A 9561-2026")</f>
        <v/>
      </c>
      <c r="T26">
        <f>HYPERLINK("https://klasma.github.io/Logging_0330/kartor/A 9561-2026 karta.png", "A 9561-2026")</f>
        <v/>
      </c>
      <c r="V26">
        <f>HYPERLINK("https://klasma.github.io/Logging_0330/klagomål/A 9561-2026 FSC-klagomål.docx", "A 9561-2026")</f>
        <v/>
      </c>
      <c r="W26">
        <f>HYPERLINK("https://klasma.github.io/Logging_0330/klagomålsmail/A 9561-2026 FSC-klagomål mail.docx", "A 9561-2026")</f>
        <v/>
      </c>
      <c r="X26">
        <f>HYPERLINK("https://klasma.github.io/Logging_0330/tillsyn/A 9561-2026 tillsynsbegäran.docx", "A 9561-2026")</f>
        <v/>
      </c>
      <c r="Y26">
        <f>HYPERLINK("https://klasma.github.io/Logging_0330/tillsynsmail/A 9561-2026 tillsynsbegäran mail.docx", "A 9561-2026")</f>
        <v/>
      </c>
    </row>
    <row r="27" ht="15" customHeight="1">
      <c r="A27" t="inlineStr">
        <is>
          <t>A 13002-2026</t>
        </is>
      </c>
      <c r="B27" s="1" t="n">
        <v>46092</v>
      </c>
      <c r="C27" s="1" t="n">
        <v>46201</v>
      </c>
      <c r="D27" t="inlineStr">
        <is>
          <t>UPPSALA LÄN</t>
        </is>
      </c>
      <c r="E27" t="inlineStr">
        <is>
          <t>KNIVSTA</t>
        </is>
      </c>
      <c r="F27" t="inlineStr">
        <is>
          <t>Holmen skog AB</t>
        </is>
      </c>
      <c r="G27" t="n">
        <v>0.7</v>
      </c>
      <c r="H27" t="n">
        <v>1</v>
      </c>
      <c r="I27" t="n">
        <v>0</v>
      </c>
      <c r="J27" t="n">
        <v>0</v>
      </c>
      <c r="K27" t="n">
        <v>1</v>
      </c>
      <c r="L27" t="n">
        <v>0</v>
      </c>
      <c r="M27" t="n">
        <v>0</v>
      </c>
      <c r="N27" t="n">
        <v>0</v>
      </c>
      <c r="O27" t="n">
        <v>1</v>
      </c>
      <c r="P27" t="n">
        <v>1</v>
      </c>
      <c r="Q27" t="n">
        <v>1</v>
      </c>
      <c r="R27" s="2" t="inlineStr">
        <is>
          <t>Knärot</t>
        </is>
      </c>
      <c r="S27">
        <f>HYPERLINK("https://klasma.github.io/Logging_0330/artfynd/A 13002-2026 artfynd.xlsx", "A 13002-2026")</f>
        <v/>
      </c>
      <c r="T27">
        <f>HYPERLINK("https://klasma.github.io/Logging_0330/kartor/A 13002-2026 karta.png", "A 13002-2026")</f>
        <v/>
      </c>
      <c r="U27">
        <f>HYPERLINK("https://klasma.github.io/Logging_0330/knärot/A 13002-2026 karta knärot.png", "A 13002-2026")</f>
        <v/>
      </c>
      <c r="V27">
        <f>HYPERLINK("https://klasma.github.io/Logging_0330/klagomål/A 13002-2026 FSC-klagomål.docx", "A 13002-2026")</f>
        <v/>
      </c>
      <c r="W27">
        <f>HYPERLINK("https://klasma.github.io/Logging_0330/klagomålsmail/A 13002-2026 FSC-klagomål mail.docx", "A 13002-2026")</f>
        <v/>
      </c>
      <c r="X27">
        <f>HYPERLINK("https://klasma.github.io/Logging_0330/tillsyn/A 13002-2026 tillsynsbegäran.docx", "A 13002-2026")</f>
        <v/>
      </c>
      <c r="Y27">
        <f>HYPERLINK("https://klasma.github.io/Logging_0330/tillsynsmail/A 13002-2026 tillsynsbegäran mail.docx", "A 13002-2026")</f>
        <v/>
      </c>
    </row>
    <row r="28" ht="15" customHeight="1">
      <c r="A28" t="inlineStr">
        <is>
          <t>A 12991-2026</t>
        </is>
      </c>
      <c r="B28" s="1" t="n">
        <v>46092</v>
      </c>
      <c r="C28" s="1" t="n">
        <v>46201</v>
      </c>
      <c r="D28" t="inlineStr">
        <is>
          <t>UPPSALA LÄN</t>
        </is>
      </c>
      <c r="E28" t="inlineStr">
        <is>
          <t>KNIVSTA</t>
        </is>
      </c>
      <c r="F28" t="inlineStr">
        <is>
          <t>Holmen skog AB</t>
        </is>
      </c>
      <c r="G28" t="n">
        <v>4.6</v>
      </c>
      <c r="H28" t="n">
        <v>1</v>
      </c>
      <c r="I28" t="n">
        <v>0</v>
      </c>
      <c r="J28" t="n">
        <v>0</v>
      </c>
      <c r="K28" t="n">
        <v>0</v>
      </c>
      <c r="L28" t="n">
        <v>0</v>
      </c>
      <c r="M28" t="n">
        <v>0</v>
      </c>
      <c r="N28" t="n">
        <v>0</v>
      </c>
      <c r="O28" t="n">
        <v>0</v>
      </c>
      <c r="P28" t="n">
        <v>0</v>
      </c>
      <c r="Q28" t="n">
        <v>1</v>
      </c>
      <c r="R28" s="2" t="inlineStr">
        <is>
          <t>Tjäder</t>
        </is>
      </c>
      <c r="S28">
        <f>HYPERLINK("https://klasma.github.io/Logging_0330/artfynd/A 12991-2026 artfynd.xlsx", "A 12991-2026")</f>
        <v/>
      </c>
      <c r="T28">
        <f>HYPERLINK("https://klasma.github.io/Logging_0330/kartor/A 12991-2026 karta.png", "A 12991-2026")</f>
        <v/>
      </c>
      <c r="V28">
        <f>HYPERLINK("https://klasma.github.io/Logging_0330/klagomål/A 12991-2026 FSC-klagomål.docx", "A 12991-2026")</f>
        <v/>
      </c>
      <c r="W28">
        <f>HYPERLINK("https://klasma.github.io/Logging_0330/klagomålsmail/A 12991-2026 FSC-klagomål mail.docx", "A 12991-2026")</f>
        <v/>
      </c>
      <c r="X28">
        <f>HYPERLINK("https://klasma.github.io/Logging_0330/tillsyn/A 12991-2026 tillsynsbegäran.docx", "A 12991-2026")</f>
        <v/>
      </c>
      <c r="Y28">
        <f>HYPERLINK("https://klasma.github.io/Logging_0330/tillsynsmail/A 12991-2026 tillsynsbegäran mail.docx", "A 12991-2026")</f>
        <v/>
      </c>
      <c r="Z28">
        <f>HYPERLINK("https://klasma.github.io/Logging_0330/fåglar/A 12991-2026 prioriterade fågelarter.docx", "A 12991-2026")</f>
        <v/>
      </c>
    </row>
    <row r="29" ht="15" customHeight="1">
      <c r="A29" t="inlineStr">
        <is>
          <t>A 13380-2026</t>
        </is>
      </c>
      <c r="B29" s="1" t="n">
        <v>46094</v>
      </c>
      <c r="C29" s="1" t="n">
        <v>46201</v>
      </c>
      <c r="D29" t="inlineStr">
        <is>
          <t>UPPSALA LÄN</t>
        </is>
      </c>
      <c r="E29" t="inlineStr">
        <is>
          <t>KNIVSTA</t>
        </is>
      </c>
      <c r="G29" t="n">
        <v>1.7</v>
      </c>
      <c r="H29" t="n">
        <v>1</v>
      </c>
      <c r="I29" t="n">
        <v>0</v>
      </c>
      <c r="J29" t="n">
        <v>0</v>
      </c>
      <c r="K29" t="n">
        <v>0</v>
      </c>
      <c r="L29" t="n">
        <v>0</v>
      </c>
      <c r="M29" t="n">
        <v>0</v>
      </c>
      <c r="N29" t="n">
        <v>0</v>
      </c>
      <c r="O29" t="n">
        <v>0</v>
      </c>
      <c r="P29" t="n">
        <v>0</v>
      </c>
      <c r="Q29" t="n">
        <v>1</v>
      </c>
      <c r="R29" s="2" t="inlineStr">
        <is>
          <t>Spillkråka</t>
        </is>
      </c>
      <c r="S29">
        <f>HYPERLINK("https://klasma.github.io/Logging_0330/artfynd/A 13380-2026 artfynd.xlsx", "A 13380-2026")</f>
        <v/>
      </c>
      <c r="T29">
        <f>HYPERLINK("https://klasma.github.io/Logging_0330/kartor/A 13380-2026 karta.png", "A 13380-2026")</f>
        <v/>
      </c>
      <c r="V29">
        <f>HYPERLINK("https://klasma.github.io/Logging_0330/klagomål/A 13380-2026 FSC-klagomål.docx", "A 13380-2026")</f>
        <v/>
      </c>
      <c r="W29">
        <f>HYPERLINK("https://klasma.github.io/Logging_0330/klagomålsmail/A 13380-2026 FSC-klagomål mail.docx", "A 13380-2026")</f>
        <v/>
      </c>
      <c r="X29">
        <f>HYPERLINK("https://klasma.github.io/Logging_0330/tillsyn/A 13380-2026 tillsynsbegäran.docx", "A 13380-2026")</f>
        <v/>
      </c>
      <c r="Y29">
        <f>HYPERLINK("https://klasma.github.io/Logging_0330/tillsynsmail/A 13380-2026 tillsynsbegäran mail.docx", "A 13380-2026")</f>
        <v/>
      </c>
      <c r="Z29">
        <f>HYPERLINK("https://klasma.github.io/Logging_0330/fåglar/A 13380-2026 prioriterade fågelarter.docx", "A 13380-2026")</f>
        <v/>
      </c>
    </row>
    <row r="30" ht="15" customHeight="1">
      <c r="A30" t="inlineStr">
        <is>
          <t>A 66298-2021</t>
        </is>
      </c>
      <c r="B30" s="1" t="n">
        <v>44518</v>
      </c>
      <c r="C30" s="1" t="n">
        <v>46201</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46201</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46201</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46201</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46201</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46201</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46201</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64044-2021</t>
        </is>
      </c>
      <c r="B37" s="1" t="n">
        <v>44510</v>
      </c>
      <c r="C37" s="1" t="n">
        <v>46201</v>
      </c>
      <c r="D37" t="inlineStr">
        <is>
          <t>UPPSALA LÄN</t>
        </is>
      </c>
      <c r="E37" t="inlineStr">
        <is>
          <t>KNIVSTA</t>
        </is>
      </c>
      <c r="G37" t="n">
        <v>0.5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46201</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46201</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46201</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46201</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46201</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46201</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60018-2024</t>
        </is>
      </c>
      <c r="B44" s="1" t="n">
        <v>45642</v>
      </c>
      <c r="C44" s="1" t="n">
        <v>46201</v>
      </c>
      <c r="D44" t="inlineStr">
        <is>
          <t>UPPSALA LÄN</t>
        </is>
      </c>
      <c r="E44" t="inlineStr">
        <is>
          <t>KNIVSTA</t>
        </is>
      </c>
      <c r="G44" t="n">
        <v>4.1</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46201</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17091-2023</t>
        </is>
      </c>
      <c r="B46" s="1" t="n">
        <v>45034</v>
      </c>
      <c r="C46" s="1" t="n">
        <v>46201</v>
      </c>
      <c r="D46" t="inlineStr">
        <is>
          <t>UPPSALA LÄN</t>
        </is>
      </c>
      <c r="E46" t="inlineStr">
        <is>
          <t>KNIVSTA</t>
        </is>
      </c>
      <c r="G46" t="n">
        <v>0.8</v>
      </c>
      <c r="H46" t="n">
        <v>0</v>
      </c>
      <c r="I46" t="n">
        <v>0</v>
      </c>
      <c r="J46" t="n">
        <v>0</v>
      </c>
      <c r="K46" t="n">
        <v>0</v>
      </c>
      <c r="L46" t="n">
        <v>0</v>
      </c>
      <c r="M46" t="n">
        <v>0</v>
      </c>
      <c r="N46" t="n">
        <v>0</v>
      </c>
      <c r="O46" t="n">
        <v>0</v>
      </c>
      <c r="P46" t="n">
        <v>0</v>
      </c>
      <c r="Q46" t="n">
        <v>0</v>
      </c>
      <c r="R46" s="2" t="inlineStr"/>
    </row>
    <row r="47" ht="15" customHeight="1">
      <c r="A47" t="inlineStr">
        <is>
          <t>A 1791-2024</t>
        </is>
      </c>
      <c r="B47" s="1" t="n">
        <v>45307</v>
      </c>
      <c r="C47" s="1" t="n">
        <v>46201</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26182-2022</t>
        </is>
      </c>
      <c r="B48" s="1" t="n">
        <v>44735</v>
      </c>
      <c r="C48" s="1" t="n">
        <v>46201</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2628-2025</t>
        </is>
      </c>
      <c r="B49" s="1" t="n">
        <v>45675</v>
      </c>
      <c r="C49" s="1" t="n">
        <v>46201</v>
      </c>
      <c r="D49" t="inlineStr">
        <is>
          <t>UPPSALA LÄN</t>
        </is>
      </c>
      <c r="E49" t="inlineStr">
        <is>
          <t>KNIVSTA</t>
        </is>
      </c>
      <c r="G49" t="n">
        <v>2.9</v>
      </c>
      <c r="H49" t="n">
        <v>0</v>
      </c>
      <c r="I49" t="n">
        <v>0</v>
      </c>
      <c r="J49" t="n">
        <v>0</v>
      </c>
      <c r="K49" t="n">
        <v>0</v>
      </c>
      <c r="L49" t="n">
        <v>0</v>
      </c>
      <c r="M49" t="n">
        <v>0</v>
      </c>
      <c r="N49" t="n">
        <v>0</v>
      </c>
      <c r="O49" t="n">
        <v>0</v>
      </c>
      <c r="P49" t="n">
        <v>0</v>
      </c>
      <c r="Q49" t="n">
        <v>0</v>
      </c>
      <c r="R49" s="2" t="inlineStr"/>
    </row>
    <row r="50" ht="15" customHeight="1">
      <c r="A50" t="inlineStr">
        <is>
          <t>A 17333-2024</t>
        </is>
      </c>
      <c r="B50" s="1" t="n">
        <v>45414</v>
      </c>
      <c r="C50" s="1" t="n">
        <v>46201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46201</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31875-2022</t>
        </is>
      </c>
      <c r="B52" s="1" t="n">
        <v>44777</v>
      </c>
      <c r="C52" s="1" t="n">
        <v>46201</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51849-2023</t>
        </is>
      </c>
      <c r="B53" s="1" t="n">
        <v>45223</v>
      </c>
      <c r="C53" s="1" t="n">
        <v>46201</v>
      </c>
      <c r="D53" t="inlineStr">
        <is>
          <t>UPPSALA LÄN</t>
        </is>
      </c>
      <c r="E53" t="inlineStr">
        <is>
          <t>KNIVSTA</t>
        </is>
      </c>
      <c r="G53" t="n">
        <v>16.3</v>
      </c>
      <c r="H53" t="n">
        <v>0</v>
      </c>
      <c r="I53" t="n">
        <v>0</v>
      </c>
      <c r="J53" t="n">
        <v>0</v>
      </c>
      <c r="K53" t="n">
        <v>0</v>
      </c>
      <c r="L53" t="n">
        <v>0</v>
      </c>
      <c r="M53" t="n">
        <v>0</v>
      </c>
      <c r="N53" t="n">
        <v>0</v>
      </c>
      <c r="O53" t="n">
        <v>0</v>
      </c>
      <c r="P53" t="n">
        <v>0</v>
      </c>
      <c r="Q53" t="n">
        <v>0</v>
      </c>
      <c r="R53" s="2" t="inlineStr"/>
    </row>
    <row r="54" ht="15" customHeight="1">
      <c r="A54" t="inlineStr">
        <is>
          <t>A 11841-2023</t>
        </is>
      </c>
      <c r="B54" s="1" t="n">
        <v>44995</v>
      </c>
      <c r="C54" s="1" t="n">
        <v>46201</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23239-2023</t>
        </is>
      </c>
      <c r="B55" s="1" t="n">
        <v>45075</v>
      </c>
      <c r="C55" s="1" t="n">
        <v>46201</v>
      </c>
      <c r="D55" t="inlineStr">
        <is>
          <t>UPPSALA LÄN</t>
        </is>
      </c>
      <c r="E55" t="inlineStr">
        <is>
          <t>KNIVSTA</t>
        </is>
      </c>
      <c r="G55" t="n">
        <v>1.8</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46201</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46201</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66293-2021</t>
        </is>
      </c>
      <c r="B58" s="1" t="n">
        <v>44518</v>
      </c>
      <c r="C58" s="1" t="n">
        <v>46201</v>
      </c>
      <c r="D58" t="inlineStr">
        <is>
          <t>UPPSALA LÄN</t>
        </is>
      </c>
      <c r="E58" t="inlineStr">
        <is>
          <t>KNIVSTA</t>
        </is>
      </c>
      <c r="G58" t="n">
        <v>2.6</v>
      </c>
      <c r="H58" t="n">
        <v>0</v>
      </c>
      <c r="I58" t="n">
        <v>0</v>
      </c>
      <c r="J58" t="n">
        <v>0</v>
      </c>
      <c r="K58" t="n">
        <v>0</v>
      </c>
      <c r="L58" t="n">
        <v>0</v>
      </c>
      <c r="M58" t="n">
        <v>0</v>
      </c>
      <c r="N58" t="n">
        <v>0</v>
      </c>
      <c r="O58" t="n">
        <v>0</v>
      </c>
      <c r="P58" t="n">
        <v>0</v>
      </c>
      <c r="Q58" t="n">
        <v>0</v>
      </c>
      <c r="R58" s="2" t="inlineStr"/>
    </row>
    <row r="59" ht="15" customHeight="1">
      <c r="A59" t="inlineStr">
        <is>
          <t>A 45916-2022</t>
        </is>
      </c>
      <c r="B59" s="1" t="n">
        <v>44846</v>
      </c>
      <c r="C59" s="1" t="n">
        <v>46201</v>
      </c>
      <c r="D59" t="inlineStr">
        <is>
          <t>UPPSALA LÄN</t>
        </is>
      </c>
      <c r="E59" t="inlineStr">
        <is>
          <t>KNIVSTA</t>
        </is>
      </c>
      <c r="G59" t="n">
        <v>3.8</v>
      </c>
      <c r="H59" t="n">
        <v>0</v>
      </c>
      <c r="I59" t="n">
        <v>0</v>
      </c>
      <c r="J59" t="n">
        <v>0</v>
      </c>
      <c r="K59" t="n">
        <v>0</v>
      </c>
      <c r="L59" t="n">
        <v>0</v>
      </c>
      <c r="M59" t="n">
        <v>0</v>
      </c>
      <c r="N59" t="n">
        <v>0</v>
      </c>
      <c r="O59" t="n">
        <v>0</v>
      </c>
      <c r="P59" t="n">
        <v>0</v>
      </c>
      <c r="Q59" t="n">
        <v>0</v>
      </c>
      <c r="R59" s="2" t="inlineStr"/>
    </row>
    <row r="60" ht="15" customHeight="1">
      <c r="A60" t="inlineStr">
        <is>
          <t>A 66284-2021</t>
        </is>
      </c>
      <c r="B60" s="1" t="n">
        <v>44518</v>
      </c>
      <c r="C60" s="1" t="n">
        <v>46201</v>
      </c>
      <c r="D60" t="inlineStr">
        <is>
          <t>UPPSALA LÄN</t>
        </is>
      </c>
      <c r="E60" t="inlineStr">
        <is>
          <t>KNIVSTA</t>
        </is>
      </c>
      <c r="G60" t="n">
        <v>6.9</v>
      </c>
      <c r="H60" t="n">
        <v>0</v>
      </c>
      <c r="I60" t="n">
        <v>0</v>
      </c>
      <c r="J60" t="n">
        <v>0</v>
      </c>
      <c r="K60" t="n">
        <v>0</v>
      </c>
      <c r="L60" t="n">
        <v>0</v>
      </c>
      <c r="M60" t="n">
        <v>0</v>
      </c>
      <c r="N60" t="n">
        <v>0</v>
      </c>
      <c r="O60" t="n">
        <v>0</v>
      </c>
      <c r="P60" t="n">
        <v>0</v>
      </c>
      <c r="Q60" t="n">
        <v>0</v>
      </c>
      <c r="R60" s="2" t="inlineStr"/>
    </row>
    <row r="61" ht="15" customHeight="1">
      <c r="A61" t="inlineStr">
        <is>
          <t>A 32975-2021</t>
        </is>
      </c>
      <c r="B61" s="1" t="n">
        <v>44376</v>
      </c>
      <c r="C61" s="1" t="n">
        <v>46201</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46201</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2629-2025</t>
        </is>
      </c>
      <c r="B63" s="1" t="n">
        <v>45675</v>
      </c>
      <c r="C63" s="1" t="n">
        <v>46201</v>
      </c>
      <c r="D63" t="inlineStr">
        <is>
          <t>UPPSALA LÄN</t>
        </is>
      </c>
      <c r="E63" t="inlineStr">
        <is>
          <t>KNIVSTA</t>
        </is>
      </c>
      <c r="G63" t="n">
        <v>1.1</v>
      </c>
      <c r="H63" t="n">
        <v>0</v>
      </c>
      <c r="I63" t="n">
        <v>0</v>
      </c>
      <c r="J63" t="n">
        <v>0</v>
      </c>
      <c r="K63" t="n">
        <v>0</v>
      </c>
      <c r="L63" t="n">
        <v>0</v>
      </c>
      <c r="M63" t="n">
        <v>0</v>
      </c>
      <c r="N63" t="n">
        <v>0</v>
      </c>
      <c r="O63" t="n">
        <v>0</v>
      </c>
      <c r="P63" t="n">
        <v>0</v>
      </c>
      <c r="Q63" t="n">
        <v>0</v>
      </c>
      <c r="R63" s="2" t="inlineStr"/>
    </row>
    <row r="64" ht="15" customHeight="1">
      <c r="A64" t="inlineStr">
        <is>
          <t>A 5320-2023</t>
        </is>
      </c>
      <c r="B64" s="1" t="n">
        <v>44959</v>
      </c>
      <c r="C64" s="1" t="n">
        <v>46201</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13697-2024</t>
        </is>
      </c>
      <c r="B65" s="1" t="n">
        <v>45390</v>
      </c>
      <c r="C65" s="1" t="n">
        <v>46201</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11847-2023</t>
        </is>
      </c>
      <c r="B66" s="1" t="n">
        <v>44995</v>
      </c>
      <c r="C66" s="1" t="n">
        <v>46201</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11452-2023</t>
        </is>
      </c>
      <c r="B67" s="1" t="n">
        <v>44993</v>
      </c>
      <c r="C67" s="1" t="n">
        <v>46201</v>
      </c>
      <c r="D67" t="inlineStr">
        <is>
          <t>UPPSALA LÄN</t>
        </is>
      </c>
      <c r="E67" t="inlineStr">
        <is>
          <t>KNIVSTA</t>
        </is>
      </c>
      <c r="G67" t="n">
        <v>2.5</v>
      </c>
      <c r="H67" t="n">
        <v>0</v>
      </c>
      <c r="I67" t="n">
        <v>0</v>
      </c>
      <c r="J67" t="n">
        <v>0</v>
      </c>
      <c r="K67" t="n">
        <v>0</v>
      </c>
      <c r="L67" t="n">
        <v>0</v>
      </c>
      <c r="M67" t="n">
        <v>0</v>
      </c>
      <c r="N67" t="n">
        <v>0</v>
      </c>
      <c r="O67" t="n">
        <v>0</v>
      </c>
      <c r="P67" t="n">
        <v>0</v>
      </c>
      <c r="Q67" t="n">
        <v>0</v>
      </c>
      <c r="R67" s="2" t="inlineStr"/>
    </row>
    <row r="68" ht="15" customHeight="1">
      <c r="A68" t="inlineStr">
        <is>
          <t>A 30627-2023</t>
        </is>
      </c>
      <c r="B68" s="1" t="n">
        <v>45112</v>
      </c>
      <c r="C68" s="1" t="n">
        <v>46201</v>
      </c>
      <c r="D68" t="inlineStr">
        <is>
          <t>UPPSALA LÄN</t>
        </is>
      </c>
      <c r="E68" t="inlineStr">
        <is>
          <t>KNIVSTA</t>
        </is>
      </c>
      <c r="F68" t="inlineStr">
        <is>
          <t>Holmen skog AB</t>
        </is>
      </c>
      <c r="G68" t="n">
        <v>1.6</v>
      </c>
      <c r="H68" t="n">
        <v>0</v>
      </c>
      <c r="I68" t="n">
        <v>0</v>
      </c>
      <c r="J68" t="n">
        <v>0</v>
      </c>
      <c r="K68" t="n">
        <v>0</v>
      </c>
      <c r="L68" t="n">
        <v>0</v>
      </c>
      <c r="M68" t="n">
        <v>0</v>
      </c>
      <c r="N68" t="n">
        <v>0</v>
      </c>
      <c r="O68" t="n">
        <v>0</v>
      </c>
      <c r="P68" t="n">
        <v>0</v>
      </c>
      <c r="Q68" t="n">
        <v>0</v>
      </c>
      <c r="R68" s="2" t="inlineStr"/>
    </row>
    <row r="69" ht="15" customHeight="1">
      <c r="A69" t="inlineStr">
        <is>
          <t>A 33976-2025</t>
        </is>
      </c>
      <c r="B69" s="1" t="n">
        <v>45843</v>
      </c>
      <c r="C69" s="1" t="n">
        <v>46201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1629-2024</t>
        </is>
      </c>
      <c r="B70" s="1" t="n">
        <v>45306</v>
      </c>
      <c r="C70" s="1" t="n">
        <v>46201</v>
      </c>
      <c r="D70" t="inlineStr">
        <is>
          <t>UPPSALA LÄN</t>
        </is>
      </c>
      <c r="E70" t="inlineStr">
        <is>
          <t>KNIVSTA</t>
        </is>
      </c>
      <c r="F70" t="inlineStr">
        <is>
          <t>Holmen skog AB</t>
        </is>
      </c>
      <c r="G70" t="n">
        <v>3.6</v>
      </c>
      <c r="H70" t="n">
        <v>0</v>
      </c>
      <c r="I70" t="n">
        <v>0</v>
      </c>
      <c r="J70" t="n">
        <v>0</v>
      </c>
      <c r="K70" t="n">
        <v>0</v>
      </c>
      <c r="L70" t="n">
        <v>0</v>
      </c>
      <c r="M70" t="n">
        <v>0</v>
      </c>
      <c r="N70" t="n">
        <v>0</v>
      </c>
      <c r="O70" t="n">
        <v>0</v>
      </c>
      <c r="P70" t="n">
        <v>0</v>
      </c>
      <c r="Q70" t="n">
        <v>0</v>
      </c>
      <c r="R70" s="2" t="inlineStr"/>
    </row>
    <row r="71" ht="15" customHeight="1">
      <c r="A71" t="inlineStr">
        <is>
          <t>A 34864-2025</t>
        </is>
      </c>
      <c r="B71" s="1" t="n">
        <v>45849</v>
      </c>
      <c r="C71" s="1" t="n">
        <v>46201</v>
      </c>
      <c r="D71" t="inlineStr">
        <is>
          <t>UPPSALA LÄN</t>
        </is>
      </c>
      <c r="E71" t="inlineStr">
        <is>
          <t>KNIVSTA</t>
        </is>
      </c>
      <c r="F71" t="inlineStr">
        <is>
          <t>Holmen skog AB</t>
        </is>
      </c>
      <c r="G71" t="n">
        <v>1.3</v>
      </c>
      <c r="H71" t="n">
        <v>0</v>
      </c>
      <c r="I71" t="n">
        <v>0</v>
      </c>
      <c r="J71" t="n">
        <v>0</v>
      </c>
      <c r="K71" t="n">
        <v>0</v>
      </c>
      <c r="L71" t="n">
        <v>0</v>
      </c>
      <c r="M71" t="n">
        <v>0</v>
      </c>
      <c r="N71" t="n">
        <v>0</v>
      </c>
      <c r="O71" t="n">
        <v>0</v>
      </c>
      <c r="P71" t="n">
        <v>0</v>
      </c>
      <c r="Q71" t="n">
        <v>0</v>
      </c>
      <c r="R71" s="2" t="inlineStr"/>
    </row>
    <row r="72" ht="15" customHeight="1">
      <c r="A72" t="inlineStr">
        <is>
          <t>A 35318-2025</t>
        </is>
      </c>
      <c r="B72" s="1" t="n">
        <v>45854</v>
      </c>
      <c r="C72" s="1" t="n">
        <v>46201</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46201</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36473-2025</t>
        </is>
      </c>
      <c r="B74" s="1" t="n">
        <v>45869</v>
      </c>
      <c r="C74" s="1" t="n">
        <v>46201</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46201</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46201</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49090-2025</t>
        </is>
      </c>
      <c r="B77" s="1" t="n">
        <v>45937</v>
      </c>
      <c r="C77" s="1" t="n">
        <v>46201</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794-2024</t>
        </is>
      </c>
      <c r="B78" s="1" t="n">
        <v>45300</v>
      </c>
      <c r="C78" s="1" t="n">
        <v>46201</v>
      </c>
      <c r="D78" t="inlineStr">
        <is>
          <t>UPPSALA LÄN</t>
        </is>
      </c>
      <c r="E78" t="inlineStr">
        <is>
          <t>KNIVSTA</t>
        </is>
      </c>
      <c r="G78" t="n">
        <v>1.6</v>
      </c>
      <c r="H78" t="n">
        <v>0</v>
      </c>
      <c r="I78" t="n">
        <v>0</v>
      </c>
      <c r="J78" t="n">
        <v>0</v>
      </c>
      <c r="K78" t="n">
        <v>0</v>
      </c>
      <c r="L78" t="n">
        <v>0</v>
      </c>
      <c r="M78" t="n">
        <v>0</v>
      </c>
      <c r="N78" t="n">
        <v>0</v>
      </c>
      <c r="O78" t="n">
        <v>0</v>
      </c>
      <c r="P78" t="n">
        <v>0</v>
      </c>
      <c r="Q78" t="n">
        <v>0</v>
      </c>
      <c r="R78" s="2" t="inlineStr"/>
    </row>
    <row r="79" ht="15" customHeight="1">
      <c r="A79" t="inlineStr">
        <is>
          <t>A 45453-2025</t>
        </is>
      </c>
      <c r="B79" s="1" t="n">
        <v>45922</v>
      </c>
      <c r="C79" s="1" t="n">
        <v>46201</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19676-2025</t>
        </is>
      </c>
      <c r="B80" s="1" t="n">
        <v>45770</v>
      </c>
      <c r="C80" s="1" t="n">
        <v>46201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47803-2025</t>
        </is>
      </c>
      <c r="B81" s="1" t="n">
        <v>45931</v>
      </c>
      <c r="C81" s="1" t="n">
        <v>46201</v>
      </c>
      <c r="D81" t="inlineStr">
        <is>
          <t>UPPSALA LÄN</t>
        </is>
      </c>
      <c r="E81" t="inlineStr">
        <is>
          <t>KNIVSTA</t>
        </is>
      </c>
      <c r="G81" t="n">
        <v>2.9</v>
      </c>
      <c r="H81" t="n">
        <v>0</v>
      </c>
      <c r="I81" t="n">
        <v>0</v>
      </c>
      <c r="J81" t="n">
        <v>0</v>
      </c>
      <c r="K81" t="n">
        <v>0</v>
      </c>
      <c r="L81" t="n">
        <v>0</v>
      </c>
      <c r="M81" t="n">
        <v>0</v>
      </c>
      <c r="N81" t="n">
        <v>0</v>
      </c>
      <c r="O81" t="n">
        <v>0</v>
      </c>
      <c r="P81" t="n">
        <v>0</v>
      </c>
      <c r="Q81" t="n">
        <v>0</v>
      </c>
      <c r="R81" s="2" t="inlineStr"/>
    </row>
    <row r="82" ht="15" customHeight="1">
      <c r="A82" t="inlineStr">
        <is>
          <t>A 20902-2024</t>
        </is>
      </c>
      <c r="B82" s="1" t="n">
        <v>45439</v>
      </c>
      <c r="C82" s="1" t="n">
        <v>46201</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60243-2025</t>
        </is>
      </c>
      <c r="B83" s="1" t="n">
        <v>45994</v>
      </c>
      <c r="C83" s="1" t="n">
        <v>46201</v>
      </c>
      <c r="D83" t="inlineStr">
        <is>
          <t>UPPSALA LÄN</t>
        </is>
      </c>
      <c r="E83" t="inlineStr">
        <is>
          <t>KNIVSTA</t>
        </is>
      </c>
      <c r="F83" t="inlineStr">
        <is>
          <t>Holmen skog AB</t>
        </is>
      </c>
      <c r="G83" t="n">
        <v>2.4</v>
      </c>
      <c r="H83" t="n">
        <v>0</v>
      </c>
      <c r="I83" t="n">
        <v>0</v>
      </c>
      <c r="J83" t="n">
        <v>0</v>
      </c>
      <c r="K83" t="n">
        <v>0</v>
      </c>
      <c r="L83" t="n">
        <v>0</v>
      </c>
      <c r="M83" t="n">
        <v>0</v>
      </c>
      <c r="N83" t="n">
        <v>0</v>
      </c>
      <c r="O83" t="n">
        <v>0</v>
      </c>
      <c r="P83" t="n">
        <v>0</v>
      </c>
      <c r="Q83" t="n">
        <v>0</v>
      </c>
      <c r="R83" s="2" t="inlineStr"/>
    </row>
    <row r="84" ht="15" customHeight="1">
      <c r="A84" t="inlineStr">
        <is>
          <t>A 662-2026</t>
        </is>
      </c>
      <c r="B84" s="1" t="n">
        <v>46029</v>
      </c>
      <c r="C84" s="1" t="n">
        <v>46201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5276-2026</t>
        </is>
      </c>
      <c r="B85" s="1" t="n">
        <v>46037</v>
      </c>
      <c r="C85" s="1" t="n">
        <v>46201</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3824-2026</t>
        </is>
      </c>
      <c r="B86" s="1" t="n">
        <v>46043</v>
      </c>
      <c r="C86" s="1" t="n">
        <v>46201</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3375-2026</t>
        </is>
      </c>
      <c r="B87" s="1" t="n">
        <v>46042</v>
      </c>
      <c r="C87" s="1" t="n">
        <v>46201</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5908-2026</t>
        </is>
      </c>
      <c r="B88" s="1" t="n">
        <v>46052</v>
      </c>
      <c r="C88" s="1" t="n">
        <v>46201</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v>
      </c>
      <c r="C89" s="1" t="n">
        <v>46201</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9744-2026</t>
        </is>
      </c>
      <c r="B90" s="1" t="n">
        <v>46072</v>
      </c>
      <c r="C90" s="1" t="n">
        <v>46201</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12027-2026</t>
        </is>
      </c>
      <c r="B91" s="1" t="n">
        <v>46085</v>
      </c>
      <c r="C91" s="1" t="n">
        <v>46201</v>
      </c>
      <c r="D91" t="inlineStr">
        <is>
          <t>UPPSALA LÄN</t>
        </is>
      </c>
      <c r="E91" t="inlineStr">
        <is>
          <t>KNIVSTA</t>
        </is>
      </c>
      <c r="G91" t="n">
        <v>0.6</v>
      </c>
      <c r="H91" t="n">
        <v>0</v>
      </c>
      <c r="I91" t="n">
        <v>0</v>
      </c>
      <c r="J91" t="n">
        <v>0</v>
      </c>
      <c r="K91" t="n">
        <v>0</v>
      </c>
      <c r="L91" t="n">
        <v>0</v>
      </c>
      <c r="M91" t="n">
        <v>0</v>
      </c>
      <c r="N91" t="n">
        <v>0</v>
      </c>
      <c r="O91" t="n">
        <v>0</v>
      </c>
      <c r="P91" t="n">
        <v>0</v>
      </c>
      <c r="Q91" t="n">
        <v>0</v>
      </c>
      <c r="R91" s="2" t="inlineStr"/>
    </row>
    <row r="92" ht="15" customHeight="1">
      <c r="A92" t="inlineStr">
        <is>
          <t>A 12774-2026</t>
        </is>
      </c>
      <c r="B92" s="1" t="n">
        <v>46091</v>
      </c>
      <c r="C92" s="1" t="n">
        <v>46201</v>
      </c>
      <c r="D92" t="inlineStr">
        <is>
          <t>UPPSALA LÄN</t>
        </is>
      </c>
      <c r="E92" t="inlineStr">
        <is>
          <t>KNIVSTA</t>
        </is>
      </c>
      <c r="F92" t="inlineStr">
        <is>
          <t>Holmen skog AB</t>
        </is>
      </c>
      <c r="G92" t="n">
        <v>3.3</v>
      </c>
      <c r="H92" t="n">
        <v>0</v>
      </c>
      <c r="I92" t="n">
        <v>0</v>
      </c>
      <c r="J92" t="n">
        <v>0</v>
      </c>
      <c r="K92" t="n">
        <v>0</v>
      </c>
      <c r="L92" t="n">
        <v>0</v>
      </c>
      <c r="M92" t="n">
        <v>0</v>
      </c>
      <c r="N92" t="n">
        <v>0</v>
      </c>
      <c r="O92" t="n">
        <v>0</v>
      </c>
      <c r="P92" t="n">
        <v>0</v>
      </c>
      <c r="Q92" t="n">
        <v>0</v>
      </c>
      <c r="R92" s="2" t="inlineStr"/>
    </row>
    <row r="93" ht="15" customHeight="1">
      <c r="A93" t="inlineStr">
        <is>
          <t>A 13011-2026</t>
        </is>
      </c>
      <c r="B93" s="1" t="n">
        <v>46092</v>
      </c>
      <c r="C93" s="1" t="n">
        <v>46201</v>
      </c>
      <c r="D93" t="inlineStr">
        <is>
          <t>UPPSALA LÄN</t>
        </is>
      </c>
      <c r="E93" t="inlineStr">
        <is>
          <t>KNIVSTA</t>
        </is>
      </c>
      <c r="F93" t="inlineStr">
        <is>
          <t>Holmen skog AB</t>
        </is>
      </c>
      <c r="G93" t="n">
        <v>1.9</v>
      </c>
      <c r="H93" t="n">
        <v>0</v>
      </c>
      <c r="I93" t="n">
        <v>0</v>
      </c>
      <c r="J93" t="n">
        <v>0</v>
      </c>
      <c r="K93" t="n">
        <v>0</v>
      </c>
      <c r="L93" t="n">
        <v>0</v>
      </c>
      <c r="M93" t="n">
        <v>0</v>
      </c>
      <c r="N93" t="n">
        <v>0</v>
      </c>
      <c r="O93" t="n">
        <v>0</v>
      </c>
      <c r="P93" t="n">
        <v>0</v>
      </c>
      <c r="Q93" t="n">
        <v>0</v>
      </c>
      <c r="R93" s="2" t="inlineStr"/>
      <c r="U93">
        <f>HYPERLINK("https://klasma.github.io/Logging_0330/knärot/A 13011-2026 karta knärot.png", "A 13011-2026")</f>
        <v/>
      </c>
      <c r="V93">
        <f>HYPERLINK("https://klasma.github.io/Logging_0330/klagomål/A 13011-2026 FSC-klagomål.docx", "A 13011-2026")</f>
        <v/>
      </c>
      <c r="W93">
        <f>HYPERLINK("https://klasma.github.io/Logging_0330/klagomålsmail/A 13011-2026 FSC-klagomål mail.docx", "A 13011-2026")</f>
        <v/>
      </c>
      <c r="X93">
        <f>HYPERLINK("https://klasma.github.io/Logging_0330/tillsyn/A 13011-2026 tillsynsbegäran.docx", "A 13011-2026")</f>
        <v/>
      </c>
      <c r="Y93">
        <f>HYPERLINK("https://klasma.github.io/Logging_0330/tillsynsmail/A 13011-2026 tillsynsbegäran mail.docx", "A 13011-2026")</f>
        <v/>
      </c>
    </row>
    <row r="94" ht="15" customHeight="1">
      <c r="A94" t="inlineStr">
        <is>
          <t>A 13013-2026</t>
        </is>
      </c>
      <c r="B94" s="1" t="n">
        <v>46092</v>
      </c>
      <c r="C94" s="1" t="n">
        <v>46201</v>
      </c>
      <c r="D94" t="inlineStr">
        <is>
          <t>UPPSALA LÄN</t>
        </is>
      </c>
      <c r="E94" t="inlineStr">
        <is>
          <t>KNIVSTA</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13001-2026</t>
        </is>
      </c>
      <c r="B95" s="1" t="n">
        <v>46092</v>
      </c>
      <c r="C95" s="1" t="n">
        <v>46201</v>
      </c>
      <c r="D95" t="inlineStr">
        <is>
          <t>UPPSALA LÄN</t>
        </is>
      </c>
      <c r="E95" t="inlineStr">
        <is>
          <t>KNIVSTA</t>
        </is>
      </c>
      <c r="F95" t="inlineStr">
        <is>
          <t>Holmen skog AB</t>
        </is>
      </c>
      <c r="G95" t="n">
        <v>2.9</v>
      </c>
      <c r="H95" t="n">
        <v>0</v>
      </c>
      <c r="I95" t="n">
        <v>0</v>
      </c>
      <c r="J95" t="n">
        <v>0</v>
      </c>
      <c r="K95" t="n">
        <v>0</v>
      </c>
      <c r="L95" t="n">
        <v>0</v>
      </c>
      <c r="M95" t="n">
        <v>0</v>
      </c>
      <c r="N95" t="n">
        <v>0</v>
      </c>
      <c r="O95" t="n">
        <v>0</v>
      </c>
      <c r="P95" t="n">
        <v>0</v>
      </c>
      <c r="Q95" t="n">
        <v>0</v>
      </c>
      <c r="R95" s="2" t="inlineStr"/>
    </row>
    <row r="96" ht="15" customHeight="1">
      <c r="A96" t="inlineStr">
        <is>
          <t>A 13005-2026</t>
        </is>
      </c>
      <c r="B96" s="1" t="n">
        <v>46092</v>
      </c>
      <c r="C96" s="1" t="n">
        <v>46201</v>
      </c>
      <c r="D96" t="inlineStr">
        <is>
          <t>UPPSALA LÄN</t>
        </is>
      </c>
      <c r="E96" t="inlineStr">
        <is>
          <t>KNIVSTA</t>
        </is>
      </c>
      <c r="F96" t="inlineStr">
        <is>
          <t>Holmen skog AB</t>
        </is>
      </c>
      <c r="G96" t="n">
        <v>3</v>
      </c>
      <c r="H96" t="n">
        <v>0</v>
      </c>
      <c r="I96" t="n">
        <v>0</v>
      </c>
      <c r="J96" t="n">
        <v>0</v>
      </c>
      <c r="K96" t="n">
        <v>0</v>
      </c>
      <c r="L96" t="n">
        <v>0</v>
      </c>
      <c r="M96" t="n">
        <v>0</v>
      </c>
      <c r="N96" t="n">
        <v>0</v>
      </c>
      <c r="O96" t="n">
        <v>0</v>
      </c>
      <c r="P96" t="n">
        <v>0</v>
      </c>
      <c r="Q96" t="n">
        <v>0</v>
      </c>
      <c r="R96" s="2" t="inlineStr"/>
    </row>
    <row r="97" ht="15" customHeight="1">
      <c r="A97" t="inlineStr">
        <is>
          <t>A 13016-2026</t>
        </is>
      </c>
      <c r="B97" s="1" t="n">
        <v>46092</v>
      </c>
      <c r="C97" s="1" t="n">
        <v>46201</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23969-2026</t>
        </is>
      </c>
      <c r="B98" s="1" t="n">
        <v>46167</v>
      </c>
      <c r="C98" s="1" t="n">
        <v>46201</v>
      </c>
      <c r="D98" t="inlineStr">
        <is>
          <t>UPPSALA LÄN</t>
        </is>
      </c>
      <c r="E98" t="inlineStr">
        <is>
          <t>KNIVSTA</t>
        </is>
      </c>
      <c r="G98" t="n">
        <v>2.1</v>
      </c>
      <c r="H98" t="n">
        <v>0</v>
      </c>
      <c r="I98" t="n">
        <v>0</v>
      </c>
      <c r="J98" t="n">
        <v>0</v>
      </c>
      <c r="K98" t="n">
        <v>0</v>
      </c>
      <c r="L98" t="n">
        <v>0</v>
      </c>
      <c r="M98" t="n">
        <v>0</v>
      </c>
      <c r="N98" t="n">
        <v>0</v>
      </c>
      <c r="O98" t="n">
        <v>0</v>
      </c>
      <c r="P98" t="n">
        <v>0</v>
      </c>
      <c r="Q98" t="n">
        <v>0</v>
      </c>
      <c r="R98" s="2" t="inlineStr"/>
    </row>
    <row r="99" ht="15" customHeight="1">
      <c r="A99" t="inlineStr">
        <is>
          <t>A 19774-2026</t>
        </is>
      </c>
      <c r="B99" s="1" t="n">
        <v>46135</v>
      </c>
      <c r="C99" s="1" t="n">
        <v>46201</v>
      </c>
      <c r="D99" t="inlineStr">
        <is>
          <t>UPPSALA LÄN</t>
        </is>
      </c>
      <c r="E99" t="inlineStr">
        <is>
          <t>KNIVSTA</t>
        </is>
      </c>
      <c r="G99" t="n">
        <v>4.2</v>
      </c>
      <c r="H99" t="n">
        <v>0</v>
      </c>
      <c r="I99" t="n">
        <v>0</v>
      </c>
      <c r="J99" t="n">
        <v>0</v>
      </c>
      <c r="K99" t="n">
        <v>0</v>
      </c>
      <c r="L99" t="n">
        <v>0</v>
      </c>
      <c r="M99" t="n">
        <v>0</v>
      </c>
      <c r="N99" t="n">
        <v>0</v>
      </c>
      <c r="O99" t="n">
        <v>0</v>
      </c>
      <c r="P99" t="n">
        <v>0</v>
      </c>
      <c r="Q99" t="n">
        <v>0</v>
      </c>
      <c r="R99" s="2" t="inlineStr"/>
    </row>
    <row r="100" ht="15" customHeight="1">
      <c r="A100" t="inlineStr">
        <is>
          <t>A 52666-2025</t>
        </is>
      </c>
      <c r="B100" s="1" t="n">
        <v>45955</v>
      </c>
      <c r="C100" s="1" t="n">
        <v>46201</v>
      </c>
      <c r="D100" t="inlineStr">
        <is>
          <t>UPPSALA LÄN</t>
        </is>
      </c>
      <c r="E100" t="inlineStr">
        <is>
          <t>KNIVSTA</t>
        </is>
      </c>
      <c r="G100" t="n">
        <v>2.1</v>
      </c>
      <c r="H100" t="n">
        <v>0</v>
      </c>
      <c r="I100" t="n">
        <v>0</v>
      </c>
      <c r="J100" t="n">
        <v>0</v>
      </c>
      <c r="K100" t="n">
        <v>0</v>
      </c>
      <c r="L100" t="n">
        <v>0</v>
      </c>
      <c r="M100" t="n">
        <v>0</v>
      </c>
      <c r="N100" t="n">
        <v>0</v>
      </c>
      <c r="O100" t="n">
        <v>0</v>
      </c>
      <c r="P100" t="n">
        <v>0</v>
      </c>
      <c r="Q100" t="n">
        <v>0</v>
      </c>
      <c r="R100" s="2" t="inlineStr"/>
    </row>
    <row r="101" ht="15" customHeight="1">
      <c r="A101" t="inlineStr">
        <is>
          <t>A 33974-2025</t>
        </is>
      </c>
      <c r="B101" s="1" t="n">
        <v>45843</v>
      </c>
      <c r="C101" s="1" t="n">
        <v>46201</v>
      </c>
      <c r="D101" t="inlineStr">
        <is>
          <t>UPPSALA LÄN</t>
        </is>
      </c>
      <c r="E101" t="inlineStr">
        <is>
          <t>KNIVSTA</t>
        </is>
      </c>
      <c r="G101" t="n">
        <v>2.6</v>
      </c>
      <c r="H101" t="n">
        <v>0</v>
      </c>
      <c r="I101" t="n">
        <v>0</v>
      </c>
      <c r="J101" t="n">
        <v>0</v>
      </c>
      <c r="K101" t="n">
        <v>0</v>
      </c>
      <c r="L101" t="n">
        <v>0</v>
      </c>
      <c r="M101" t="n">
        <v>0</v>
      </c>
      <c r="N101" t="n">
        <v>0</v>
      </c>
      <c r="O101" t="n">
        <v>0</v>
      </c>
      <c r="P101" t="n">
        <v>0</v>
      </c>
      <c r="Q101" t="n">
        <v>0</v>
      </c>
      <c r="R101" s="2" t="inlineStr"/>
    </row>
    <row r="102" ht="15" customHeight="1">
      <c r="A102" t="inlineStr">
        <is>
          <t>A 20528-2026</t>
        </is>
      </c>
      <c r="B102" s="1" t="n">
        <v>46140</v>
      </c>
      <c r="C102" s="1" t="n">
        <v>46201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19777-2026</t>
        </is>
      </c>
      <c r="B103" s="1" t="n">
        <v>46135</v>
      </c>
      <c r="C103" s="1" t="n">
        <v>46201</v>
      </c>
      <c r="D103" t="inlineStr">
        <is>
          <t>UPPSALA LÄN</t>
        </is>
      </c>
      <c r="E103" t="inlineStr">
        <is>
          <t>KNIVSTA</t>
        </is>
      </c>
      <c r="G103" t="n">
        <v>1.9</v>
      </c>
      <c r="H103" t="n">
        <v>0</v>
      </c>
      <c r="I103" t="n">
        <v>0</v>
      </c>
      <c r="J103" t="n">
        <v>0</v>
      </c>
      <c r="K103" t="n">
        <v>0</v>
      </c>
      <c r="L103" t="n">
        <v>0</v>
      </c>
      <c r="M103" t="n">
        <v>0</v>
      </c>
      <c r="N103" t="n">
        <v>0</v>
      </c>
      <c r="O103" t="n">
        <v>0</v>
      </c>
      <c r="P103" t="n">
        <v>0</v>
      </c>
      <c r="Q103" t="n">
        <v>0</v>
      </c>
      <c r="R103" s="2" t="inlineStr"/>
    </row>
    <row r="104">
      <c r="A104" t="inlineStr">
        <is>
          <t>A 28668-2026</t>
        </is>
      </c>
      <c r="B104" s="1" t="n">
        <v>46193</v>
      </c>
      <c r="C104" s="1" t="n">
        <v>46201</v>
      </c>
      <c r="D104" t="inlineStr">
        <is>
          <t>UPPSALA LÄN</t>
        </is>
      </c>
      <c r="E104" t="inlineStr">
        <is>
          <t>KNIVSTA</t>
        </is>
      </c>
      <c r="G104" t="n">
        <v>7.4</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2026-06-28T00:57:37Z</dcterms:created>
  <dcterms:modified xmlns:dcterms="http://purl.org/dc/terms/" xmlns:xsi="http://www.w3.org/2001/XMLSchema-instance" xsi:type="dcterms:W3CDTF">2026-06-28T00:57:37Z</dcterms:modified>
</cp:coreProperties>
</file>