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46076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46076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46076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46076</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46076</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46076</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46076</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53813-2025</t>
        </is>
      </c>
      <c r="B11" s="1" t="n">
        <v>45960</v>
      </c>
      <c r="C11" s="1" t="n">
        <v>46076</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61768-2025</t>
        </is>
      </c>
      <c r="B12" s="1" t="n">
        <v>46002.63940972222</v>
      </c>
      <c r="C12" s="1" t="n">
        <v>46076</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46076</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46076</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46076</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9561-2026</t>
        </is>
      </c>
      <c r="B16" s="1" t="n">
        <v>46071.64916666667</v>
      </c>
      <c r="C16" s="1" t="n">
        <v>46076</v>
      </c>
      <c r="D16" t="inlineStr">
        <is>
          <t>UPPSALA LÄN</t>
        </is>
      </c>
      <c r="E16" t="inlineStr">
        <is>
          <t>KNIVSTA</t>
        </is>
      </c>
      <c r="F16" t="inlineStr">
        <is>
          <t>Övriga statliga verk och myndigheter</t>
        </is>
      </c>
      <c r="G16" t="n">
        <v>2.6</v>
      </c>
      <c r="H16" t="n">
        <v>0</v>
      </c>
      <c r="I16" t="n">
        <v>0</v>
      </c>
      <c r="J16" t="n">
        <v>1</v>
      </c>
      <c r="K16" t="n">
        <v>0</v>
      </c>
      <c r="L16" t="n">
        <v>0</v>
      </c>
      <c r="M16" t="n">
        <v>0</v>
      </c>
      <c r="N16" t="n">
        <v>0</v>
      </c>
      <c r="O16" t="n">
        <v>1</v>
      </c>
      <c r="P16" t="n">
        <v>0</v>
      </c>
      <c r="Q16" t="n">
        <v>1</v>
      </c>
      <c r="R16" s="2" t="inlineStr">
        <is>
          <t>Svartöra</t>
        </is>
      </c>
      <c r="S16">
        <f>HYPERLINK("https://klasma.github.io/Logging_0330/artfynd/A 9561-2026 artfynd.xlsx", "A 9561-2026")</f>
        <v/>
      </c>
      <c r="T16">
        <f>HYPERLINK("https://klasma.github.io/Logging_0330/kartor/A 9561-2026 karta.png", "A 9561-2026")</f>
        <v/>
      </c>
      <c r="V16">
        <f>HYPERLINK("https://klasma.github.io/Logging_0330/klagomål/A 9561-2026 FSC-klagomål.docx", "A 9561-2026")</f>
        <v/>
      </c>
      <c r="W16">
        <f>HYPERLINK("https://klasma.github.io/Logging_0330/klagomålsmail/A 9561-2026 FSC-klagomål mail.docx", "A 9561-2026")</f>
        <v/>
      </c>
      <c r="X16">
        <f>HYPERLINK("https://klasma.github.io/Logging_0330/tillsyn/A 9561-2026 tillsynsbegäran.docx", "A 9561-2026")</f>
        <v/>
      </c>
      <c r="Y16">
        <f>HYPERLINK("https://klasma.github.io/Logging_0330/tillsynsmail/A 9561-2026 tillsynsbegäran mail.docx", "A 9561-2026")</f>
        <v/>
      </c>
    </row>
    <row r="17" ht="15" customHeight="1">
      <c r="A17" t="inlineStr">
        <is>
          <t>A 11405-2025</t>
        </is>
      </c>
      <c r="B17" s="1" t="n">
        <v>45726</v>
      </c>
      <c r="C17" s="1" t="n">
        <v>46076</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46076</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46076</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9725-2021</t>
        </is>
      </c>
      <c r="B20" s="1" t="n">
        <v>44252</v>
      </c>
      <c r="C20" s="1" t="n">
        <v>46076</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19796-2021</t>
        </is>
      </c>
      <c r="B21" s="1" t="n">
        <v>44313</v>
      </c>
      <c r="C21" s="1" t="n">
        <v>46076</v>
      </c>
      <c r="D21" t="inlineStr">
        <is>
          <t>UPPSALA LÄN</t>
        </is>
      </c>
      <c r="E21" t="inlineStr">
        <is>
          <t>KNIVSTA</t>
        </is>
      </c>
      <c r="G21" t="n">
        <v>14.6</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46076</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46076</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46076</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26239-2022</t>
        </is>
      </c>
      <c r="B25" s="1" t="n">
        <v>44735.46880787037</v>
      </c>
      <c r="C25" s="1" t="n">
        <v>46076</v>
      </c>
      <c r="D25" t="inlineStr">
        <is>
          <t>UPPSALA LÄN</t>
        </is>
      </c>
      <c r="E25" t="inlineStr">
        <is>
          <t>KNIVSTA</t>
        </is>
      </c>
      <c r="G25" t="n">
        <v>4.4</v>
      </c>
      <c r="H25" t="n">
        <v>0</v>
      </c>
      <c r="I25" t="n">
        <v>0</v>
      </c>
      <c r="J25" t="n">
        <v>0</v>
      </c>
      <c r="K25" t="n">
        <v>0</v>
      </c>
      <c r="L25" t="n">
        <v>0</v>
      </c>
      <c r="M25" t="n">
        <v>0</v>
      </c>
      <c r="N25" t="n">
        <v>0</v>
      </c>
      <c r="O25" t="n">
        <v>0</v>
      </c>
      <c r="P25" t="n">
        <v>0</v>
      </c>
      <c r="Q25" t="n">
        <v>0</v>
      </c>
      <c r="R25" s="2" t="inlineStr"/>
    </row>
    <row r="26" ht="15" customHeight="1">
      <c r="A26" t="inlineStr">
        <is>
          <t>A 31143-2021</t>
        </is>
      </c>
      <c r="B26" s="1" t="n">
        <v>44368</v>
      </c>
      <c r="C26" s="1" t="n">
        <v>46076</v>
      </c>
      <c r="D26" t="inlineStr">
        <is>
          <t>UPPSALA LÄN</t>
        </is>
      </c>
      <c r="E26" t="inlineStr">
        <is>
          <t>KNIVSTA</t>
        </is>
      </c>
      <c r="G26" t="n">
        <v>13.1</v>
      </c>
      <c r="H26" t="n">
        <v>0</v>
      </c>
      <c r="I26" t="n">
        <v>0</v>
      </c>
      <c r="J26" t="n">
        <v>0</v>
      </c>
      <c r="K26" t="n">
        <v>0</v>
      </c>
      <c r="L26" t="n">
        <v>0</v>
      </c>
      <c r="M26" t="n">
        <v>0</v>
      </c>
      <c r="N26" t="n">
        <v>0</v>
      </c>
      <c r="O26" t="n">
        <v>0</v>
      </c>
      <c r="P26" t="n">
        <v>0</v>
      </c>
      <c r="Q26" t="n">
        <v>0</v>
      </c>
      <c r="R26" s="2" t="inlineStr"/>
    </row>
    <row r="27" ht="15" customHeight="1">
      <c r="A27" t="inlineStr">
        <is>
          <t>A 25259-2021</t>
        </is>
      </c>
      <c r="B27" s="1" t="n">
        <v>44342.43712962963</v>
      </c>
      <c r="C27" s="1" t="n">
        <v>46076</v>
      </c>
      <c r="D27" t="inlineStr">
        <is>
          <t>UPPSALA LÄN</t>
        </is>
      </c>
      <c r="E27" t="inlineStr">
        <is>
          <t>KNIVSTA</t>
        </is>
      </c>
      <c r="F27" t="inlineStr">
        <is>
          <t>Holmen skog AB</t>
        </is>
      </c>
      <c r="G27" t="n">
        <v>1</v>
      </c>
      <c r="H27" t="n">
        <v>0</v>
      </c>
      <c r="I27" t="n">
        <v>0</v>
      </c>
      <c r="J27" t="n">
        <v>0</v>
      </c>
      <c r="K27" t="n">
        <v>0</v>
      </c>
      <c r="L27" t="n">
        <v>0</v>
      </c>
      <c r="M27" t="n">
        <v>0</v>
      </c>
      <c r="N27" t="n">
        <v>0</v>
      </c>
      <c r="O27" t="n">
        <v>0</v>
      </c>
      <c r="P27" t="n">
        <v>0</v>
      </c>
      <c r="Q27" t="n">
        <v>0</v>
      </c>
      <c r="R27" s="2" t="inlineStr"/>
    </row>
    <row r="28" ht="15" customHeight="1">
      <c r="A28" t="inlineStr">
        <is>
          <t>A 46149-2022</t>
        </is>
      </c>
      <c r="B28" s="1" t="n">
        <v>44847</v>
      </c>
      <c r="C28" s="1" t="n">
        <v>46076</v>
      </c>
      <c r="D28" t="inlineStr">
        <is>
          <t>UPPSALA LÄN</t>
        </is>
      </c>
      <c r="E28" t="inlineStr">
        <is>
          <t>KNIVSTA</t>
        </is>
      </c>
      <c r="G28" t="n">
        <v>0.7</v>
      </c>
      <c r="H28" t="n">
        <v>0</v>
      </c>
      <c r="I28" t="n">
        <v>0</v>
      </c>
      <c r="J28" t="n">
        <v>0</v>
      </c>
      <c r="K28" t="n">
        <v>0</v>
      </c>
      <c r="L28" t="n">
        <v>0</v>
      </c>
      <c r="M28" t="n">
        <v>0</v>
      </c>
      <c r="N28" t="n">
        <v>0</v>
      </c>
      <c r="O28" t="n">
        <v>0</v>
      </c>
      <c r="P28" t="n">
        <v>0</v>
      </c>
      <c r="Q28" t="n">
        <v>0</v>
      </c>
      <c r="R28" s="2" t="inlineStr"/>
    </row>
    <row r="29" ht="15" customHeight="1">
      <c r="A29" t="inlineStr">
        <is>
          <t>A 16775-2022</t>
        </is>
      </c>
      <c r="B29" s="1" t="n">
        <v>44673</v>
      </c>
      <c r="C29" s="1" t="n">
        <v>46076</v>
      </c>
      <c r="D29" t="inlineStr">
        <is>
          <t>UPPSALA LÄN</t>
        </is>
      </c>
      <c r="E29" t="inlineStr">
        <is>
          <t>KNIVSTA</t>
        </is>
      </c>
      <c r="G29" t="n">
        <v>0.8</v>
      </c>
      <c r="H29" t="n">
        <v>0</v>
      </c>
      <c r="I29" t="n">
        <v>0</v>
      </c>
      <c r="J29" t="n">
        <v>0</v>
      </c>
      <c r="K29" t="n">
        <v>0</v>
      </c>
      <c r="L29" t="n">
        <v>0</v>
      </c>
      <c r="M29" t="n">
        <v>0</v>
      </c>
      <c r="N29" t="n">
        <v>0</v>
      </c>
      <c r="O29" t="n">
        <v>0</v>
      </c>
      <c r="P29" t="n">
        <v>0</v>
      </c>
      <c r="Q29" t="n">
        <v>0</v>
      </c>
      <c r="R29" s="2" t="inlineStr"/>
    </row>
    <row r="30" ht="15" customHeight="1">
      <c r="A30" t="inlineStr">
        <is>
          <t>A 12864-2021</t>
        </is>
      </c>
      <c r="B30" s="1" t="n">
        <v>44271</v>
      </c>
      <c r="C30" s="1" t="n">
        <v>46076</v>
      </c>
      <c r="D30" t="inlineStr">
        <is>
          <t>UPPSALA LÄN</t>
        </is>
      </c>
      <c r="E30" t="inlineStr">
        <is>
          <t>KNIVSTA</t>
        </is>
      </c>
      <c r="F30" t="inlineStr">
        <is>
          <t>Kyrkan</t>
        </is>
      </c>
      <c r="G30" t="n">
        <v>4.7</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46076</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46076</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46076</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46076</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46076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46076</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46076</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46076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46076</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46076</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46076</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46076</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46076</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46076</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46076</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46076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46076</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46076</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46076</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16773-2022</t>
        </is>
      </c>
      <c r="B50" s="1" t="n">
        <v>44673</v>
      </c>
      <c r="C50" s="1" t="n">
        <v>46076</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46076</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46076</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46076</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16396-2025</t>
        </is>
      </c>
      <c r="B54" s="1" t="n">
        <v>45751.44219907407</v>
      </c>
      <c r="C54" s="1" t="n">
        <v>46076</v>
      </c>
      <c r="D54" t="inlineStr">
        <is>
          <t>UPPSALA LÄN</t>
        </is>
      </c>
      <c r="E54" t="inlineStr">
        <is>
          <t>KNIVSTA</t>
        </is>
      </c>
      <c r="G54" t="n">
        <v>5.1</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46076</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46076</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1791-2024</t>
        </is>
      </c>
      <c r="B57" s="1" t="n">
        <v>45307.574375</v>
      </c>
      <c r="C57" s="1" t="n">
        <v>46076</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33975-2025</t>
        </is>
      </c>
      <c r="B58" s="1" t="n">
        <v>45843.30805555556</v>
      </c>
      <c r="C58" s="1" t="n">
        <v>46076</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46076</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46076</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44869-2025</t>
        </is>
      </c>
      <c r="B61" s="1" t="n">
        <v>45918.46758101852</v>
      </c>
      <c r="C61" s="1" t="n">
        <v>46076</v>
      </c>
      <c r="D61" t="inlineStr">
        <is>
          <t>UPPSALA LÄN</t>
        </is>
      </c>
      <c r="E61" t="inlineStr">
        <is>
          <t>KNIVSTA</t>
        </is>
      </c>
      <c r="G61" t="n">
        <v>17.1</v>
      </c>
      <c r="H61" t="n">
        <v>0</v>
      </c>
      <c r="I61" t="n">
        <v>0</v>
      </c>
      <c r="J61" t="n">
        <v>0</v>
      </c>
      <c r="K61" t="n">
        <v>0</v>
      </c>
      <c r="L61" t="n">
        <v>0</v>
      </c>
      <c r="M61" t="n">
        <v>0</v>
      </c>
      <c r="N61" t="n">
        <v>0</v>
      </c>
      <c r="O61" t="n">
        <v>0</v>
      </c>
      <c r="P61" t="n">
        <v>0</v>
      </c>
      <c r="Q61" t="n">
        <v>0</v>
      </c>
      <c r="R61" s="2" t="inlineStr"/>
    </row>
    <row r="62" ht="15" customHeight="1">
      <c r="A62" t="inlineStr">
        <is>
          <t>A 35318-2025</t>
        </is>
      </c>
      <c r="B62" s="1" t="n">
        <v>45854.47917824074</v>
      </c>
      <c r="C62" s="1" t="n">
        <v>46076</v>
      </c>
      <c r="D62" t="inlineStr">
        <is>
          <t>UPPSALA LÄN</t>
        </is>
      </c>
      <c r="E62" t="inlineStr">
        <is>
          <t>KNIVSTA</t>
        </is>
      </c>
      <c r="F62" t="inlineStr">
        <is>
          <t>Holmen skog AB</t>
        </is>
      </c>
      <c r="G62" t="n">
        <v>2.2</v>
      </c>
      <c r="H62" t="n">
        <v>0</v>
      </c>
      <c r="I62" t="n">
        <v>0</v>
      </c>
      <c r="J62" t="n">
        <v>0</v>
      </c>
      <c r="K62" t="n">
        <v>0</v>
      </c>
      <c r="L62" t="n">
        <v>0</v>
      </c>
      <c r="M62" t="n">
        <v>0</v>
      </c>
      <c r="N62" t="n">
        <v>0</v>
      </c>
      <c r="O62" t="n">
        <v>0</v>
      </c>
      <c r="P62" t="n">
        <v>0</v>
      </c>
      <c r="Q62" t="n">
        <v>0</v>
      </c>
      <c r="R62" s="2" t="inlineStr"/>
    </row>
    <row r="63" ht="15" customHeight="1">
      <c r="A63" t="inlineStr">
        <is>
          <t>A 45453-2025</t>
        </is>
      </c>
      <c r="B63" s="1" t="n">
        <v>45922.48702546296</v>
      </c>
      <c r="C63" s="1" t="n">
        <v>46076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13040-2025</t>
        </is>
      </c>
      <c r="B64" s="1" t="n">
        <v>45734</v>
      </c>
      <c r="C64" s="1" t="n">
        <v>46076</v>
      </c>
      <c r="D64" t="inlineStr">
        <is>
          <t>UPPSALA LÄN</t>
        </is>
      </c>
      <c r="E64" t="inlineStr">
        <is>
          <t>KNIVSTA</t>
        </is>
      </c>
      <c r="F64" t="inlineStr">
        <is>
          <t>Allmännings- och besparingsskogar</t>
        </is>
      </c>
      <c r="G64" t="n">
        <v>1.6</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46076</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36473-2025</t>
        </is>
      </c>
      <c r="B66" s="1" t="n">
        <v>45869.48333333333</v>
      </c>
      <c r="C66" s="1" t="n">
        <v>46076</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36470-2025</t>
        </is>
      </c>
      <c r="B67" s="1" t="n">
        <v>45869.47915509259</v>
      </c>
      <c r="C67" s="1" t="n">
        <v>46076</v>
      </c>
      <c r="D67" t="inlineStr">
        <is>
          <t>UPPSALA LÄN</t>
        </is>
      </c>
      <c r="E67" t="inlineStr">
        <is>
          <t>KNIVSTA</t>
        </is>
      </c>
      <c r="G67" t="n">
        <v>3.6</v>
      </c>
      <c r="H67" t="n">
        <v>0</v>
      </c>
      <c r="I67" t="n">
        <v>0</v>
      </c>
      <c r="J67" t="n">
        <v>0</v>
      </c>
      <c r="K67" t="n">
        <v>0</v>
      </c>
      <c r="L67" t="n">
        <v>0</v>
      </c>
      <c r="M67" t="n">
        <v>0</v>
      </c>
      <c r="N67" t="n">
        <v>0</v>
      </c>
      <c r="O67" t="n">
        <v>0</v>
      </c>
      <c r="P67" t="n">
        <v>0</v>
      </c>
      <c r="Q67" t="n">
        <v>0</v>
      </c>
      <c r="R67" s="2" t="inlineStr"/>
    </row>
    <row r="68" ht="15" customHeight="1">
      <c r="A68" t="inlineStr">
        <is>
          <t>A 47803-2025</t>
        </is>
      </c>
      <c r="B68" s="1" t="n">
        <v>45931</v>
      </c>
      <c r="C68" s="1" t="n">
        <v>46076</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23239-2023</t>
        </is>
      </c>
      <c r="B69" s="1" t="n">
        <v>45075</v>
      </c>
      <c r="C69" s="1" t="n">
        <v>46076</v>
      </c>
      <c r="D69" t="inlineStr">
        <is>
          <t>UPPSALA LÄN</t>
        </is>
      </c>
      <c r="E69" t="inlineStr">
        <is>
          <t>KNIVSTA</t>
        </is>
      </c>
      <c r="G69" t="n">
        <v>1.8</v>
      </c>
      <c r="H69" t="n">
        <v>0</v>
      </c>
      <c r="I69" t="n">
        <v>0</v>
      </c>
      <c r="J69" t="n">
        <v>0</v>
      </c>
      <c r="K69" t="n">
        <v>0</v>
      </c>
      <c r="L69" t="n">
        <v>0</v>
      </c>
      <c r="M69" t="n">
        <v>0</v>
      </c>
      <c r="N69" t="n">
        <v>0</v>
      </c>
      <c r="O69" t="n">
        <v>0</v>
      </c>
      <c r="P69" t="n">
        <v>0</v>
      </c>
      <c r="Q69" t="n">
        <v>0</v>
      </c>
      <c r="R69" s="2" t="inlineStr"/>
    </row>
    <row r="70" ht="15" customHeight="1">
      <c r="A70" t="inlineStr">
        <is>
          <t>A 49090-2025</t>
        </is>
      </c>
      <c r="B70" s="1" t="n">
        <v>45937</v>
      </c>
      <c r="C70" s="1" t="n">
        <v>46076</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66284-2021</t>
        </is>
      </c>
      <c r="B71" s="1" t="n">
        <v>44518</v>
      </c>
      <c r="C71" s="1" t="n">
        <v>46076</v>
      </c>
      <c r="D71" t="inlineStr">
        <is>
          <t>UPPSALA LÄN</t>
        </is>
      </c>
      <c r="E71" t="inlineStr">
        <is>
          <t>KNIVSTA</t>
        </is>
      </c>
      <c r="G71" t="n">
        <v>6.9</v>
      </c>
      <c r="H71" t="n">
        <v>0</v>
      </c>
      <c r="I71" t="n">
        <v>0</v>
      </c>
      <c r="J71" t="n">
        <v>0</v>
      </c>
      <c r="K71" t="n">
        <v>0</v>
      </c>
      <c r="L71" t="n">
        <v>0</v>
      </c>
      <c r="M71" t="n">
        <v>0</v>
      </c>
      <c r="N71" t="n">
        <v>0</v>
      </c>
      <c r="O71" t="n">
        <v>0</v>
      </c>
      <c r="P71" t="n">
        <v>0</v>
      </c>
      <c r="Q71" t="n">
        <v>0</v>
      </c>
      <c r="R71" s="2" t="inlineStr"/>
    </row>
    <row r="72" ht="15" customHeight="1">
      <c r="A72" t="inlineStr">
        <is>
          <t>A 52666-2025</t>
        </is>
      </c>
      <c r="B72" s="1" t="n">
        <v>45955.74299768519</v>
      </c>
      <c r="C72" s="1" t="n">
        <v>46076</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52667-2025</t>
        </is>
      </c>
      <c r="B73" s="1" t="n">
        <v>45955.74666666667</v>
      </c>
      <c r="C73" s="1" t="n">
        <v>46076</v>
      </c>
      <c r="D73" t="inlineStr">
        <is>
          <t>UPPSALA LÄN</t>
        </is>
      </c>
      <c r="E73" t="inlineStr">
        <is>
          <t>KNIVSTA</t>
        </is>
      </c>
      <c r="G73" t="n">
        <v>1</v>
      </c>
      <c r="H73" t="n">
        <v>0</v>
      </c>
      <c r="I73" t="n">
        <v>0</v>
      </c>
      <c r="J73" t="n">
        <v>0</v>
      </c>
      <c r="K73" t="n">
        <v>0</v>
      </c>
      <c r="L73" t="n">
        <v>0</v>
      </c>
      <c r="M73" t="n">
        <v>0</v>
      </c>
      <c r="N73" t="n">
        <v>0</v>
      </c>
      <c r="O73" t="n">
        <v>0</v>
      </c>
      <c r="P73" t="n">
        <v>0</v>
      </c>
      <c r="Q73" t="n">
        <v>0</v>
      </c>
      <c r="R73" s="2" t="inlineStr"/>
    </row>
    <row r="74" ht="15" customHeight="1">
      <c r="A74" t="inlineStr">
        <is>
          <t>A 32975-2021</t>
        </is>
      </c>
      <c r="B74" s="1" t="n">
        <v>44376</v>
      </c>
      <c r="C74" s="1" t="n">
        <v>46076</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46076</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11847-2023</t>
        </is>
      </c>
      <c r="B76" s="1" t="n">
        <v>44995.33957175926</v>
      </c>
      <c r="C76" s="1" t="n">
        <v>46076</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46076</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53812-2025</t>
        </is>
      </c>
      <c r="B78" s="1" t="n">
        <v>45960</v>
      </c>
      <c r="C78" s="1" t="n">
        <v>46076</v>
      </c>
      <c r="D78" t="inlineStr">
        <is>
          <t>UPPSALA LÄN</t>
        </is>
      </c>
      <c r="E78" t="inlineStr">
        <is>
          <t>KNIVSTA</t>
        </is>
      </c>
      <c r="G78" t="n">
        <v>5.8</v>
      </c>
      <c r="H78" t="n">
        <v>0</v>
      </c>
      <c r="I78" t="n">
        <v>0</v>
      </c>
      <c r="J78" t="n">
        <v>0</v>
      </c>
      <c r="K78" t="n">
        <v>0</v>
      </c>
      <c r="L78" t="n">
        <v>0</v>
      </c>
      <c r="M78" t="n">
        <v>0</v>
      </c>
      <c r="N78" t="n">
        <v>0</v>
      </c>
      <c r="O78" t="n">
        <v>0</v>
      </c>
      <c r="P78" t="n">
        <v>0</v>
      </c>
      <c r="Q78" t="n">
        <v>0</v>
      </c>
      <c r="R78" s="2" t="inlineStr"/>
    </row>
    <row r="79" ht="15" customHeight="1">
      <c r="A79" t="inlineStr">
        <is>
          <t>A 60243-2025</t>
        </is>
      </c>
      <c r="B79" s="1" t="n">
        <v>45994.58650462963</v>
      </c>
      <c r="C79" s="1" t="n">
        <v>46076</v>
      </c>
      <c r="D79" t="inlineStr">
        <is>
          <t>UPPSALA LÄN</t>
        </is>
      </c>
      <c r="E79" t="inlineStr">
        <is>
          <t>KNIVSTA</t>
        </is>
      </c>
      <c r="F79" t="inlineStr">
        <is>
          <t>Holmen skog AB</t>
        </is>
      </c>
      <c r="G79" t="n">
        <v>2.4</v>
      </c>
      <c r="H79" t="n">
        <v>0</v>
      </c>
      <c r="I79" t="n">
        <v>0</v>
      </c>
      <c r="J79" t="n">
        <v>0</v>
      </c>
      <c r="K79" t="n">
        <v>0</v>
      </c>
      <c r="L79" t="n">
        <v>0</v>
      </c>
      <c r="M79" t="n">
        <v>0</v>
      </c>
      <c r="N79" t="n">
        <v>0</v>
      </c>
      <c r="O79" t="n">
        <v>0</v>
      </c>
      <c r="P79" t="n">
        <v>0</v>
      </c>
      <c r="Q79" t="n">
        <v>0</v>
      </c>
      <c r="R79" s="2" t="inlineStr"/>
    </row>
    <row r="80" ht="15" customHeight="1">
      <c r="A80" t="inlineStr">
        <is>
          <t>A 3015-2026</t>
        </is>
      </c>
      <c r="B80" s="1" t="n">
        <v>46038</v>
      </c>
      <c r="C80" s="1" t="n">
        <v>46076</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3016-2026</t>
        </is>
      </c>
      <c r="B81" s="1" t="n">
        <v>46038</v>
      </c>
      <c r="C81" s="1" t="n">
        <v>46076</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2952-2026</t>
        </is>
      </c>
      <c r="B82" s="1" t="n">
        <v>46037</v>
      </c>
      <c r="C82" s="1" t="n">
        <v>46076</v>
      </c>
      <c r="D82" t="inlineStr">
        <is>
          <t>UPPSALA LÄN</t>
        </is>
      </c>
      <c r="E82" t="inlineStr">
        <is>
          <t>KNIVSTA</t>
        </is>
      </c>
      <c r="G82" t="n">
        <v>2</v>
      </c>
      <c r="H82" t="n">
        <v>0</v>
      </c>
      <c r="I82" t="n">
        <v>0</v>
      </c>
      <c r="J82" t="n">
        <v>0</v>
      </c>
      <c r="K82" t="n">
        <v>0</v>
      </c>
      <c r="L82" t="n">
        <v>0</v>
      </c>
      <c r="M82" t="n">
        <v>0</v>
      </c>
      <c r="N82" t="n">
        <v>0</v>
      </c>
      <c r="O82" t="n">
        <v>0</v>
      </c>
      <c r="P82" t="n">
        <v>0</v>
      </c>
      <c r="Q82" t="n">
        <v>0</v>
      </c>
      <c r="R82" s="2" t="inlineStr"/>
    </row>
    <row r="83" ht="15" customHeight="1">
      <c r="A83" t="inlineStr">
        <is>
          <t>A 3375-2026</t>
        </is>
      </c>
      <c r="B83" s="1" t="n">
        <v>46042</v>
      </c>
      <c r="C83" s="1" t="n">
        <v>46076</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3836-2026</t>
        </is>
      </c>
      <c r="B84" s="1" t="n">
        <v>46043.5925</v>
      </c>
      <c r="C84" s="1" t="n">
        <v>46076</v>
      </c>
      <c r="D84" t="inlineStr">
        <is>
          <t>UPPSALA LÄN</t>
        </is>
      </c>
      <c r="E84" t="inlineStr">
        <is>
          <t>KNIVSTA</t>
        </is>
      </c>
      <c r="G84" t="n">
        <v>3.7</v>
      </c>
      <c r="H84" t="n">
        <v>0</v>
      </c>
      <c r="I84" t="n">
        <v>0</v>
      </c>
      <c r="J84" t="n">
        <v>0</v>
      </c>
      <c r="K84" t="n">
        <v>0</v>
      </c>
      <c r="L84" t="n">
        <v>0</v>
      </c>
      <c r="M84" t="n">
        <v>0</v>
      </c>
      <c r="N84" t="n">
        <v>0</v>
      </c>
      <c r="O84" t="n">
        <v>0</v>
      </c>
      <c r="P84" t="n">
        <v>0</v>
      </c>
      <c r="Q84" t="n">
        <v>0</v>
      </c>
      <c r="R84" s="2" t="inlineStr"/>
    </row>
    <row r="85" ht="15" customHeight="1">
      <c r="A85" t="inlineStr">
        <is>
          <t>A 3824-2026</t>
        </is>
      </c>
      <c r="B85" s="1" t="n">
        <v>46043.58570601852</v>
      </c>
      <c r="C85" s="1" t="n">
        <v>46076</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30351-2022</t>
        </is>
      </c>
      <c r="B86" s="1" t="n">
        <v>44757</v>
      </c>
      <c r="C86" s="1" t="n">
        <v>46076</v>
      </c>
      <c r="D86" t="inlineStr">
        <is>
          <t>UPPSALA LÄN</t>
        </is>
      </c>
      <c r="E86" t="inlineStr">
        <is>
          <t>KNIVSTA</t>
        </is>
      </c>
      <c r="G86" t="n">
        <v>5.7</v>
      </c>
      <c r="H86" t="n">
        <v>0</v>
      </c>
      <c r="I86" t="n">
        <v>0</v>
      </c>
      <c r="J86" t="n">
        <v>0</v>
      </c>
      <c r="K86" t="n">
        <v>0</v>
      </c>
      <c r="L86" t="n">
        <v>0</v>
      </c>
      <c r="M86" t="n">
        <v>0</v>
      </c>
      <c r="N86" t="n">
        <v>0</v>
      </c>
      <c r="O86" t="n">
        <v>0</v>
      </c>
      <c r="P86" t="n">
        <v>0</v>
      </c>
      <c r="Q86" t="n">
        <v>0</v>
      </c>
      <c r="R86" s="2" t="inlineStr"/>
    </row>
    <row r="87" ht="15" customHeight="1">
      <c r="A87" t="inlineStr">
        <is>
          <t>A 3191-2024</t>
        </is>
      </c>
      <c r="B87" s="1" t="n">
        <v>45316.67186342592</v>
      </c>
      <c r="C87" s="1" t="n">
        <v>46076</v>
      </c>
      <c r="D87" t="inlineStr">
        <is>
          <t>UPPSALA LÄN</t>
        </is>
      </c>
      <c r="E87" t="inlineStr">
        <is>
          <t>KNIVSTA</t>
        </is>
      </c>
      <c r="G87" t="n">
        <v>0.6</v>
      </c>
      <c r="H87" t="n">
        <v>0</v>
      </c>
      <c r="I87" t="n">
        <v>0</v>
      </c>
      <c r="J87" t="n">
        <v>0</v>
      </c>
      <c r="K87" t="n">
        <v>0</v>
      </c>
      <c r="L87" t="n">
        <v>0</v>
      </c>
      <c r="M87" t="n">
        <v>0</v>
      </c>
      <c r="N87" t="n">
        <v>0</v>
      </c>
      <c r="O87" t="n">
        <v>0</v>
      </c>
      <c r="P87" t="n">
        <v>0</v>
      </c>
      <c r="Q87" t="n">
        <v>0</v>
      </c>
      <c r="R87" s="2" t="inlineStr"/>
    </row>
    <row r="88" ht="15" customHeight="1">
      <c r="A88" t="inlineStr">
        <is>
          <t>A 31875-2022</t>
        </is>
      </c>
      <c r="B88" s="1" t="n">
        <v>44777</v>
      </c>
      <c r="C88" s="1" t="n">
        <v>46076</v>
      </c>
      <c r="D88" t="inlineStr">
        <is>
          <t>UPPSALA LÄN</t>
        </is>
      </c>
      <c r="E88" t="inlineStr">
        <is>
          <t>KNIVSTA</t>
        </is>
      </c>
      <c r="G88" t="n">
        <v>0.7</v>
      </c>
      <c r="H88" t="n">
        <v>0</v>
      </c>
      <c r="I88" t="n">
        <v>0</v>
      </c>
      <c r="J88" t="n">
        <v>0</v>
      </c>
      <c r="K88" t="n">
        <v>0</v>
      </c>
      <c r="L88" t="n">
        <v>0</v>
      </c>
      <c r="M88" t="n">
        <v>0</v>
      </c>
      <c r="N88" t="n">
        <v>0</v>
      </c>
      <c r="O88" t="n">
        <v>0</v>
      </c>
      <c r="P88" t="n">
        <v>0</v>
      </c>
      <c r="Q88" t="n">
        <v>0</v>
      </c>
      <c r="R88" s="2" t="inlineStr"/>
    </row>
    <row r="89" ht="15" customHeight="1">
      <c r="A89" t="inlineStr">
        <is>
          <t>A 5276-2026</t>
        </is>
      </c>
      <c r="B89" s="1" t="n">
        <v>46037</v>
      </c>
      <c r="C89" s="1" t="n">
        <v>46076</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2944-2026</t>
        </is>
      </c>
      <c r="B90" s="1" t="n">
        <v>46037</v>
      </c>
      <c r="C90" s="1" t="n">
        <v>46076</v>
      </c>
      <c r="D90" t="inlineStr">
        <is>
          <t>UPPSALA LÄN</t>
        </is>
      </c>
      <c r="E90" t="inlineStr">
        <is>
          <t>KNIVSTA</t>
        </is>
      </c>
      <c r="G90" t="n">
        <v>4.7</v>
      </c>
      <c r="H90" t="n">
        <v>0</v>
      </c>
      <c r="I90" t="n">
        <v>0</v>
      </c>
      <c r="J90" t="n">
        <v>0</v>
      </c>
      <c r="K90" t="n">
        <v>0</v>
      </c>
      <c r="L90" t="n">
        <v>0</v>
      </c>
      <c r="M90" t="n">
        <v>0</v>
      </c>
      <c r="N90" t="n">
        <v>0</v>
      </c>
      <c r="O90" t="n">
        <v>0</v>
      </c>
      <c r="P90" t="n">
        <v>0</v>
      </c>
      <c r="Q90" t="n">
        <v>0</v>
      </c>
      <c r="R90" s="2" t="inlineStr"/>
    </row>
    <row r="91" ht="15" customHeight="1">
      <c r="A91" t="inlineStr">
        <is>
          <t>A 51849-2023</t>
        </is>
      </c>
      <c r="B91" s="1" t="n">
        <v>45223.34391203704</v>
      </c>
      <c r="C91" s="1" t="n">
        <v>46076</v>
      </c>
      <c r="D91" t="inlineStr">
        <is>
          <t>UPPSALA LÄN</t>
        </is>
      </c>
      <c r="E91" t="inlineStr">
        <is>
          <t>KNIVSTA</t>
        </is>
      </c>
      <c r="G91" t="n">
        <v>16.3</v>
      </c>
      <c r="H91" t="n">
        <v>0</v>
      </c>
      <c r="I91" t="n">
        <v>0</v>
      </c>
      <c r="J91" t="n">
        <v>0</v>
      </c>
      <c r="K91" t="n">
        <v>0</v>
      </c>
      <c r="L91" t="n">
        <v>0</v>
      </c>
      <c r="M91" t="n">
        <v>0</v>
      </c>
      <c r="N91" t="n">
        <v>0</v>
      </c>
      <c r="O91" t="n">
        <v>0</v>
      </c>
      <c r="P91" t="n">
        <v>0</v>
      </c>
      <c r="Q91" t="n">
        <v>0</v>
      </c>
      <c r="R91" s="2" t="inlineStr"/>
    </row>
    <row r="92" ht="15" customHeight="1">
      <c r="A92" t="inlineStr">
        <is>
          <t>A 5908-2026</t>
        </is>
      </c>
      <c r="B92" s="1" t="n">
        <v>46052.44399305555</v>
      </c>
      <c r="C92" s="1" t="n">
        <v>46076</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5402-2023</t>
        </is>
      </c>
      <c r="B93" s="1" t="n">
        <v>44959</v>
      </c>
      <c r="C93" s="1" t="n">
        <v>46076</v>
      </c>
      <c r="D93" t="inlineStr">
        <is>
          <t>UPPSALA LÄN</t>
        </is>
      </c>
      <c r="E93" t="inlineStr">
        <is>
          <t>KNIVSTA</t>
        </is>
      </c>
      <c r="G93" t="n">
        <v>4.3</v>
      </c>
      <c r="H93" t="n">
        <v>0</v>
      </c>
      <c r="I93" t="n">
        <v>0</v>
      </c>
      <c r="J93" t="n">
        <v>0</v>
      </c>
      <c r="K93" t="n">
        <v>0</v>
      </c>
      <c r="L93" t="n">
        <v>0</v>
      </c>
      <c r="M93" t="n">
        <v>0</v>
      </c>
      <c r="N93" t="n">
        <v>0</v>
      </c>
      <c r="O93" t="n">
        <v>0</v>
      </c>
      <c r="P93" t="n">
        <v>0</v>
      </c>
      <c r="Q93" t="n">
        <v>0</v>
      </c>
      <c r="R93" s="2" t="inlineStr"/>
    </row>
    <row r="94" ht="15" customHeight="1">
      <c r="A94" t="inlineStr">
        <is>
          <t>A 5910-2026</t>
        </is>
      </c>
      <c r="B94" s="1" t="n">
        <v>46052.44677083333</v>
      </c>
      <c r="C94" s="1" t="n">
        <v>46076</v>
      </c>
      <c r="D94" t="inlineStr">
        <is>
          <t>UPPSALA LÄN</t>
        </is>
      </c>
      <c r="E94" t="inlineStr">
        <is>
          <t>KNIVSTA</t>
        </is>
      </c>
      <c r="G94" t="n">
        <v>0.6</v>
      </c>
      <c r="H94" t="n">
        <v>0</v>
      </c>
      <c r="I94" t="n">
        <v>0</v>
      </c>
      <c r="J94" t="n">
        <v>0</v>
      </c>
      <c r="K94" t="n">
        <v>0</v>
      </c>
      <c r="L94" t="n">
        <v>0</v>
      </c>
      <c r="M94" t="n">
        <v>0</v>
      </c>
      <c r="N94" t="n">
        <v>0</v>
      </c>
      <c r="O94" t="n">
        <v>0</v>
      </c>
      <c r="P94" t="n">
        <v>0</v>
      </c>
      <c r="Q94" t="n">
        <v>0</v>
      </c>
      <c r="R94" s="2" t="inlineStr"/>
    </row>
    <row r="95" ht="15" customHeight="1">
      <c r="A95" t="inlineStr">
        <is>
          <t>A 66293-2021</t>
        </is>
      </c>
      <c r="B95" s="1" t="n">
        <v>44518</v>
      </c>
      <c r="C95" s="1" t="n">
        <v>46076</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45916-2022</t>
        </is>
      </c>
      <c r="B96" s="1" t="n">
        <v>44846</v>
      </c>
      <c r="C96" s="1" t="n">
        <v>46076</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2629-2025</t>
        </is>
      </c>
      <c r="B97" s="1" t="n">
        <v>45675.6953587963</v>
      </c>
      <c r="C97" s="1" t="n">
        <v>46076</v>
      </c>
      <c r="D97" t="inlineStr">
        <is>
          <t>UPPSALA LÄN</t>
        </is>
      </c>
      <c r="E97" t="inlineStr">
        <is>
          <t>KNIVSTA</t>
        </is>
      </c>
      <c r="G97" t="n">
        <v>1.1</v>
      </c>
      <c r="H97" t="n">
        <v>0</v>
      </c>
      <c r="I97" t="n">
        <v>0</v>
      </c>
      <c r="J97" t="n">
        <v>0</v>
      </c>
      <c r="K97" t="n">
        <v>0</v>
      </c>
      <c r="L97" t="n">
        <v>0</v>
      </c>
      <c r="M97" t="n">
        <v>0</v>
      </c>
      <c r="N97" t="n">
        <v>0</v>
      </c>
      <c r="O97" t="n">
        <v>0</v>
      </c>
      <c r="P97" t="n">
        <v>0</v>
      </c>
      <c r="Q97" t="n">
        <v>0</v>
      </c>
      <c r="R97" s="2" t="inlineStr"/>
    </row>
    <row r="98" ht="15" customHeight="1">
      <c r="A98" t="inlineStr">
        <is>
          <t>A 5320-2023</t>
        </is>
      </c>
      <c r="B98" s="1" t="n">
        <v>44959</v>
      </c>
      <c r="C98" s="1" t="n">
        <v>46076</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666-2026</t>
        </is>
      </c>
      <c r="B99" s="1" t="n">
        <v>46029.58832175926</v>
      </c>
      <c r="C99" s="1" t="n">
        <v>46076</v>
      </c>
      <c r="D99" t="inlineStr">
        <is>
          <t>UPPSALA LÄN</t>
        </is>
      </c>
      <c r="E99" t="inlineStr">
        <is>
          <t>KNIVSTA</t>
        </is>
      </c>
      <c r="G99" t="n">
        <v>1.8</v>
      </c>
      <c r="H99" t="n">
        <v>0</v>
      </c>
      <c r="I99" t="n">
        <v>0</v>
      </c>
      <c r="J99" t="n">
        <v>0</v>
      </c>
      <c r="K99" t="n">
        <v>0</v>
      </c>
      <c r="L99" t="n">
        <v>0</v>
      </c>
      <c r="M99" t="n">
        <v>0</v>
      </c>
      <c r="N99" t="n">
        <v>0</v>
      </c>
      <c r="O99" t="n">
        <v>0</v>
      </c>
      <c r="P99" t="n">
        <v>0</v>
      </c>
      <c r="Q99" t="n">
        <v>0</v>
      </c>
      <c r="R99" s="2" t="inlineStr"/>
    </row>
    <row r="100" ht="15" customHeight="1">
      <c r="A100" t="inlineStr">
        <is>
          <t>A 662-2026</t>
        </is>
      </c>
      <c r="B100" s="1" t="n">
        <v>46029.58549768518</v>
      </c>
      <c r="C100" s="1" t="n">
        <v>46076</v>
      </c>
      <c r="D100" t="inlineStr">
        <is>
          <t>UPPSALA LÄN</t>
        </is>
      </c>
      <c r="E100" t="inlineStr">
        <is>
          <t>KNIVSTA</t>
        </is>
      </c>
      <c r="G100" t="n">
        <v>1.4</v>
      </c>
      <c r="H100" t="n">
        <v>0</v>
      </c>
      <c r="I100" t="n">
        <v>0</v>
      </c>
      <c r="J100" t="n">
        <v>0</v>
      </c>
      <c r="K100" t="n">
        <v>0</v>
      </c>
      <c r="L100" t="n">
        <v>0</v>
      </c>
      <c r="M100" t="n">
        <v>0</v>
      </c>
      <c r="N100" t="n">
        <v>0</v>
      </c>
      <c r="O100" t="n">
        <v>0</v>
      </c>
      <c r="P100" t="n">
        <v>0</v>
      </c>
      <c r="Q100" t="n">
        <v>0</v>
      </c>
      <c r="R100" s="2" t="inlineStr"/>
    </row>
    <row r="101" ht="15" customHeight="1">
      <c r="A101" t="inlineStr">
        <is>
          <t>A 11452-2023</t>
        </is>
      </c>
      <c r="B101" s="1" t="n">
        <v>44993</v>
      </c>
      <c r="C101" s="1" t="n">
        <v>46076</v>
      </c>
      <c r="D101" t="inlineStr">
        <is>
          <t>UPPSALA LÄN</t>
        </is>
      </c>
      <c r="E101" t="inlineStr">
        <is>
          <t>KNIVSTA</t>
        </is>
      </c>
      <c r="G101" t="n">
        <v>2.5</v>
      </c>
      <c r="H101" t="n">
        <v>0</v>
      </c>
      <c r="I101" t="n">
        <v>0</v>
      </c>
      <c r="J101" t="n">
        <v>0</v>
      </c>
      <c r="K101" t="n">
        <v>0</v>
      </c>
      <c r="L101" t="n">
        <v>0</v>
      </c>
      <c r="M101" t="n">
        <v>0</v>
      </c>
      <c r="N101" t="n">
        <v>0</v>
      </c>
      <c r="O101" t="n">
        <v>0</v>
      </c>
      <c r="P101" t="n">
        <v>0</v>
      </c>
      <c r="Q101" t="n">
        <v>0</v>
      </c>
      <c r="R101" s="2" t="inlineStr"/>
    </row>
    <row r="102" ht="15" customHeight="1">
      <c r="A102" t="inlineStr">
        <is>
          <t>A 30627-2023</t>
        </is>
      </c>
      <c r="B102" s="1" t="n">
        <v>45112</v>
      </c>
      <c r="C102" s="1" t="n">
        <v>46076</v>
      </c>
      <c r="D102" t="inlineStr">
        <is>
          <t>UPPSALA LÄN</t>
        </is>
      </c>
      <c r="E102" t="inlineStr">
        <is>
          <t>KNIVSTA</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9744-2026</t>
        </is>
      </c>
      <c r="B103" s="1" t="n">
        <v>46072.51857638889</v>
      </c>
      <c r="C103" s="1" t="n">
        <v>46076</v>
      </c>
      <c r="D103" t="inlineStr">
        <is>
          <t>UPPSALA LÄN</t>
        </is>
      </c>
      <c r="E103" t="inlineStr">
        <is>
          <t>KNIVSTA</t>
        </is>
      </c>
      <c r="G103" t="n">
        <v>2.4</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46076</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46076</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46076</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46076</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46076</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46076</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46076</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46076</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46076</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46076</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46076</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ht="15" customHeight="1">
      <c r="A115" t="inlineStr">
        <is>
          <t>A 794-2024</t>
        </is>
      </c>
      <c r="B115" s="1" t="n">
        <v>45300.58149305556</v>
      </c>
      <c r="C115" s="1" t="n">
        <v>46076</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row r="116" ht="15" customHeight="1">
      <c r="A116" t="inlineStr">
        <is>
          <t>A 20902-2024</t>
        </is>
      </c>
      <c r="B116" s="1" t="n">
        <v>45439.48104166667</v>
      </c>
      <c r="C116" s="1" t="n">
        <v>46076</v>
      </c>
      <c r="D116" t="inlineStr">
        <is>
          <t>UPPSALA LÄN</t>
        </is>
      </c>
      <c r="E116" t="inlineStr">
        <is>
          <t>KNIVSTA</t>
        </is>
      </c>
      <c r="G116" t="n">
        <v>1</v>
      </c>
      <c r="H116" t="n">
        <v>0</v>
      </c>
      <c r="I116" t="n">
        <v>0</v>
      </c>
      <c r="J116" t="n">
        <v>0</v>
      </c>
      <c r="K116" t="n">
        <v>0</v>
      </c>
      <c r="L116" t="n">
        <v>0</v>
      </c>
      <c r="M116" t="n">
        <v>0</v>
      </c>
      <c r="N116" t="n">
        <v>0</v>
      </c>
      <c r="O116" t="n">
        <v>0</v>
      </c>
      <c r="P116" t="n">
        <v>0</v>
      </c>
      <c r="Q116" t="n">
        <v>0</v>
      </c>
      <c r="R116" s="2" t="inlineStr"/>
    </row>
    <row r="117">
      <c r="A117" t="inlineStr">
        <is>
          <t>A 26226-2025</t>
        </is>
      </c>
      <c r="B117" s="1" t="n">
        <v>45805.55829861111</v>
      </c>
      <c r="C117" s="1" t="n">
        <v>46076</v>
      </c>
      <c r="D117" t="inlineStr">
        <is>
          <t>UPPSALA LÄN</t>
        </is>
      </c>
      <c r="E117" t="inlineStr">
        <is>
          <t>KNIVSTA</t>
        </is>
      </c>
      <c r="G117" t="n">
        <v>9.1</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2026-02-23T11:05:31Z</dcterms:created>
  <dcterms:modified xmlns:dcterms="http://purl.org/dc/terms/" xmlns:xsi="http://www.w3.org/2001/XMLSchema-instance" xsi:type="dcterms:W3CDTF">2026-02-23T11:05:31Z</dcterms:modified>
</cp:coreProperties>
</file>