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46049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46049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46049</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46049</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46049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46049</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46049</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11405-2025</t>
        </is>
      </c>
      <c r="B9" s="1" t="n">
        <v>45726</v>
      </c>
      <c r="C9" s="1" t="n">
        <v>46049</v>
      </c>
      <c r="D9" t="inlineStr">
        <is>
          <t>UPPSALA LÄN</t>
        </is>
      </c>
      <c r="E9" t="inlineStr">
        <is>
          <t>KNIVSTA</t>
        </is>
      </c>
      <c r="G9" t="n">
        <v>1.6</v>
      </c>
      <c r="H9" t="n">
        <v>0</v>
      </c>
      <c r="I9" t="n">
        <v>0</v>
      </c>
      <c r="J9" t="n">
        <v>0</v>
      </c>
      <c r="K9" t="n">
        <v>0</v>
      </c>
      <c r="L9" t="n">
        <v>1</v>
      </c>
      <c r="M9" t="n">
        <v>0</v>
      </c>
      <c r="N9" t="n">
        <v>0</v>
      </c>
      <c r="O9" t="n">
        <v>1</v>
      </c>
      <c r="P9" t="n">
        <v>1</v>
      </c>
      <c r="Q9" t="n">
        <v>1</v>
      </c>
      <c r="R9" s="2" t="inlineStr">
        <is>
          <t>Fältgentiana</t>
        </is>
      </c>
      <c r="S9">
        <f>HYPERLINK("https://klasma.github.io/Logging_0330/artfynd/A 11405-2025 artfynd.xlsx", "A 11405-2025")</f>
        <v/>
      </c>
      <c r="T9">
        <f>HYPERLINK("https://klasma.github.io/Logging_0330/kartor/A 11405-2025 karta.png", "A 11405-2025")</f>
        <v/>
      </c>
      <c r="V9">
        <f>HYPERLINK("https://klasma.github.io/Logging_0330/klagomål/A 11405-2025 FSC-klagomål.docx", "A 11405-2025")</f>
        <v/>
      </c>
      <c r="W9">
        <f>HYPERLINK("https://klasma.github.io/Logging_0330/klagomålsmail/A 11405-2025 FSC-klagomål mail.docx", "A 11405-2025")</f>
        <v/>
      </c>
      <c r="X9">
        <f>HYPERLINK("https://klasma.github.io/Logging_0330/tillsyn/A 11405-2025 tillsynsbegäran.docx", "A 11405-2025")</f>
        <v/>
      </c>
      <c r="Y9">
        <f>HYPERLINK("https://klasma.github.io/Logging_0330/tillsynsmail/A 11405-2025 tillsynsbegäran mail.docx", "A 11405-2025")</f>
        <v/>
      </c>
    </row>
    <row r="10" ht="15" customHeight="1">
      <c r="A10" t="inlineStr">
        <is>
          <t>A 33770-2023</t>
        </is>
      </c>
      <c r="B10" s="1" t="n">
        <v>45133</v>
      </c>
      <c r="C10" s="1" t="n">
        <v>46049</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53813-2025</t>
        </is>
      </c>
      <c r="B11" s="1" t="n">
        <v>45960</v>
      </c>
      <c r="C11" s="1" t="n">
        <v>46049</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21831-2024</t>
        </is>
      </c>
      <c r="B12" s="1" t="n">
        <v>45442</v>
      </c>
      <c r="C12" s="1" t="n">
        <v>46049</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61768-2025</t>
        </is>
      </c>
      <c r="B13" s="1" t="n">
        <v>46002.63940972222</v>
      </c>
      <c r="C13" s="1" t="n">
        <v>46049</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9553-2025</t>
        </is>
      </c>
      <c r="B14" s="1" t="n">
        <v>45715</v>
      </c>
      <c r="C14" s="1" t="n">
        <v>46049</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46049</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46049</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5455-2025</t>
        </is>
      </c>
      <c r="B17" s="1" t="n">
        <v>45693</v>
      </c>
      <c r="C17" s="1" t="n">
        <v>46049</v>
      </c>
      <c r="D17" t="inlineStr">
        <is>
          <t>UPPSALA LÄN</t>
        </is>
      </c>
      <c r="E17" t="inlineStr">
        <is>
          <t>KNIVSTA</t>
        </is>
      </c>
      <c r="G17" t="n">
        <v>17.1</v>
      </c>
      <c r="H17" t="n">
        <v>0</v>
      </c>
      <c r="I17" t="n">
        <v>1</v>
      </c>
      <c r="J17" t="n">
        <v>0</v>
      </c>
      <c r="K17" t="n">
        <v>0</v>
      </c>
      <c r="L17" t="n">
        <v>0</v>
      </c>
      <c r="M17" t="n">
        <v>0</v>
      </c>
      <c r="N17" t="n">
        <v>0</v>
      </c>
      <c r="O17" t="n">
        <v>0</v>
      </c>
      <c r="P17" t="n">
        <v>0</v>
      </c>
      <c r="Q17" t="n">
        <v>1</v>
      </c>
      <c r="R17" s="2" t="inlineStr">
        <is>
          <t>Vedticka</t>
        </is>
      </c>
      <c r="S17">
        <f>HYPERLINK("https://klasma.github.io/Logging_0330/artfynd/A 5455-2025 artfynd.xlsx", "A 5455-2025")</f>
        <v/>
      </c>
      <c r="T17">
        <f>HYPERLINK("https://klasma.github.io/Logging_0330/kartor/A 5455-2025 karta.png", "A 5455-2025")</f>
        <v/>
      </c>
      <c r="V17">
        <f>HYPERLINK("https://klasma.github.io/Logging_0330/klagomål/A 5455-2025 FSC-klagomål.docx", "A 5455-2025")</f>
        <v/>
      </c>
      <c r="W17">
        <f>HYPERLINK("https://klasma.github.io/Logging_0330/klagomålsmail/A 5455-2025 FSC-klagomål mail.docx", "A 5455-2025")</f>
        <v/>
      </c>
      <c r="X17">
        <f>HYPERLINK("https://klasma.github.io/Logging_0330/tillsyn/A 5455-2025 tillsynsbegäran.docx", "A 5455-2025")</f>
        <v/>
      </c>
      <c r="Y17">
        <f>HYPERLINK("https://klasma.github.io/Logging_0330/tillsynsmail/A 5455-2025 tillsynsbegäran mail.docx", "A 5455-2025")</f>
        <v/>
      </c>
    </row>
    <row r="18" ht="15" customHeight="1">
      <c r="A18" t="inlineStr">
        <is>
          <t>A 9725-2021</t>
        </is>
      </c>
      <c r="B18" s="1" t="n">
        <v>44252</v>
      </c>
      <c r="C18" s="1" t="n">
        <v>46049</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46049</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46049</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46049</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46049</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46049</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46049</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46049</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46049</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46049</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46049</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46049</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46049</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46049</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46049</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46049</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46049</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46049</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46049</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46049</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46049</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46049</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46049</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46049</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26226-2025</t>
        </is>
      </c>
      <c r="B42" s="1" t="n">
        <v>45805.55829861111</v>
      </c>
      <c r="C42" s="1" t="n">
        <v>46049</v>
      </c>
      <c r="D42" t="inlineStr">
        <is>
          <t>UPPSALA LÄN</t>
        </is>
      </c>
      <c r="E42" t="inlineStr">
        <is>
          <t>KNIVSTA</t>
        </is>
      </c>
      <c r="G42" t="n">
        <v>9.1</v>
      </c>
      <c r="H42" t="n">
        <v>0</v>
      </c>
      <c r="I42" t="n">
        <v>0</v>
      </c>
      <c r="J42" t="n">
        <v>0</v>
      </c>
      <c r="K42" t="n">
        <v>0</v>
      </c>
      <c r="L42" t="n">
        <v>0</v>
      </c>
      <c r="M42" t="n">
        <v>0</v>
      </c>
      <c r="N42" t="n">
        <v>0</v>
      </c>
      <c r="O42" t="n">
        <v>0</v>
      </c>
      <c r="P42" t="n">
        <v>0</v>
      </c>
      <c r="Q42" t="n">
        <v>0</v>
      </c>
      <c r="R42" s="2" t="inlineStr"/>
    </row>
    <row r="43" ht="15" customHeight="1">
      <c r="A43" t="inlineStr">
        <is>
          <t>A 28189-2025</t>
        </is>
      </c>
      <c r="B43" s="1" t="n">
        <v>45818.41357638889</v>
      </c>
      <c r="C43" s="1" t="n">
        <v>46049</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14267-2025</t>
        </is>
      </c>
      <c r="B44" s="1" t="n">
        <v>45740.63686342593</v>
      </c>
      <c r="C44" s="1" t="n">
        <v>46049</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46049</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30351-2022</t>
        </is>
      </c>
      <c r="B46" s="1" t="n">
        <v>44757</v>
      </c>
      <c r="C46" s="1" t="n">
        <v>46049</v>
      </c>
      <c r="D46" t="inlineStr">
        <is>
          <t>UPPSALA LÄN</t>
        </is>
      </c>
      <c r="E46" t="inlineStr">
        <is>
          <t>KNIVSTA</t>
        </is>
      </c>
      <c r="G46" t="n">
        <v>5.7</v>
      </c>
      <c r="H46" t="n">
        <v>0</v>
      </c>
      <c r="I46" t="n">
        <v>0</v>
      </c>
      <c r="J46" t="n">
        <v>0</v>
      </c>
      <c r="K46" t="n">
        <v>0</v>
      </c>
      <c r="L46" t="n">
        <v>0</v>
      </c>
      <c r="M46" t="n">
        <v>0</v>
      </c>
      <c r="N46" t="n">
        <v>0</v>
      </c>
      <c r="O46" t="n">
        <v>0</v>
      </c>
      <c r="P46" t="n">
        <v>0</v>
      </c>
      <c r="Q46" t="n">
        <v>0</v>
      </c>
      <c r="R46" s="2" t="inlineStr"/>
    </row>
    <row r="47" ht="15" customHeight="1">
      <c r="A47" t="inlineStr">
        <is>
          <t>A 11847-2023</t>
        </is>
      </c>
      <c r="B47" s="1" t="n">
        <v>44995.33957175926</v>
      </c>
      <c r="C47" s="1" t="n">
        <v>46049</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46049</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31875-2022</t>
        </is>
      </c>
      <c r="B49" s="1" t="n">
        <v>44777</v>
      </c>
      <c r="C49" s="1" t="n">
        <v>46049</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33975-2025</t>
        </is>
      </c>
      <c r="B50" s="1" t="n">
        <v>45843.30805555556</v>
      </c>
      <c r="C50" s="1" t="n">
        <v>46049</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33974-2025</t>
        </is>
      </c>
      <c r="B51" s="1" t="n">
        <v>45843.305625</v>
      </c>
      <c r="C51" s="1" t="n">
        <v>46049</v>
      </c>
      <c r="D51" t="inlineStr">
        <is>
          <t>UPPSALA LÄN</t>
        </is>
      </c>
      <c r="E51" t="inlineStr">
        <is>
          <t>KNIVSTA</t>
        </is>
      </c>
      <c r="G51" t="n">
        <v>2.6</v>
      </c>
      <c r="H51" t="n">
        <v>0</v>
      </c>
      <c r="I51" t="n">
        <v>0</v>
      </c>
      <c r="J51" t="n">
        <v>0</v>
      </c>
      <c r="K51" t="n">
        <v>0</v>
      </c>
      <c r="L51" t="n">
        <v>0</v>
      </c>
      <c r="M51" t="n">
        <v>0</v>
      </c>
      <c r="N51" t="n">
        <v>0</v>
      </c>
      <c r="O51" t="n">
        <v>0</v>
      </c>
      <c r="P51" t="n">
        <v>0</v>
      </c>
      <c r="Q51" t="n">
        <v>0</v>
      </c>
      <c r="R51" s="2" t="inlineStr"/>
    </row>
    <row r="52" ht="15" customHeight="1">
      <c r="A52" t="inlineStr">
        <is>
          <t>A 33976-2025</t>
        </is>
      </c>
      <c r="B52" s="1" t="n">
        <v>45843</v>
      </c>
      <c r="C52" s="1" t="n">
        <v>46049</v>
      </c>
      <c r="D52" t="inlineStr">
        <is>
          <t>UPPSALA LÄN</t>
        </is>
      </c>
      <c r="E52" t="inlineStr">
        <is>
          <t>KNIVSTA</t>
        </is>
      </c>
      <c r="G52" t="n">
        <v>6.1</v>
      </c>
      <c r="H52" t="n">
        <v>0</v>
      </c>
      <c r="I52" t="n">
        <v>0</v>
      </c>
      <c r="J52" t="n">
        <v>0</v>
      </c>
      <c r="K52" t="n">
        <v>0</v>
      </c>
      <c r="L52" t="n">
        <v>0</v>
      </c>
      <c r="M52" t="n">
        <v>0</v>
      </c>
      <c r="N52" t="n">
        <v>0</v>
      </c>
      <c r="O52" t="n">
        <v>0</v>
      </c>
      <c r="P52" t="n">
        <v>0</v>
      </c>
      <c r="Q52" t="n">
        <v>0</v>
      </c>
      <c r="R52" s="2" t="inlineStr"/>
    </row>
    <row r="53" ht="15" customHeight="1">
      <c r="A53" t="inlineStr">
        <is>
          <t>A 44869-2025</t>
        </is>
      </c>
      <c r="B53" s="1" t="n">
        <v>45918.46758101852</v>
      </c>
      <c r="C53" s="1" t="n">
        <v>46049</v>
      </c>
      <c r="D53" t="inlineStr">
        <is>
          <t>UPPSALA LÄN</t>
        </is>
      </c>
      <c r="E53" t="inlineStr">
        <is>
          <t>KNIVSTA</t>
        </is>
      </c>
      <c r="G53" t="n">
        <v>17.1</v>
      </c>
      <c r="H53" t="n">
        <v>0</v>
      </c>
      <c r="I53" t="n">
        <v>0</v>
      </c>
      <c r="J53" t="n">
        <v>0</v>
      </c>
      <c r="K53" t="n">
        <v>0</v>
      </c>
      <c r="L53" t="n">
        <v>0</v>
      </c>
      <c r="M53" t="n">
        <v>0</v>
      </c>
      <c r="N53" t="n">
        <v>0</v>
      </c>
      <c r="O53" t="n">
        <v>0</v>
      </c>
      <c r="P53" t="n">
        <v>0</v>
      </c>
      <c r="Q53" t="n">
        <v>0</v>
      </c>
      <c r="R53" s="2" t="inlineStr"/>
    </row>
    <row r="54" ht="15" customHeight="1">
      <c r="A54" t="inlineStr">
        <is>
          <t>A 45453-2025</t>
        </is>
      </c>
      <c r="B54" s="1" t="n">
        <v>45922.48702546296</v>
      </c>
      <c r="C54" s="1" t="n">
        <v>46049</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34859-2025</t>
        </is>
      </c>
      <c r="B55" s="1" t="n">
        <v>45849.43511574074</v>
      </c>
      <c r="C55" s="1" t="n">
        <v>46049</v>
      </c>
      <c r="D55" t="inlineStr">
        <is>
          <t>UPPSALA LÄN</t>
        </is>
      </c>
      <c r="E55" t="inlineStr">
        <is>
          <t>KNIVSTA</t>
        </is>
      </c>
      <c r="F55" t="inlineStr">
        <is>
          <t>Holmen skog AB</t>
        </is>
      </c>
      <c r="G55" t="n">
        <v>6.1</v>
      </c>
      <c r="H55" t="n">
        <v>0</v>
      </c>
      <c r="I55" t="n">
        <v>0</v>
      </c>
      <c r="J55" t="n">
        <v>0</v>
      </c>
      <c r="K55" t="n">
        <v>0</v>
      </c>
      <c r="L55" t="n">
        <v>0</v>
      </c>
      <c r="M55" t="n">
        <v>0</v>
      </c>
      <c r="N55" t="n">
        <v>0</v>
      </c>
      <c r="O55" t="n">
        <v>0</v>
      </c>
      <c r="P55" t="n">
        <v>0</v>
      </c>
      <c r="Q55" t="n">
        <v>0</v>
      </c>
      <c r="R55" s="2" t="inlineStr"/>
    </row>
    <row r="56" ht="15" customHeight="1">
      <c r="A56" t="inlineStr">
        <is>
          <t>A 34864-2025</t>
        </is>
      </c>
      <c r="B56" s="1" t="n">
        <v>45849.44028935185</v>
      </c>
      <c r="C56" s="1" t="n">
        <v>46049</v>
      </c>
      <c r="D56" t="inlineStr">
        <is>
          <t>UPPSALA LÄN</t>
        </is>
      </c>
      <c r="E56" t="inlineStr">
        <is>
          <t>KNIVSTA</t>
        </is>
      </c>
      <c r="F56" t="inlineStr">
        <is>
          <t>Holmen skog AB</t>
        </is>
      </c>
      <c r="G56" t="n">
        <v>1.3</v>
      </c>
      <c r="H56" t="n">
        <v>0</v>
      </c>
      <c r="I56" t="n">
        <v>0</v>
      </c>
      <c r="J56" t="n">
        <v>0</v>
      </c>
      <c r="K56" t="n">
        <v>0</v>
      </c>
      <c r="L56" t="n">
        <v>0</v>
      </c>
      <c r="M56" t="n">
        <v>0</v>
      </c>
      <c r="N56" t="n">
        <v>0</v>
      </c>
      <c r="O56" t="n">
        <v>0</v>
      </c>
      <c r="P56" t="n">
        <v>0</v>
      </c>
      <c r="Q56" t="n">
        <v>0</v>
      </c>
      <c r="R56" s="2" t="inlineStr"/>
    </row>
    <row r="57" ht="15" customHeight="1">
      <c r="A57" t="inlineStr">
        <is>
          <t>A 35318-2025</t>
        </is>
      </c>
      <c r="B57" s="1" t="n">
        <v>45854.47917824074</v>
      </c>
      <c r="C57" s="1" t="n">
        <v>46049</v>
      </c>
      <c r="D57" t="inlineStr">
        <is>
          <t>UPPSALA LÄN</t>
        </is>
      </c>
      <c r="E57" t="inlineStr">
        <is>
          <t>KNIVSTA</t>
        </is>
      </c>
      <c r="F57" t="inlineStr">
        <is>
          <t>Holmen skog AB</t>
        </is>
      </c>
      <c r="G57" t="n">
        <v>2.2</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46049</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23239-2023</t>
        </is>
      </c>
      <c r="B59" s="1" t="n">
        <v>45075</v>
      </c>
      <c r="C59" s="1" t="n">
        <v>46049</v>
      </c>
      <c r="D59" t="inlineStr">
        <is>
          <t>UPPSALA LÄN</t>
        </is>
      </c>
      <c r="E59" t="inlineStr">
        <is>
          <t>KNIVSTA</t>
        </is>
      </c>
      <c r="G59" t="n">
        <v>1.8</v>
      </c>
      <c r="H59" t="n">
        <v>0</v>
      </c>
      <c r="I59" t="n">
        <v>0</v>
      </c>
      <c r="J59" t="n">
        <v>0</v>
      </c>
      <c r="K59" t="n">
        <v>0</v>
      </c>
      <c r="L59" t="n">
        <v>0</v>
      </c>
      <c r="M59" t="n">
        <v>0</v>
      </c>
      <c r="N59" t="n">
        <v>0</v>
      </c>
      <c r="O59" t="n">
        <v>0</v>
      </c>
      <c r="P59" t="n">
        <v>0</v>
      </c>
      <c r="Q59" t="n">
        <v>0</v>
      </c>
      <c r="R59" s="2" t="inlineStr"/>
    </row>
    <row r="60" ht="15" customHeight="1">
      <c r="A60" t="inlineStr">
        <is>
          <t>A 36470-2025</t>
        </is>
      </c>
      <c r="B60" s="1" t="n">
        <v>45869.47915509259</v>
      </c>
      <c r="C60" s="1" t="n">
        <v>46049</v>
      </c>
      <c r="D60" t="inlineStr">
        <is>
          <t>UPPSALA LÄN</t>
        </is>
      </c>
      <c r="E60" t="inlineStr">
        <is>
          <t>KNIVSTA</t>
        </is>
      </c>
      <c r="G60" t="n">
        <v>3.6</v>
      </c>
      <c r="H60" t="n">
        <v>0</v>
      </c>
      <c r="I60" t="n">
        <v>0</v>
      </c>
      <c r="J60" t="n">
        <v>0</v>
      </c>
      <c r="K60" t="n">
        <v>0</v>
      </c>
      <c r="L60" t="n">
        <v>0</v>
      </c>
      <c r="M60" t="n">
        <v>0</v>
      </c>
      <c r="N60" t="n">
        <v>0</v>
      </c>
      <c r="O60" t="n">
        <v>0</v>
      </c>
      <c r="P60" t="n">
        <v>0</v>
      </c>
      <c r="Q60" t="n">
        <v>0</v>
      </c>
      <c r="R60" s="2" t="inlineStr"/>
    </row>
    <row r="61" ht="15" customHeight="1">
      <c r="A61" t="inlineStr">
        <is>
          <t>A 36472-2025</t>
        </is>
      </c>
      <c r="B61" s="1" t="n">
        <v>45869.48162037037</v>
      </c>
      <c r="C61" s="1" t="n">
        <v>46049</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36473-2025</t>
        </is>
      </c>
      <c r="B62" s="1" t="n">
        <v>45869.48333333333</v>
      </c>
      <c r="C62" s="1" t="n">
        <v>46049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46049</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49090-2025</t>
        </is>
      </c>
      <c r="B64" s="1" t="n">
        <v>45937</v>
      </c>
      <c r="C64" s="1" t="n">
        <v>46049</v>
      </c>
      <c r="D64" t="inlineStr">
        <is>
          <t>UPPSALA LÄN</t>
        </is>
      </c>
      <c r="E64" t="inlineStr">
        <is>
          <t>KNIVSTA</t>
        </is>
      </c>
      <c r="G64" t="n">
        <v>4.1</v>
      </c>
      <c r="H64" t="n">
        <v>0</v>
      </c>
      <c r="I64" t="n">
        <v>0</v>
      </c>
      <c r="J64" t="n">
        <v>0</v>
      </c>
      <c r="K64" t="n">
        <v>0</v>
      </c>
      <c r="L64" t="n">
        <v>0</v>
      </c>
      <c r="M64" t="n">
        <v>0</v>
      </c>
      <c r="N64" t="n">
        <v>0</v>
      </c>
      <c r="O64" t="n">
        <v>0</v>
      </c>
      <c r="P64" t="n">
        <v>0</v>
      </c>
      <c r="Q64" t="n">
        <v>0</v>
      </c>
      <c r="R64" s="2" t="inlineStr"/>
    </row>
    <row r="65" ht="15" customHeight="1">
      <c r="A65" t="inlineStr">
        <is>
          <t>A 66293-2021</t>
        </is>
      </c>
      <c r="B65" s="1" t="n">
        <v>44518</v>
      </c>
      <c r="C65" s="1" t="n">
        <v>46049</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52667-2025</t>
        </is>
      </c>
      <c r="B66" s="1" t="n">
        <v>45955.74666666667</v>
      </c>
      <c r="C66" s="1" t="n">
        <v>46049</v>
      </c>
      <c r="D66" t="inlineStr">
        <is>
          <t>UPPSALA LÄN</t>
        </is>
      </c>
      <c r="E66" t="inlineStr">
        <is>
          <t>KNIVSTA</t>
        </is>
      </c>
      <c r="G66" t="n">
        <v>1</v>
      </c>
      <c r="H66" t="n">
        <v>0</v>
      </c>
      <c r="I66" t="n">
        <v>0</v>
      </c>
      <c r="J66" t="n">
        <v>0</v>
      </c>
      <c r="K66" t="n">
        <v>0</v>
      </c>
      <c r="L66" t="n">
        <v>0</v>
      </c>
      <c r="M66" t="n">
        <v>0</v>
      </c>
      <c r="N66" t="n">
        <v>0</v>
      </c>
      <c r="O66" t="n">
        <v>0</v>
      </c>
      <c r="P66" t="n">
        <v>0</v>
      </c>
      <c r="Q66" t="n">
        <v>0</v>
      </c>
      <c r="R66" s="2" t="inlineStr"/>
    </row>
    <row r="67" ht="15" customHeight="1">
      <c r="A67" t="inlineStr">
        <is>
          <t>A 52666-2025</t>
        </is>
      </c>
      <c r="B67" s="1" t="n">
        <v>45955.74299768519</v>
      </c>
      <c r="C67" s="1" t="n">
        <v>46049</v>
      </c>
      <c r="D67" t="inlineStr">
        <is>
          <t>UPPSALA LÄN</t>
        </is>
      </c>
      <c r="E67" t="inlineStr">
        <is>
          <t>KNIVSTA</t>
        </is>
      </c>
      <c r="G67" t="n">
        <v>2.1</v>
      </c>
      <c r="H67" t="n">
        <v>0</v>
      </c>
      <c r="I67" t="n">
        <v>0</v>
      </c>
      <c r="J67" t="n">
        <v>0</v>
      </c>
      <c r="K67" t="n">
        <v>0</v>
      </c>
      <c r="L67" t="n">
        <v>0</v>
      </c>
      <c r="M67" t="n">
        <v>0</v>
      </c>
      <c r="N67" t="n">
        <v>0</v>
      </c>
      <c r="O67" t="n">
        <v>0</v>
      </c>
      <c r="P67" t="n">
        <v>0</v>
      </c>
      <c r="Q67" t="n">
        <v>0</v>
      </c>
      <c r="R67" s="2" t="inlineStr"/>
    </row>
    <row r="68" ht="15" customHeight="1">
      <c r="A68" t="inlineStr">
        <is>
          <t>A 53898-2025</t>
        </is>
      </c>
      <c r="B68" s="1" t="n">
        <v>45961.43056712963</v>
      </c>
      <c r="C68" s="1" t="n">
        <v>46049</v>
      </c>
      <c r="D68" t="inlineStr">
        <is>
          <t>UPPSALA LÄN</t>
        </is>
      </c>
      <c r="E68" t="inlineStr">
        <is>
          <t>KNIVSTA</t>
        </is>
      </c>
      <c r="G68" t="n">
        <v>4.5</v>
      </c>
      <c r="H68" t="n">
        <v>0</v>
      </c>
      <c r="I68" t="n">
        <v>0</v>
      </c>
      <c r="J68" t="n">
        <v>0</v>
      </c>
      <c r="K68" t="n">
        <v>0</v>
      </c>
      <c r="L68" t="n">
        <v>0</v>
      </c>
      <c r="M68" t="n">
        <v>0</v>
      </c>
      <c r="N68" t="n">
        <v>0</v>
      </c>
      <c r="O68" t="n">
        <v>0</v>
      </c>
      <c r="P68" t="n">
        <v>0</v>
      </c>
      <c r="Q68" t="n">
        <v>0</v>
      </c>
      <c r="R68" s="2" t="inlineStr"/>
    </row>
    <row r="69" ht="15" customHeight="1">
      <c r="A69" t="inlineStr">
        <is>
          <t>A 66284-2021</t>
        </is>
      </c>
      <c r="B69" s="1" t="n">
        <v>44518</v>
      </c>
      <c r="C69" s="1" t="n">
        <v>46049</v>
      </c>
      <c r="D69" t="inlineStr">
        <is>
          <t>UPPSALA LÄN</t>
        </is>
      </c>
      <c r="E69" t="inlineStr">
        <is>
          <t>KNIVSTA</t>
        </is>
      </c>
      <c r="G69" t="n">
        <v>6.9</v>
      </c>
      <c r="H69" t="n">
        <v>0</v>
      </c>
      <c r="I69" t="n">
        <v>0</v>
      </c>
      <c r="J69" t="n">
        <v>0</v>
      </c>
      <c r="K69" t="n">
        <v>0</v>
      </c>
      <c r="L69" t="n">
        <v>0</v>
      </c>
      <c r="M69" t="n">
        <v>0</v>
      </c>
      <c r="N69" t="n">
        <v>0</v>
      </c>
      <c r="O69" t="n">
        <v>0</v>
      </c>
      <c r="P69" t="n">
        <v>0</v>
      </c>
      <c r="Q69" t="n">
        <v>0</v>
      </c>
      <c r="R69" s="2" t="inlineStr"/>
    </row>
    <row r="70" ht="15" customHeight="1">
      <c r="A70" t="inlineStr">
        <is>
          <t>A 19676-2025</t>
        </is>
      </c>
      <c r="B70" s="1" t="n">
        <v>45770</v>
      </c>
      <c r="C70" s="1" t="n">
        <v>46049</v>
      </c>
      <c r="D70" t="inlineStr">
        <is>
          <t>UPPSALA LÄN</t>
        </is>
      </c>
      <c r="E70" t="inlineStr">
        <is>
          <t>KNIVSTA</t>
        </is>
      </c>
      <c r="G70" t="n">
        <v>0.9</v>
      </c>
      <c r="H70" t="n">
        <v>0</v>
      </c>
      <c r="I70" t="n">
        <v>0</v>
      </c>
      <c r="J70" t="n">
        <v>0</v>
      </c>
      <c r="K70" t="n">
        <v>0</v>
      </c>
      <c r="L70" t="n">
        <v>0</v>
      </c>
      <c r="M70" t="n">
        <v>0</v>
      </c>
      <c r="N70" t="n">
        <v>0</v>
      </c>
      <c r="O70" t="n">
        <v>0</v>
      </c>
      <c r="P70" t="n">
        <v>0</v>
      </c>
      <c r="Q70" t="n">
        <v>0</v>
      </c>
      <c r="R70" s="2" t="inlineStr"/>
    </row>
    <row r="71" ht="15" customHeight="1">
      <c r="A71" t="inlineStr">
        <is>
          <t>A 8343-2024</t>
        </is>
      </c>
      <c r="B71" s="1" t="n">
        <v>45352</v>
      </c>
      <c r="C71" s="1" t="n">
        <v>46049</v>
      </c>
      <c r="D71" t="inlineStr">
        <is>
          <t>UPPSALA LÄN</t>
        </is>
      </c>
      <c r="E71" t="inlineStr">
        <is>
          <t>KNIVSTA</t>
        </is>
      </c>
      <c r="F71" t="inlineStr">
        <is>
          <t>Holmen skog AB</t>
        </is>
      </c>
      <c r="G71" t="n">
        <v>1.4</v>
      </c>
      <c r="H71" t="n">
        <v>0</v>
      </c>
      <c r="I71" t="n">
        <v>0</v>
      </c>
      <c r="J71" t="n">
        <v>0</v>
      </c>
      <c r="K71" t="n">
        <v>0</v>
      </c>
      <c r="L71" t="n">
        <v>0</v>
      </c>
      <c r="M71" t="n">
        <v>0</v>
      </c>
      <c r="N71" t="n">
        <v>0</v>
      </c>
      <c r="O71" t="n">
        <v>0</v>
      </c>
      <c r="P71" t="n">
        <v>0</v>
      </c>
      <c r="Q71" t="n">
        <v>0</v>
      </c>
      <c r="R71" s="2" t="inlineStr"/>
    </row>
    <row r="72" ht="15" customHeight="1">
      <c r="A72" t="inlineStr">
        <is>
          <t>A 57631-2025</t>
        </is>
      </c>
      <c r="B72" s="1" t="n">
        <v>45981.34748842593</v>
      </c>
      <c r="C72" s="1" t="n">
        <v>46049</v>
      </c>
      <c r="D72" t="inlineStr">
        <is>
          <t>UPPSALA LÄN</t>
        </is>
      </c>
      <c r="E72" t="inlineStr">
        <is>
          <t>KNIVSTA</t>
        </is>
      </c>
      <c r="G72" t="n">
        <v>3.4</v>
      </c>
      <c r="H72" t="n">
        <v>0</v>
      </c>
      <c r="I72" t="n">
        <v>0</v>
      </c>
      <c r="J72" t="n">
        <v>0</v>
      </c>
      <c r="K72" t="n">
        <v>0</v>
      </c>
      <c r="L72" t="n">
        <v>0</v>
      </c>
      <c r="M72" t="n">
        <v>0</v>
      </c>
      <c r="N72" t="n">
        <v>0</v>
      </c>
      <c r="O72" t="n">
        <v>0</v>
      </c>
      <c r="P72" t="n">
        <v>0</v>
      </c>
      <c r="Q72" t="n">
        <v>0</v>
      </c>
      <c r="R72" s="2" t="inlineStr"/>
    </row>
    <row r="73" ht="15" customHeight="1">
      <c r="A73" t="inlineStr">
        <is>
          <t>A 30627-2023</t>
        </is>
      </c>
      <c r="B73" s="1" t="n">
        <v>45112</v>
      </c>
      <c r="C73" s="1" t="n">
        <v>46049</v>
      </c>
      <c r="D73" t="inlineStr">
        <is>
          <t>UPPSALA LÄN</t>
        </is>
      </c>
      <c r="E73" t="inlineStr">
        <is>
          <t>KNIVSTA</t>
        </is>
      </c>
      <c r="F73" t="inlineStr">
        <is>
          <t>Holmen skog AB</t>
        </is>
      </c>
      <c r="G73" t="n">
        <v>1.6</v>
      </c>
      <c r="H73" t="n">
        <v>0</v>
      </c>
      <c r="I73" t="n">
        <v>0</v>
      </c>
      <c r="J73" t="n">
        <v>0</v>
      </c>
      <c r="K73" t="n">
        <v>0</v>
      </c>
      <c r="L73" t="n">
        <v>0</v>
      </c>
      <c r="M73" t="n">
        <v>0</v>
      </c>
      <c r="N73" t="n">
        <v>0</v>
      </c>
      <c r="O73" t="n">
        <v>0</v>
      </c>
      <c r="P73" t="n">
        <v>0</v>
      </c>
      <c r="Q73" t="n">
        <v>0</v>
      </c>
      <c r="R73" s="2" t="inlineStr"/>
    </row>
    <row r="74" ht="15" customHeight="1">
      <c r="A74" t="inlineStr">
        <is>
          <t>A 1629-2024</t>
        </is>
      </c>
      <c r="B74" s="1" t="n">
        <v>45306</v>
      </c>
      <c r="C74" s="1" t="n">
        <v>46049</v>
      </c>
      <c r="D74" t="inlineStr">
        <is>
          <t>UPPSALA LÄN</t>
        </is>
      </c>
      <c r="E74" t="inlineStr">
        <is>
          <t>KNIVSTA</t>
        </is>
      </c>
      <c r="F74" t="inlineStr">
        <is>
          <t>Holmen skog AB</t>
        </is>
      </c>
      <c r="G74" t="n">
        <v>3.6</v>
      </c>
      <c r="H74" t="n">
        <v>0</v>
      </c>
      <c r="I74" t="n">
        <v>0</v>
      </c>
      <c r="J74" t="n">
        <v>0</v>
      </c>
      <c r="K74" t="n">
        <v>0</v>
      </c>
      <c r="L74" t="n">
        <v>0</v>
      </c>
      <c r="M74" t="n">
        <v>0</v>
      </c>
      <c r="N74" t="n">
        <v>0</v>
      </c>
      <c r="O74" t="n">
        <v>0</v>
      </c>
      <c r="P74" t="n">
        <v>0</v>
      </c>
      <c r="Q74" t="n">
        <v>0</v>
      </c>
      <c r="R74" s="2" t="inlineStr"/>
    </row>
    <row r="75" ht="15" customHeight="1">
      <c r="A75" t="inlineStr">
        <is>
          <t>A 666-2026</t>
        </is>
      </c>
      <c r="B75" s="1" t="n">
        <v>46029.58832175926</v>
      </c>
      <c r="C75" s="1" t="n">
        <v>46049</v>
      </c>
      <c r="D75" t="inlineStr">
        <is>
          <t>UPPSALA LÄN</t>
        </is>
      </c>
      <c r="E75" t="inlineStr">
        <is>
          <t>KNIVSTA</t>
        </is>
      </c>
      <c r="G75" t="n">
        <v>1.8</v>
      </c>
      <c r="H75" t="n">
        <v>0</v>
      </c>
      <c r="I75" t="n">
        <v>0</v>
      </c>
      <c r="J75" t="n">
        <v>0</v>
      </c>
      <c r="K75" t="n">
        <v>0</v>
      </c>
      <c r="L75" t="n">
        <v>0</v>
      </c>
      <c r="M75" t="n">
        <v>0</v>
      </c>
      <c r="N75" t="n">
        <v>0</v>
      </c>
      <c r="O75" t="n">
        <v>0</v>
      </c>
      <c r="P75" t="n">
        <v>0</v>
      </c>
      <c r="Q75" t="n">
        <v>0</v>
      </c>
      <c r="R75" s="2" t="inlineStr"/>
    </row>
    <row r="76" ht="15" customHeight="1">
      <c r="A76" t="inlineStr">
        <is>
          <t>A 662-2026</t>
        </is>
      </c>
      <c r="B76" s="1" t="n">
        <v>46029.58549768518</v>
      </c>
      <c r="C76" s="1" t="n">
        <v>46049</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46049</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53812-2025</t>
        </is>
      </c>
      <c r="B78" s="1" t="n">
        <v>45960</v>
      </c>
      <c r="C78" s="1" t="n">
        <v>46049</v>
      </c>
      <c r="D78" t="inlineStr">
        <is>
          <t>UPPSALA LÄN</t>
        </is>
      </c>
      <c r="E78" t="inlineStr">
        <is>
          <t>KNIVSTA</t>
        </is>
      </c>
      <c r="G78" t="n">
        <v>5.8</v>
      </c>
      <c r="H78" t="n">
        <v>0</v>
      </c>
      <c r="I78" t="n">
        <v>0</v>
      </c>
      <c r="J78" t="n">
        <v>0</v>
      </c>
      <c r="K78" t="n">
        <v>0</v>
      </c>
      <c r="L78" t="n">
        <v>0</v>
      </c>
      <c r="M78" t="n">
        <v>0</v>
      </c>
      <c r="N78" t="n">
        <v>0</v>
      </c>
      <c r="O78" t="n">
        <v>0</v>
      </c>
      <c r="P78" t="n">
        <v>0</v>
      </c>
      <c r="Q78" t="n">
        <v>0</v>
      </c>
      <c r="R78" s="2" t="inlineStr"/>
    </row>
    <row r="79" ht="15" customHeight="1">
      <c r="A79" t="inlineStr">
        <is>
          <t>A 60243-2025</t>
        </is>
      </c>
      <c r="B79" s="1" t="n">
        <v>45994.58650462963</v>
      </c>
      <c r="C79" s="1" t="n">
        <v>46049</v>
      </c>
      <c r="D79" t="inlineStr">
        <is>
          <t>UPPSALA LÄN</t>
        </is>
      </c>
      <c r="E79" t="inlineStr">
        <is>
          <t>KNIVSTA</t>
        </is>
      </c>
      <c r="F79" t="inlineStr">
        <is>
          <t>Holmen skog AB</t>
        </is>
      </c>
      <c r="G79" t="n">
        <v>2.4</v>
      </c>
      <c r="H79" t="n">
        <v>0</v>
      </c>
      <c r="I79" t="n">
        <v>0</v>
      </c>
      <c r="J79" t="n">
        <v>0</v>
      </c>
      <c r="K79" t="n">
        <v>0</v>
      </c>
      <c r="L79" t="n">
        <v>0</v>
      </c>
      <c r="M79" t="n">
        <v>0</v>
      </c>
      <c r="N79" t="n">
        <v>0</v>
      </c>
      <c r="O79" t="n">
        <v>0</v>
      </c>
      <c r="P79" t="n">
        <v>0</v>
      </c>
      <c r="Q79" t="n">
        <v>0</v>
      </c>
      <c r="R79" s="2" t="inlineStr"/>
    </row>
    <row r="80" ht="15" customHeight="1">
      <c r="A80" t="inlineStr">
        <is>
          <t>A 2952-2026</t>
        </is>
      </c>
      <c r="B80" s="1" t="n">
        <v>46037</v>
      </c>
      <c r="C80" s="1" t="n">
        <v>46049</v>
      </c>
      <c r="D80" t="inlineStr">
        <is>
          <t>UPPSALA LÄN</t>
        </is>
      </c>
      <c r="E80" t="inlineStr">
        <is>
          <t>KNIVSTA</t>
        </is>
      </c>
      <c r="G80" t="n">
        <v>2</v>
      </c>
      <c r="H80" t="n">
        <v>0</v>
      </c>
      <c r="I80" t="n">
        <v>0</v>
      </c>
      <c r="J80" t="n">
        <v>0</v>
      </c>
      <c r="K80" t="n">
        <v>0</v>
      </c>
      <c r="L80" t="n">
        <v>0</v>
      </c>
      <c r="M80" t="n">
        <v>0</v>
      </c>
      <c r="N80" t="n">
        <v>0</v>
      </c>
      <c r="O80" t="n">
        <v>0</v>
      </c>
      <c r="P80" t="n">
        <v>0</v>
      </c>
      <c r="Q80" t="n">
        <v>0</v>
      </c>
      <c r="R80" s="2" t="inlineStr"/>
    </row>
    <row r="81" ht="15" customHeight="1">
      <c r="A81" t="inlineStr">
        <is>
          <t>A 2944-2026</t>
        </is>
      </c>
      <c r="B81" s="1" t="n">
        <v>46037</v>
      </c>
      <c r="C81" s="1" t="n">
        <v>46049</v>
      </c>
      <c r="D81" t="inlineStr">
        <is>
          <t>UPPSALA LÄN</t>
        </is>
      </c>
      <c r="E81" t="inlineStr">
        <is>
          <t>KNIVSTA</t>
        </is>
      </c>
      <c r="G81" t="n">
        <v>4.7</v>
      </c>
      <c r="H81" t="n">
        <v>0</v>
      </c>
      <c r="I81" t="n">
        <v>0</v>
      </c>
      <c r="J81" t="n">
        <v>0</v>
      </c>
      <c r="K81" t="n">
        <v>0</v>
      </c>
      <c r="L81" t="n">
        <v>0</v>
      </c>
      <c r="M81" t="n">
        <v>0</v>
      </c>
      <c r="N81" t="n">
        <v>0</v>
      </c>
      <c r="O81" t="n">
        <v>0</v>
      </c>
      <c r="P81" t="n">
        <v>0</v>
      </c>
      <c r="Q81" t="n">
        <v>0</v>
      </c>
      <c r="R81" s="2" t="inlineStr"/>
    </row>
    <row r="82" ht="15" customHeight="1">
      <c r="A82" t="inlineStr">
        <is>
          <t>A 3191-2024</t>
        </is>
      </c>
      <c r="B82" s="1" t="n">
        <v>45316.67186342592</v>
      </c>
      <c r="C82" s="1" t="n">
        <v>46049</v>
      </c>
      <c r="D82" t="inlineStr">
        <is>
          <t>UPPSALA LÄN</t>
        </is>
      </c>
      <c r="E82" t="inlineStr">
        <is>
          <t>KNIVSTA</t>
        </is>
      </c>
      <c r="G82" t="n">
        <v>0.6</v>
      </c>
      <c r="H82" t="n">
        <v>0</v>
      </c>
      <c r="I82" t="n">
        <v>0</v>
      </c>
      <c r="J82" t="n">
        <v>0</v>
      </c>
      <c r="K82" t="n">
        <v>0</v>
      </c>
      <c r="L82" t="n">
        <v>0</v>
      </c>
      <c r="M82" t="n">
        <v>0</v>
      </c>
      <c r="N82" t="n">
        <v>0</v>
      </c>
      <c r="O82" t="n">
        <v>0</v>
      </c>
      <c r="P82" t="n">
        <v>0</v>
      </c>
      <c r="Q82" t="n">
        <v>0</v>
      </c>
      <c r="R82" s="2" t="inlineStr"/>
    </row>
    <row r="83" ht="15" customHeight="1">
      <c r="A83" t="inlineStr">
        <is>
          <t>A 3016-2026</t>
        </is>
      </c>
      <c r="B83" s="1" t="n">
        <v>46038</v>
      </c>
      <c r="C83" s="1" t="n">
        <v>46049</v>
      </c>
      <c r="D83" t="inlineStr">
        <is>
          <t>UPPSALA LÄN</t>
        </is>
      </c>
      <c r="E83" t="inlineStr">
        <is>
          <t>KNIVSTA</t>
        </is>
      </c>
      <c r="G83" t="n">
        <v>0.9</v>
      </c>
      <c r="H83" t="n">
        <v>0</v>
      </c>
      <c r="I83" t="n">
        <v>0</v>
      </c>
      <c r="J83" t="n">
        <v>0</v>
      </c>
      <c r="K83" t="n">
        <v>0</v>
      </c>
      <c r="L83" t="n">
        <v>0</v>
      </c>
      <c r="M83" t="n">
        <v>0</v>
      </c>
      <c r="N83" t="n">
        <v>0</v>
      </c>
      <c r="O83" t="n">
        <v>0</v>
      </c>
      <c r="P83" t="n">
        <v>0</v>
      </c>
      <c r="Q83" t="n">
        <v>0</v>
      </c>
      <c r="R83" s="2" t="inlineStr"/>
    </row>
    <row r="84" ht="15" customHeight="1">
      <c r="A84" t="inlineStr">
        <is>
          <t>A 3015-2026</t>
        </is>
      </c>
      <c r="B84" s="1" t="n">
        <v>46038</v>
      </c>
      <c r="C84" s="1" t="n">
        <v>46049</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3375-2026</t>
        </is>
      </c>
      <c r="B85" s="1" t="n">
        <v>46042</v>
      </c>
      <c r="C85" s="1" t="n">
        <v>46049</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45525-2023</t>
        </is>
      </c>
      <c r="B86" s="1" t="n">
        <v>45194</v>
      </c>
      <c r="C86" s="1" t="n">
        <v>46049</v>
      </c>
      <c r="D86" t="inlineStr">
        <is>
          <t>UPPSALA LÄN</t>
        </is>
      </c>
      <c r="E86" t="inlineStr">
        <is>
          <t>KNIVSTA</t>
        </is>
      </c>
      <c r="G86" t="n">
        <v>0.7</v>
      </c>
      <c r="H86" t="n">
        <v>0</v>
      </c>
      <c r="I86" t="n">
        <v>0</v>
      </c>
      <c r="J86" t="n">
        <v>0</v>
      </c>
      <c r="K86" t="n">
        <v>0</v>
      </c>
      <c r="L86" t="n">
        <v>0</v>
      </c>
      <c r="M86" t="n">
        <v>0</v>
      </c>
      <c r="N86" t="n">
        <v>0</v>
      </c>
      <c r="O86" t="n">
        <v>0</v>
      </c>
      <c r="P86" t="n">
        <v>0</v>
      </c>
      <c r="Q86" t="n">
        <v>0</v>
      </c>
      <c r="R86" s="2" t="inlineStr"/>
    </row>
    <row r="87" ht="15" customHeight="1">
      <c r="A87" t="inlineStr">
        <is>
          <t>A 3824-2026</t>
        </is>
      </c>
      <c r="B87" s="1" t="n">
        <v>46043.58570601852</v>
      </c>
      <c r="C87" s="1" t="n">
        <v>46049</v>
      </c>
      <c r="D87" t="inlineStr">
        <is>
          <t>UPPSALA LÄN</t>
        </is>
      </c>
      <c r="E87" t="inlineStr">
        <is>
          <t>KNIVSTA</t>
        </is>
      </c>
      <c r="G87" t="n">
        <v>1.9</v>
      </c>
      <c r="H87" t="n">
        <v>0</v>
      </c>
      <c r="I87" t="n">
        <v>0</v>
      </c>
      <c r="J87" t="n">
        <v>0</v>
      </c>
      <c r="K87" t="n">
        <v>0</v>
      </c>
      <c r="L87" t="n">
        <v>0</v>
      </c>
      <c r="M87" t="n">
        <v>0</v>
      </c>
      <c r="N87" t="n">
        <v>0</v>
      </c>
      <c r="O87" t="n">
        <v>0</v>
      </c>
      <c r="P87" t="n">
        <v>0</v>
      </c>
      <c r="Q87" t="n">
        <v>0</v>
      </c>
      <c r="R87" s="2" t="inlineStr"/>
    </row>
    <row r="88" ht="15" customHeight="1">
      <c r="A88" t="inlineStr">
        <is>
          <t>A 3836-2026</t>
        </is>
      </c>
      <c r="B88" s="1" t="n">
        <v>46043.5925</v>
      </c>
      <c r="C88" s="1" t="n">
        <v>46049</v>
      </c>
      <c r="D88" t="inlineStr">
        <is>
          <t>UPPSALA LÄN</t>
        </is>
      </c>
      <c r="E88" t="inlineStr">
        <is>
          <t>KNIVSTA</t>
        </is>
      </c>
      <c r="G88" t="n">
        <v>3.7</v>
      </c>
      <c r="H88" t="n">
        <v>0</v>
      </c>
      <c r="I88" t="n">
        <v>0</v>
      </c>
      <c r="J88" t="n">
        <v>0</v>
      </c>
      <c r="K88" t="n">
        <v>0</v>
      </c>
      <c r="L88" t="n">
        <v>0</v>
      </c>
      <c r="M88" t="n">
        <v>0</v>
      </c>
      <c r="N88" t="n">
        <v>0</v>
      </c>
      <c r="O88" t="n">
        <v>0</v>
      </c>
      <c r="P88" t="n">
        <v>0</v>
      </c>
      <c r="Q88" t="n">
        <v>0</v>
      </c>
      <c r="R88" s="2" t="inlineStr"/>
    </row>
    <row r="89" ht="15" customHeight="1">
      <c r="A89" t="inlineStr">
        <is>
          <t>A 16773-2022</t>
        </is>
      </c>
      <c r="B89" s="1" t="n">
        <v>44673</v>
      </c>
      <c r="C89" s="1" t="n">
        <v>46049</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30764-2023</t>
        </is>
      </c>
      <c r="B90" s="1" t="n">
        <v>45112</v>
      </c>
      <c r="C90" s="1" t="n">
        <v>46049</v>
      </c>
      <c r="D90" t="inlineStr">
        <is>
          <t>UPPSALA LÄN</t>
        </is>
      </c>
      <c r="E90" t="inlineStr">
        <is>
          <t>KNIVSTA</t>
        </is>
      </c>
      <c r="F90" t="inlineStr">
        <is>
          <t>Holmen skog AB</t>
        </is>
      </c>
      <c r="G90" t="n">
        <v>0.9</v>
      </c>
      <c r="H90" t="n">
        <v>0</v>
      </c>
      <c r="I90" t="n">
        <v>0</v>
      </c>
      <c r="J90" t="n">
        <v>0</v>
      </c>
      <c r="K90" t="n">
        <v>0</v>
      </c>
      <c r="L90" t="n">
        <v>0</v>
      </c>
      <c r="M90" t="n">
        <v>0</v>
      </c>
      <c r="N90" t="n">
        <v>0</v>
      </c>
      <c r="O90" t="n">
        <v>0</v>
      </c>
      <c r="P90" t="n">
        <v>0</v>
      </c>
      <c r="Q90" t="n">
        <v>0</v>
      </c>
      <c r="R90" s="2" t="inlineStr"/>
    </row>
    <row r="91" ht="15" customHeight="1">
      <c r="A91" t="inlineStr">
        <is>
          <t>A 51849-2023</t>
        </is>
      </c>
      <c r="B91" s="1" t="n">
        <v>45223.34391203704</v>
      </c>
      <c r="C91" s="1" t="n">
        <v>46049</v>
      </c>
      <c r="D91" t="inlineStr">
        <is>
          <t>UPPSALA LÄN</t>
        </is>
      </c>
      <c r="E91" t="inlineStr">
        <is>
          <t>KNIVSTA</t>
        </is>
      </c>
      <c r="G91" t="n">
        <v>16.3</v>
      </c>
      <c r="H91" t="n">
        <v>0</v>
      </c>
      <c r="I91" t="n">
        <v>0</v>
      </c>
      <c r="J91" t="n">
        <v>0</v>
      </c>
      <c r="K91" t="n">
        <v>0</v>
      </c>
      <c r="L91" t="n">
        <v>0</v>
      </c>
      <c r="M91" t="n">
        <v>0</v>
      </c>
      <c r="N91" t="n">
        <v>0</v>
      </c>
      <c r="O91" t="n">
        <v>0</v>
      </c>
      <c r="P91" t="n">
        <v>0</v>
      </c>
      <c r="Q91" t="n">
        <v>0</v>
      </c>
      <c r="R91" s="2" t="inlineStr"/>
    </row>
    <row r="92" ht="15" customHeight="1">
      <c r="A92" t="inlineStr">
        <is>
          <t>A 60018-2024</t>
        </is>
      </c>
      <c r="B92" s="1" t="n">
        <v>45642</v>
      </c>
      <c r="C92" s="1" t="n">
        <v>46049</v>
      </c>
      <c r="D92" t="inlineStr">
        <is>
          <t>UPPSALA LÄN</t>
        </is>
      </c>
      <c r="E92" t="inlineStr">
        <is>
          <t>KNIVSTA</t>
        </is>
      </c>
      <c r="G92" t="n">
        <v>4.1</v>
      </c>
      <c r="H92" t="n">
        <v>0</v>
      </c>
      <c r="I92" t="n">
        <v>0</v>
      </c>
      <c r="J92" t="n">
        <v>0</v>
      </c>
      <c r="K92" t="n">
        <v>0</v>
      </c>
      <c r="L92" t="n">
        <v>0</v>
      </c>
      <c r="M92" t="n">
        <v>0</v>
      </c>
      <c r="N92" t="n">
        <v>0</v>
      </c>
      <c r="O92" t="n">
        <v>0</v>
      </c>
      <c r="P92" t="n">
        <v>0</v>
      </c>
      <c r="Q92" t="n">
        <v>0</v>
      </c>
      <c r="R92" s="2" t="inlineStr"/>
    </row>
    <row r="93" ht="15" customHeight="1">
      <c r="A93" t="inlineStr">
        <is>
          <t>A 17333-2024</t>
        </is>
      </c>
      <c r="B93" s="1" t="n">
        <v>45414.5625462963</v>
      </c>
      <c r="C93" s="1" t="n">
        <v>46049</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1791-2024</t>
        </is>
      </c>
      <c r="B94" s="1" t="n">
        <v>45307.574375</v>
      </c>
      <c r="C94" s="1" t="n">
        <v>46049</v>
      </c>
      <c r="D94" t="inlineStr">
        <is>
          <t>UPPSALA LÄN</t>
        </is>
      </c>
      <c r="E94" t="inlineStr">
        <is>
          <t>KNIVSTA</t>
        </is>
      </c>
      <c r="G94" t="n">
        <v>1.4</v>
      </c>
      <c r="H94" t="n">
        <v>0</v>
      </c>
      <c r="I94" t="n">
        <v>0</v>
      </c>
      <c r="J94" t="n">
        <v>0</v>
      </c>
      <c r="K94" t="n">
        <v>0</v>
      </c>
      <c r="L94" t="n">
        <v>0</v>
      </c>
      <c r="M94" t="n">
        <v>0</v>
      </c>
      <c r="N94" t="n">
        <v>0</v>
      </c>
      <c r="O94" t="n">
        <v>0</v>
      </c>
      <c r="P94" t="n">
        <v>0</v>
      </c>
      <c r="Q94" t="n">
        <v>0</v>
      </c>
      <c r="R94" s="2" t="inlineStr"/>
    </row>
    <row r="95" ht="15" customHeight="1">
      <c r="A95" t="inlineStr">
        <is>
          <t>A 66305-2021</t>
        </is>
      </c>
      <c r="B95" s="1" t="n">
        <v>44518</v>
      </c>
      <c r="C95" s="1" t="n">
        <v>46049</v>
      </c>
      <c r="D95" t="inlineStr">
        <is>
          <t>UPPSALA LÄN</t>
        </is>
      </c>
      <c r="E95" t="inlineStr">
        <is>
          <t>KNIVSTA</t>
        </is>
      </c>
      <c r="G95" t="n">
        <v>8.300000000000001</v>
      </c>
      <c r="H95" t="n">
        <v>0</v>
      </c>
      <c r="I95" t="n">
        <v>0</v>
      </c>
      <c r="J95" t="n">
        <v>0</v>
      </c>
      <c r="K95" t="n">
        <v>0</v>
      </c>
      <c r="L95" t="n">
        <v>0</v>
      </c>
      <c r="M95" t="n">
        <v>0</v>
      </c>
      <c r="N95" t="n">
        <v>0</v>
      </c>
      <c r="O95" t="n">
        <v>0</v>
      </c>
      <c r="P95" t="n">
        <v>0</v>
      </c>
      <c r="Q95" t="n">
        <v>0</v>
      </c>
      <c r="R95" s="2" t="inlineStr"/>
    </row>
    <row r="96" ht="15" customHeight="1">
      <c r="A96" t="inlineStr">
        <is>
          <t>A 2628-2025</t>
        </is>
      </c>
      <c r="B96" s="1" t="n">
        <v>45675.68435185185</v>
      </c>
      <c r="C96" s="1" t="n">
        <v>46049</v>
      </c>
      <c r="D96" t="inlineStr">
        <is>
          <t>UPPSALA LÄN</t>
        </is>
      </c>
      <c r="E96" t="inlineStr">
        <is>
          <t>KNIVSTA</t>
        </is>
      </c>
      <c r="G96" t="n">
        <v>2.9</v>
      </c>
      <c r="H96" t="n">
        <v>0</v>
      </c>
      <c r="I96" t="n">
        <v>0</v>
      </c>
      <c r="J96" t="n">
        <v>0</v>
      </c>
      <c r="K96" t="n">
        <v>0</v>
      </c>
      <c r="L96" t="n">
        <v>0</v>
      </c>
      <c r="M96" t="n">
        <v>0</v>
      </c>
      <c r="N96" t="n">
        <v>0</v>
      </c>
      <c r="O96" t="n">
        <v>0</v>
      </c>
      <c r="P96" t="n">
        <v>0</v>
      </c>
      <c r="Q96" t="n">
        <v>0</v>
      </c>
      <c r="R96" s="2" t="inlineStr"/>
    </row>
    <row r="97" ht="15" customHeight="1">
      <c r="A97" t="inlineStr">
        <is>
          <t>A 11452-2023</t>
        </is>
      </c>
      <c r="B97" s="1" t="n">
        <v>44993</v>
      </c>
      <c r="C97" s="1" t="n">
        <v>46049</v>
      </c>
      <c r="D97" t="inlineStr">
        <is>
          <t>UPPSALA LÄN</t>
        </is>
      </c>
      <c r="E97" t="inlineStr">
        <is>
          <t>KNIVSTA</t>
        </is>
      </c>
      <c r="G97" t="n">
        <v>2.5</v>
      </c>
      <c r="H97" t="n">
        <v>0</v>
      </c>
      <c r="I97" t="n">
        <v>0</v>
      </c>
      <c r="J97" t="n">
        <v>0</v>
      </c>
      <c r="K97" t="n">
        <v>0</v>
      </c>
      <c r="L97" t="n">
        <v>0</v>
      </c>
      <c r="M97" t="n">
        <v>0</v>
      </c>
      <c r="N97" t="n">
        <v>0</v>
      </c>
      <c r="O97" t="n">
        <v>0</v>
      </c>
      <c r="P97" t="n">
        <v>0</v>
      </c>
      <c r="Q97" t="n">
        <v>0</v>
      </c>
      <c r="R97" s="2" t="inlineStr"/>
    </row>
    <row r="98" ht="15" customHeight="1">
      <c r="A98" t="inlineStr">
        <is>
          <t>A 43908-2023</t>
        </is>
      </c>
      <c r="B98" s="1" t="n">
        <v>45187</v>
      </c>
      <c r="C98" s="1" t="n">
        <v>46049</v>
      </c>
      <c r="D98" t="inlineStr">
        <is>
          <t>UPPSALA LÄN</t>
        </is>
      </c>
      <c r="E98" t="inlineStr">
        <is>
          <t>KNIVSTA</t>
        </is>
      </c>
      <c r="F98" t="inlineStr">
        <is>
          <t>Kyrkan</t>
        </is>
      </c>
      <c r="G98" t="n">
        <v>1.7</v>
      </c>
      <c r="H98" t="n">
        <v>0</v>
      </c>
      <c r="I98" t="n">
        <v>0</v>
      </c>
      <c r="J98" t="n">
        <v>0</v>
      </c>
      <c r="K98" t="n">
        <v>0</v>
      </c>
      <c r="L98" t="n">
        <v>0</v>
      </c>
      <c r="M98" t="n">
        <v>0</v>
      </c>
      <c r="N98" t="n">
        <v>0</v>
      </c>
      <c r="O98" t="n">
        <v>0</v>
      </c>
      <c r="P98" t="n">
        <v>0</v>
      </c>
      <c r="Q98" t="n">
        <v>0</v>
      </c>
      <c r="R98" s="2" t="inlineStr"/>
    </row>
    <row r="99" ht="15" customHeight="1">
      <c r="A99" t="inlineStr">
        <is>
          <t>A 5402-2023</t>
        </is>
      </c>
      <c r="B99" s="1" t="n">
        <v>44959</v>
      </c>
      <c r="C99" s="1" t="n">
        <v>46049</v>
      </c>
      <c r="D99" t="inlineStr">
        <is>
          <t>UPPSALA LÄN</t>
        </is>
      </c>
      <c r="E99" t="inlineStr">
        <is>
          <t>KNIVSTA</t>
        </is>
      </c>
      <c r="G99" t="n">
        <v>4.3</v>
      </c>
      <c r="H99" t="n">
        <v>0</v>
      </c>
      <c r="I99" t="n">
        <v>0</v>
      </c>
      <c r="J99" t="n">
        <v>0</v>
      </c>
      <c r="K99" t="n">
        <v>0</v>
      </c>
      <c r="L99" t="n">
        <v>0</v>
      </c>
      <c r="M99" t="n">
        <v>0</v>
      </c>
      <c r="N99" t="n">
        <v>0</v>
      </c>
      <c r="O99" t="n">
        <v>0</v>
      </c>
      <c r="P99" t="n">
        <v>0</v>
      </c>
      <c r="Q99" t="n">
        <v>0</v>
      </c>
      <c r="R99" s="2" t="inlineStr"/>
    </row>
    <row r="100" ht="15" customHeight="1">
      <c r="A100" t="inlineStr">
        <is>
          <t>A 34078-2022</t>
        </is>
      </c>
      <c r="B100" s="1" t="n">
        <v>44791</v>
      </c>
      <c r="C100" s="1" t="n">
        <v>46049</v>
      </c>
      <c r="D100" t="inlineStr">
        <is>
          <t>UPPSALA LÄN</t>
        </is>
      </c>
      <c r="E100" t="inlineStr">
        <is>
          <t>KNIVSTA</t>
        </is>
      </c>
      <c r="F100" t="inlineStr">
        <is>
          <t>Övriga statliga verk och myndigheter</t>
        </is>
      </c>
      <c r="G100" t="n">
        <v>1.8</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46049</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20505-2021</t>
        </is>
      </c>
      <c r="B102" s="1" t="n">
        <v>44313</v>
      </c>
      <c r="C102" s="1" t="n">
        <v>46049</v>
      </c>
      <c r="D102" t="inlineStr">
        <is>
          <t>UPPSALA LÄN</t>
        </is>
      </c>
      <c r="E102" t="inlineStr">
        <is>
          <t>KNIVSTA</t>
        </is>
      </c>
      <c r="G102" t="n">
        <v>2.9</v>
      </c>
      <c r="H102" t="n">
        <v>0</v>
      </c>
      <c r="I102" t="n">
        <v>0</v>
      </c>
      <c r="J102" t="n">
        <v>0</v>
      </c>
      <c r="K102" t="n">
        <v>0</v>
      </c>
      <c r="L102" t="n">
        <v>0</v>
      </c>
      <c r="M102" t="n">
        <v>0</v>
      </c>
      <c r="N102" t="n">
        <v>0</v>
      </c>
      <c r="O102" t="n">
        <v>0</v>
      </c>
      <c r="P102" t="n">
        <v>0</v>
      </c>
      <c r="Q102" t="n">
        <v>0</v>
      </c>
      <c r="R102" s="2" t="inlineStr"/>
    </row>
    <row r="103" ht="15" customHeight="1">
      <c r="A103" t="inlineStr">
        <is>
          <t>A 2629-2025</t>
        </is>
      </c>
      <c r="B103" s="1" t="n">
        <v>45675.6953587963</v>
      </c>
      <c r="C103" s="1" t="n">
        <v>46049</v>
      </c>
      <c r="D103" t="inlineStr">
        <is>
          <t>UPPSALA LÄN</t>
        </is>
      </c>
      <c r="E103" t="inlineStr">
        <is>
          <t>KNIVSTA</t>
        </is>
      </c>
      <c r="G103" t="n">
        <v>1.1</v>
      </c>
      <c r="H103" t="n">
        <v>0</v>
      </c>
      <c r="I103" t="n">
        <v>0</v>
      </c>
      <c r="J103" t="n">
        <v>0</v>
      </c>
      <c r="K103" t="n">
        <v>0</v>
      </c>
      <c r="L103" t="n">
        <v>0</v>
      </c>
      <c r="M103" t="n">
        <v>0</v>
      </c>
      <c r="N103" t="n">
        <v>0</v>
      </c>
      <c r="O103" t="n">
        <v>0</v>
      </c>
      <c r="P103" t="n">
        <v>0</v>
      </c>
      <c r="Q103" t="n">
        <v>0</v>
      </c>
      <c r="R103" s="2" t="inlineStr"/>
    </row>
    <row r="104" ht="15" customHeight="1">
      <c r="A104" t="inlineStr">
        <is>
          <t>A 5320-2023</t>
        </is>
      </c>
      <c r="B104" s="1" t="n">
        <v>44959</v>
      </c>
      <c r="C104" s="1" t="n">
        <v>46049</v>
      </c>
      <c r="D104" t="inlineStr">
        <is>
          <t>UPPSALA LÄN</t>
        </is>
      </c>
      <c r="E104" t="inlineStr">
        <is>
          <t>KNIVSTA</t>
        </is>
      </c>
      <c r="G104" t="n">
        <v>1.5</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46049</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16396-2025</t>
        </is>
      </c>
      <c r="B106" s="1" t="n">
        <v>45751.44219907407</v>
      </c>
      <c r="C106" s="1" t="n">
        <v>46049</v>
      </c>
      <c r="D106" t="inlineStr">
        <is>
          <t>UPPSALA LÄN</t>
        </is>
      </c>
      <c r="E106" t="inlineStr">
        <is>
          <t>KNIVSTA</t>
        </is>
      </c>
      <c r="G106" t="n">
        <v>5.1</v>
      </c>
      <c r="H106" t="n">
        <v>0</v>
      </c>
      <c r="I106" t="n">
        <v>0</v>
      </c>
      <c r="J106" t="n">
        <v>0</v>
      </c>
      <c r="K106" t="n">
        <v>0</v>
      </c>
      <c r="L106" t="n">
        <v>0</v>
      </c>
      <c r="M106" t="n">
        <v>0</v>
      </c>
      <c r="N106" t="n">
        <v>0</v>
      </c>
      <c r="O106" t="n">
        <v>0</v>
      </c>
      <c r="P106" t="n">
        <v>0</v>
      </c>
      <c r="Q106" t="n">
        <v>0</v>
      </c>
      <c r="R106" s="2" t="inlineStr"/>
    </row>
    <row r="107" ht="15" customHeight="1">
      <c r="A107" t="inlineStr">
        <is>
          <t>A 17091-2023</t>
        </is>
      </c>
      <c r="B107" s="1" t="n">
        <v>45034.53554398148</v>
      </c>
      <c r="C107" s="1" t="n">
        <v>46049</v>
      </c>
      <c r="D107" t="inlineStr">
        <is>
          <t>UPPSALA LÄN</t>
        </is>
      </c>
      <c r="E107" t="inlineStr">
        <is>
          <t>KNIVSTA</t>
        </is>
      </c>
      <c r="G107" t="n">
        <v>0.8</v>
      </c>
      <c r="H107" t="n">
        <v>0</v>
      </c>
      <c r="I107" t="n">
        <v>0</v>
      </c>
      <c r="J107" t="n">
        <v>0</v>
      </c>
      <c r="K107" t="n">
        <v>0</v>
      </c>
      <c r="L107" t="n">
        <v>0</v>
      </c>
      <c r="M107" t="n">
        <v>0</v>
      </c>
      <c r="N107" t="n">
        <v>0</v>
      </c>
      <c r="O107" t="n">
        <v>0</v>
      </c>
      <c r="P107" t="n">
        <v>0</v>
      </c>
      <c r="Q107" t="n">
        <v>0</v>
      </c>
      <c r="R107" s="2" t="inlineStr"/>
    </row>
    <row r="108" ht="15" customHeight="1">
      <c r="A108" t="inlineStr">
        <is>
          <t>A 2171-2024</t>
        </is>
      </c>
      <c r="B108" s="1" t="n">
        <v>45309</v>
      </c>
      <c r="C108" s="1" t="n">
        <v>46049</v>
      </c>
      <c r="D108" t="inlineStr">
        <is>
          <t>UPPSALA LÄN</t>
        </is>
      </c>
      <c r="E108" t="inlineStr">
        <is>
          <t>KNIVSTA</t>
        </is>
      </c>
      <c r="F108" t="inlineStr">
        <is>
          <t>Holmen skog AB</t>
        </is>
      </c>
      <c r="G108" t="n">
        <v>3.3</v>
      </c>
      <c r="H108" t="n">
        <v>0</v>
      </c>
      <c r="I108" t="n">
        <v>0</v>
      </c>
      <c r="J108" t="n">
        <v>0</v>
      </c>
      <c r="K108" t="n">
        <v>0</v>
      </c>
      <c r="L108" t="n">
        <v>0</v>
      </c>
      <c r="M108" t="n">
        <v>0</v>
      </c>
      <c r="N108" t="n">
        <v>0</v>
      </c>
      <c r="O108" t="n">
        <v>0</v>
      </c>
      <c r="P108" t="n">
        <v>0</v>
      </c>
      <c r="Q108" t="n">
        <v>0</v>
      </c>
      <c r="R108" s="2" t="inlineStr"/>
    </row>
    <row r="109" ht="15" customHeight="1">
      <c r="A109" t="inlineStr">
        <is>
          <t>A 21130-2025</t>
        </is>
      </c>
      <c r="B109" s="1" t="n">
        <v>45778.35857638889</v>
      </c>
      <c r="C109" s="1" t="n">
        <v>46049</v>
      </c>
      <c r="D109" t="inlineStr">
        <is>
          <t>UPPSALA LÄN</t>
        </is>
      </c>
      <c r="E109" t="inlineStr">
        <is>
          <t>KNIVSTA</t>
        </is>
      </c>
      <c r="G109" t="n">
        <v>2.2</v>
      </c>
      <c r="H109" t="n">
        <v>0</v>
      </c>
      <c r="I109" t="n">
        <v>0</v>
      </c>
      <c r="J109" t="n">
        <v>0</v>
      </c>
      <c r="K109" t="n">
        <v>0</v>
      </c>
      <c r="L109" t="n">
        <v>0</v>
      </c>
      <c r="M109" t="n">
        <v>0</v>
      </c>
      <c r="N109" t="n">
        <v>0</v>
      </c>
      <c r="O109" t="n">
        <v>0</v>
      </c>
      <c r="P109" t="n">
        <v>0</v>
      </c>
      <c r="Q109" t="n">
        <v>0</v>
      </c>
      <c r="R109" s="2" t="inlineStr"/>
    </row>
    <row r="110" ht="15" customHeight="1">
      <c r="A110" t="inlineStr">
        <is>
          <t>A 794-2024</t>
        </is>
      </c>
      <c r="B110" s="1" t="n">
        <v>45300.58149305556</v>
      </c>
      <c r="C110" s="1" t="n">
        <v>46049</v>
      </c>
      <c r="D110" t="inlineStr">
        <is>
          <t>UPPSALA LÄN</t>
        </is>
      </c>
      <c r="E110" t="inlineStr">
        <is>
          <t>KNIVSTA</t>
        </is>
      </c>
      <c r="G110" t="n">
        <v>1.6</v>
      </c>
      <c r="H110" t="n">
        <v>0</v>
      </c>
      <c r="I110" t="n">
        <v>0</v>
      </c>
      <c r="J110" t="n">
        <v>0</v>
      </c>
      <c r="K110" t="n">
        <v>0</v>
      </c>
      <c r="L110" t="n">
        <v>0</v>
      </c>
      <c r="M110" t="n">
        <v>0</v>
      </c>
      <c r="N110" t="n">
        <v>0</v>
      </c>
      <c r="O110" t="n">
        <v>0</v>
      </c>
      <c r="P110" t="n">
        <v>0</v>
      </c>
      <c r="Q110" t="n">
        <v>0</v>
      </c>
      <c r="R110" s="2" t="inlineStr"/>
    </row>
    <row r="111">
      <c r="A111" t="inlineStr">
        <is>
          <t>A 20902-2024</t>
        </is>
      </c>
      <c r="B111" s="1" t="n">
        <v>45439.48104166667</v>
      </c>
      <c r="C111" s="1" t="n">
        <v>46049</v>
      </c>
      <c r="D111" t="inlineStr">
        <is>
          <t>UPPSALA LÄN</t>
        </is>
      </c>
      <c r="E111" t="inlineStr">
        <is>
          <t>KNIVSTA</t>
        </is>
      </c>
      <c r="G111" t="n">
        <v>1</v>
      </c>
      <c r="H111" t="n">
        <v>0</v>
      </c>
      <c r="I111" t="n">
        <v>0</v>
      </c>
      <c r="J111" t="n">
        <v>0</v>
      </c>
      <c r="K111" t="n">
        <v>0</v>
      </c>
      <c r="L111" t="n">
        <v>0</v>
      </c>
      <c r="M111" t="n">
        <v>0</v>
      </c>
      <c r="N111" t="n">
        <v>0</v>
      </c>
      <c r="O111" t="n">
        <v>0</v>
      </c>
      <c r="P111" t="n">
        <v>0</v>
      </c>
      <c r="Q111" t="n">
        <v>0</v>
      </c>
      <c r="R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2026-01-27T11:00:46Z</dcterms:created>
  <dcterms:modified xmlns:dcterms="http://purl.org/dc/terms/" xmlns:xsi="http://www.w3.org/2001/XMLSchema-instance" xsi:type="dcterms:W3CDTF">2026-01-27T11:00:46Z</dcterms:modified>
</cp:coreProperties>
</file>