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46231</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46231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46231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46231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46231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46231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46231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46231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46231</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46231</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46231</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46231</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46231</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46231</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46231</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46231</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46231</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46231</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46231</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46231</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46231</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46231</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12991-2026</t>
        </is>
      </c>
      <c r="B24" t="inlineStr">
        <is>
          <t>avverkningsanmälan</t>
        </is>
      </c>
      <c r="C24" t="inlineStr">
        <is>
          <t>Föryngringsavverkning</t>
        </is>
      </c>
      <c r="D24" s="1" t="n">
        <v>46092</v>
      </c>
      <c r="E24" s="1" t="n">
        <v>46231</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13002-2026</t>
        </is>
      </c>
      <c r="B25" t="inlineStr">
        <is>
          <t>avverkningsanmälan</t>
        </is>
      </c>
      <c r="C25" t="inlineStr">
        <is>
          <t>Föryngringsavverkning</t>
        </is>
      </c>
      <c r="D25" s="1" t="n">
        <v>46092</v>
      </c>
      <c r="E25" s="1" t="n">
        <v>46231</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13380-2026</t>
        </is>
      </c>
      <c r="B26" t="inlineStr">
        <is>
          <t>avverkningsanmälan</t>
        </is>
      </c>
      <c r="C26" t="inlineStr">
        <is>
          <t>Föryngringsavverkning</t>
        </is>
      </c>
      <c r="D26" s="1" t="n">
        <v>46094</v>
      </c>
      <c r="E26" s="1" t="n">
        <v>46231</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11405-2025</t>
        </is>
      </c>
      <c r="B27" t="inlineStr">
        <is>
          <t>avverkningsanmälan</t>
        </is>
      </c>
      <c r="C27" t="inlineStr">
        <is>
          <t>Föryngringsavverkning</t>
        </is>
      </c>
      <c r="D27" s="1" t="n">
        <v>45726</v>
      </c>
      <c r="E27" s="1" t="n">
        <v>46231</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t="n">
        <v>0</v>
      </c>
      <c r="V27" s="2" t="inlineStr">
        <is>
          <t>Fältgentiana</t>
        </is>
      </c>
      <c r="W27">
        <f>HYPERLINK("https://klasma.github.io/Logging_0330/artfynd/A 11405-2025 artfynd.xlsx", "A 11405-2025")</f>
        <v/>
      </c>
      <c r="X27">
        <f>HYPERLINK("https://klasma.github.io/Logging_0330/kartor/A 11405-2025 karta.png", "A 11405-2025")</f>
        <v/>
      </c>
      <c r="Y27">
        <f>HYPERLINK("https://klasma.github.io/Logging_0330/kartor_geotiff/A 11405-2025 georefererad karta.tif", "A 11405-2025")</f>
        <v/>
      </c>
      <c r="AA27">
        <f>HYPERLINK("https://klasma.github.io/Logging_0330/klagomål/A 11405-2025 FSC-klagomål.docx", "A 11405-2025")</f>
        <v/>
      </c>
      <c r="AB27">
        <f>HYPERLINK("https://klasma.github.io/Logging_0330/klagomålsmail/A 11405-2025 FSC-klagomål mail.docx", "A 11405-2025")</f>
        <v/>
      </c>
      <c r="AC27">
        <f>HYPERLINK("https://klasma.github.io/Logging_0330/tillsyn/A 11405-2025 tillsynsbegäran.docx", "A 11405-2025")</f>
        <v/>
      </c>
      <c r="AD27">
        <f>HYPERLINK("https://klasma.github.io/Logging_0330/tillsynsmail/A 11405-2025 tillsynsbegäran mail.docx", "A 11405-2025")</f>
        <v/>
      </c>
    </row>
    <row r="28" ht="15" customHeight="1">
      <c r="A28" t="inlineStr">
        <is>
          <t>A 33770-2023</t>
        </is>
      </c>
      <c r="B28" t="inlineStr">
        <is>
          <t>avverkningsanmälan</t>
        </is>
      </c>
      <c r="C28" t="inlineStr">
        <is>
          <t>Föryngringsavverkning</t>
        </is>
      </c>
      <c r="D28" s="1" t="n">
        <v>45133</v>
      </c>
      <c r="E28" s="1" t="n">
        <v>46231</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60885-2021</t>
        </is>
      </c>
      <c r="B29" t="inlineStr">
        <is>
          <t>avverkningsanmälan</t>
        </is>
      </c>
      <c r="C29" t="inlineStr">
        <is>
          <t>Föryngringsavverkning</t>
        </is>
      </c>
      <c r="D29" s="1" t="n">
        <v>44497</v>
      </c>
      <c r="E29" s="1" t="n">
        <v>46231</v>
      </c>
      <c r="F29" t="inlineStr">
        <is>
          <t>UPPSALA LÄN</t>
        </is>
      </c>
      <c r="G29" t="inlineStr">
        <is>
          <t>KNIVSTA</t>
        </is>
      </c>
      <c r="I29" t="n">
        <v>1.5</v>
      </c>
      <c r="J29" t="n">
        <v>0</v>
      </c>
      <c r="K29" t="n">
        <v>1</v>
      </c>
      <c r="L29" t="n">
        <v>0</v>
      </c>
      <c r="M29" t="n">
        <v>0</v>
      </c>
      <c r="N29" t="n">
        <v>0</v>
      </c>
      <c r="O29" t="n">
        <v>0</v>
      </c>
      <c r="P29" t="n">
        <v>0</v>
      </c>
      <c r="Q29" t="n">
        <v>0</v>
      </c>
      <c r="R29" t="n">
        <v>0</v>
      </c>
      <c r="S29" t="n">
        <v>1</v>
      </c>
      <c r="T29" t="n">
        <v>1</v>
      </c>
      <c r="U29" t="n">
        <v>1</v>
      </c>
      <c r="V29" s="2" t="inlineStr">
        <is>
          <t>Sotlav</t>
        </is>
      </c>
      <c r="W29">
        <f>HYPERLINK("https://klasma.github.io/Logging_0330/artfynd/A 60885-2021 artfynd.xlsx", "A 60885-2021")</f>
        <v/>
      </c>
      <c r="X29">
        <f>HYPERLINK("https://klasma.github.io/Logging_0330/kartor/A 60885-2021 karta.png", "A 60885-2021")</f>
        <v/>
      </c>
      <c r="Y29">
        <f>HYPERLINK("https://klasma.github.io/Logging_0330/kartor_geotiff/A 60885-2021 georefererad karta.tif", "A 60885-2021")</f>
        <v/>
      </c>
      <c r="AA29">
        <f>HYPERLINK("https://klasma.github.io/Logging_0330/klagomål/A 60885-2021 FSC-klagomål.docx", "A 60885-2021")</f>
        <v/>
      </c>
      <c r="AB29">
        <f>HYPERLINK("https://klasma.github.io/Logging_0330/klagomålsmail/A 60885-2021 FSC-klagomål mail.docx", "A 60885-2021")</f>
        <v/>
      </c>
      <c r="AC29">
        <f>HYPERLINK("https://klasma.github.io/Logging_0330/tillsyn/A 60885-2021 tillsynsbegäran.docx", "A 60885-2021")</f>
        <v/>
      </c>
      <c r="AD29">
        <f>HYPERLINK("https://klasma.github.io/Logging_0330/tillsynsmail/A 60885-2021 tillsynsbegäran mail.docx", "A 60885-2021")</f>
        <v/>
      </c>
    </row>
    <row r="30" ht="15" customHeight="1">
      <c r="A30" t="inlineStr">
        <is>
          <t>A 66305-2021</t>
        </is>
      </c>
      <c r="B30" t="inlineStr">
        <is>
          <t>avverkningsanmälan</t>
        </is>
      </c>
      <c r="C30" t="inlineStr">
        <is>
          <t>Föryngringsavverkning</t>
        </is>
      </c>
      <c r="D30" s="1" t="n">
        <v>44518</v>
      </c>
      <c r="E30" s="1" t="n">
        <v>46231</v>
      </c>
      <c r="F30" t="inlineStr">
        <is>
          <t>UPPSALA LÄN</t>
        </is>
      </c>
      <c r="G30" t="inlineStr">
        <is>
          <t>KNIVSTA</t>
        </is>
      </c>
      <c r="I30" t="n">
        <v>8.300000000000001</v>
      </c>
      <c r="J30" t="n">
        <v>0</v>
      </c>
      <c r="K30" t="n">
        <v>0</v>
      </c>
      <c r="L30" t="n">
        <v>0</v>
      </c>
      <c r="M30" t="n">
        <v>1</v>
      </c>
      <c r="N30" t="n">
        <v>0</v>
      </c>
      <c r="O30" t="n">
        <v>0</v>
      </c>
      <c r="P30" t="n">
        <v>0</v>
      </c>
      <c r="Q30" t="n">
        <v>1</v>
      </c>
      <c r="R30" t="n">
        <v>1</v>
      </c>
      <c r="S30" t="n">
        <v>1</v>
      </c>
      <c r="T30" t="n">
        <v>1</v>
      </c>
      <c r="U30" t="n">
        <v>1</v>
      </c>
      <c r="V30" s="2" t="inlineStr">
        <is>
          <t>Silverblåvinge</t>
        </is>
      </c>
      <c r="W30">
        <f>HYPERLINK("https://klasma.github.io/Logging_0330/artfynd/A 66305-2021 artfynd.xlsx", "A 66305-2021")</f>
        <v/>
      </c>
      <c r="X30">
        <f>HYPERLINK("https://klasma.github.io/Logging_0330/kartor/A 66305-2021 karta.png", "A 66305-2021")</f>
        <v/>
      </c>
      <c r="Y30">
        <f>HYPERLINK("https://klasma.github.io/Logging_0330/kartor_geotiff/A 66305-2021 georefererad karta.tif", "A 66305-2021")</f>
        <v/>
      </c>
      <c r="AA30">
        <f>HYPERLINK("https://klasma.github.io/Logging_0330/klagomål/A 66305-2021 FSC-klagomål.docx", "A 66305-2021")</f>
        <v/>
      </c>
      <c r="AB30">
        <f>HYPERLINK("https://klasma.github.io/Logging_0330/klagomålsmail/A 66305-2021 FSC-klagomål mail.docx", "A 66305-2021")</f>
        <v/>
      </c>
      <c r="AC30">
        <f>HYPERLINK("https://klasma.github.io/Logging_0330/tillsyn/A 66305-2021 tillsynsbegäran.docx", "A 66305-2021")</f>
        <v/>
      </c>
      <c r="AD30">
        <f>HYPERLINK("https://klasma.github.io/Logging_0330/tillsynsmail/A 66305-2021 tillsynsbegäran mail.docx", "A 66305-2021")</f>
        <v/>
      </c>
    </row>
    <row r="31" ht="15" customHeight="1">
      <c r="A31" t="inlineStr">
        <is>
          <t>A 5402-2023</t>
        </is>
      </c>
      <c r="B31" t="inlineStr">
        <is>
          <t>avverkningsanmälan</t>
        </is>
      </c>
      <c r="C31" t="inlineStr">
        <is>
          <t>Föryngringsavverkning</t>
        </is>
      </c>
      <c r="D31" s="1" t="n">
        <v>44959</v>
      </c>
      <c r="E31" s="1" t="n">
        <v>46231</v>
      </c>
      <c r="F31" t="inlineStr">
        <is>
          <t>UPPSALA LÄN</t>
        </is>
      </c>
      <c r="G31" t="inlineStr">
        <is>
          <t>KNIVSTA</t>
        </is>
      </c>
      <c r="I31" t="n">
        <v>4.3</v>
      </c>
      <c r="J31" t="n">
        <v>0</v>
      </c>
      <c r="K31" t="n">
        <v>0</v>
      </c>
      <c r="L31" t="n">
        <v>0</v>
      </c>
      <c r="M31" t="n">
        <v>1</v>
      </c>
      <c r="N31" t="n">
        <v>0</v>
      </c>
      <c r="O31" t="n">
        <v>0</v>
      </c>
      <c r="P31" t="n">
        <v>0</v>
      </c>
      <c r="Q31" t="n">
        <v>1</v>
      </c>
      <c r="R31" t="n">
        <v>1</v>
      </c>
      <c r="S31" t="n">
        <v>1</v>
      </c>
      <c r="T31" t="n">
        <v>1</v>
      </c>
      <c r="U31" t="n">
        <v>0</v>
      </c>
      <c r="V31" s="2" t="inlineStr">
        <is>
          <t>Askfingersvamp</t>
        </is>
      </c>
      <c r="W31">
        <f>HYPERLINK("https://klasma.github.io/Logging_0330/artfynd/A 5402-2023 artfynd.xlsx", "A 5402-2023")</f>
        <v/>
      </c>
      <c r="X31">
        <f>HYPERLINK("https://klasma.github.io/Logging_0330/kartor/A 5402-2023 karta.png", "A 5402-2023")</f>
        <v/>
      </c>
      <c r="Y31">
        <f>HYPERLINK("https://klasma.github.io/Logging_0330/kartor_geotiff/A 5402-2023 georefererad karta.tif", "A 5402-2023")</f>
        <v/>
      </c>
      <c r="AA31">
        <f>HYPERLINK("https://klasma.github.io/Logging_0330/klagomål/A 5402-2023 FSC-klagomål.docx", "A 5402-2023")</f>
        <v/>
      </c>
      <c r="AB31">
        <f>HYPERLINK("https://klasma.github.io/Logging_0330/klagomålsmail/A 5402-2023 FSC-klagomål mail.docx", "A 5402-2023")</f>
        <v/>
      </c>
      <c r="AC31">
        <f>HYPERLINK("https://klasma.github.io/Logging_0330/tillsyn/A 5402-2023 tillsynsbegäran.docx", "A 5402-2023")</f>
        <v/>
      </c>
      <c r="AD31">
        <f>HYPERLINK("https://klasma.github.io/Logging_0330/tillsynsmail/A 5402-2023 tillsynsbegäran mail.docx", "A 5402-2023")</f>
        <v/>
      </c>
    </row>
    <row r="32" ht="15" customHeight="1">
      <c r="A32" t="inlineStr">
        <is>
          <t>A 2171-2024</t>
        </is>
      </c>
      <c r="B32" t="inlineStr">
        <is>
          <t>avverkningsanmälan</t>
        </is>
      </c>
      <c r="C32" t="inlineStr">
        <is>
          <t>Föryngringsavverkning</t>
        </is>
      </c>
      <c r="D32" s="1" t="n">
        <v>45309</v>
      </c>
      <c r="E32" s="1" t="n">
        <v>46231</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46231</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46231</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46231</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46231</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46231</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46231</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46231</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46231</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46231</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46231</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46231</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46231</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46231</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46231</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46231</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20902-2024</t>
        </is>
      </c>
      <c r="B48" t="inlineStr">
        <is>
          <t>avverkningsanmälan</t>
        </is>
      </c>
      <c r="C48" t="inlineStr">
        <is>
          <t>Föryngringsavverkning</t>
        </is>
      </c>
      <c r="D48" s="1" t="n">
        <v>45439</v>
      </c>
      <c r="E48" s="1" t="n">
        <v>46231</v>
      </c>
      <c r="F48" t="inlineStr">
        <is>
          <t>UPPSALA LÄN</t>
        </is>
      </c>
      <c r="G48" t="inlineStr">
        <is>
          <t>KNIVSTA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662-2026</t>
        </is>
      </c>
      <c r="B49" t="inlineStr">
        <is>
          <t>avverkningsanmälan</t>
        </is>
      </c>
      <c r="C49" t="inlineStr">
        <is>
          <t>Föryngringsavverkning</t>
        </is>
      </c>
      <c r="D49" s="1" t="n">
        <v>46029</v>
      </c>
      <c r="E49" s="1" t="n">
        <v>46231</v>
      </c>
      <c r="F49" t="inlineStr">
        <is>
          <t>UPPSALA LÄN</t>
        </is>
      </c>
      <c r="G49" t="inlineStr">
        <is>
          <t>KNIVSTA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5276-2026</t>
        </is>
      </c>
      <c r="B50" t="inlineStr">
        <is>
          <t>avverkningsanmälan</t>
        </is>
      </c>
      <c r="C50" t="inlineStr">
        <is>
          <t>Föryngringsavverkning</t>
        </is>
      </c>
      <c r="D50" s="1" t="n">
        <v>46037</v>
      </c>
      <c r="E50" s="1" t="n">
        <v>46231</v>
      </c>
      <c r="F50" t="inlineStr">
        <is>
          <t>UPPSALA LÄN</t>
        </is>
      </c>
      <c r="G50" t="inlineStr">
        <is>
          <t>KNIVSTA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3375-2026</t>
        </is>
      </c>
      <c r="B51" t="inlineStr">
        <is>
          <t>avverkningsanmälan</t>
        </is>
      </c>
      <c r="C51" t="inlineStr">
        <is>
          <t>Föryngringsavverkning</t>
        </is>
      </c>
      <c r="D51" s="1" t="n">
        <v>46042</v>
      </c>
      <c r="E51" s="1" t="n">
        <v>46231</v>
      </c>
      <c r="F51" t="inlineStr">
        <is>
          <t>UPPSALA LÄN</t>
        </is>
      </c>
      <c r="G51" t="inlineStr">
        <is>
          <t>KNIVSTA</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3824-2026</t>
        </is>
      </c>
      <c r="B52" t="inlineStr">
        <is>
          <t>avverkningsanmälan</t>
        </is>
      </c>
      <c r="C52" t="inlineStr">
        <is>
          <t>Föryngringsavverkning</t>
        </is>
      </c>
      <c r="D52" s="1" t="n">
        <v>46043</v>
      </c>
      <c r="E52" s="1" t="n">
        <v>46231</v>
      </c>
      <c r="F52" t="inlineStr">
        <is>
          <t>UPPSALA LÄN</t>
        </is>
      </c>
      <c r="G52" t="inlineStr">
        <is>
          <t>KNIVSTA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5908-2026</t>
        </is>
      </c>
      <c r="B53" t="inlineStr">
        <is>
          <t>avverkningsanmälan</t>
        </is>
      </c>
      <c r="C53" t="inlineStr">
        <is>
          <t>Föryngringsavverkning</t>
        </is>
      </c>
      <c r="D53" s="1" t="n">
        <v>46052</v>
      </c>
      <c r="E53" s="1" t="n">
        <v>46231</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5910-2026</t>
        </is>
      </c>
      <c r="B54" t="inlineStr">
        <is>
          <t>avverkningsanmälan</t>
        </is>
      </c>
      <c r="C54" t="inlineStr">
        <is>
          <t>Föryngringsavverkning</t>
        </is>
      </c>
      <c r="D54" s="1" t="n">
        <v>46052</v>
      </c>
      <c r="E54" s="1" t="n">
        <v>46231</v>
      </c>
      <c r="F54" t="inlineStr">
        <is>
          <t>UPPSALA LÄN</t>
        </is>
      </c>
      <c r="G54" t="inlineStr">
        <is>
          <t>KNIVSTA</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9744-2026</t>
        </is>
      </c>
      <c r="B55" t="inlineStr">
        <is>
          <t>avverkningsanmälan</t>
        </is>
      </c>
      <c r="C55" t="inlineStr">
        <is>
          <t>Föryngringsavverkning</t>
        </is>
      </c>
      <c r="D55" s="1" t="n">
        <v>46072</v>
      </c>
      <c r="E55" s="1" t="n">
        <v>46231</v>
      </c>
      <c r="F55" t="inlineStr">
        <is>
          <t>UPPSALA LÄN</t>
        </is>
      </c>
      <c r="G55" t="inlineStr">
        <is>
          <t>KNIVSTA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11841-2023</t>
        </is>
      </c>
      <c r="B56" t="inlineStr">
        <is>
          <t>avverkningsanmälan</t>
        </is>
      </c>
      <c r="C56" t="inlineStr">
        <is>
          <t>Föryngringsavverkning</t>
        </is>
      </c>
      <c r="D56" s="1" t="n">
        <v>44995</v>
      </c>
      <c r="E56" s="1" t="n">
        <v>46231</v>
      </c>
      <c r="F56" t="inlineStr">
        <is>
          <t>UPPSALA LÄN</t>
        </is>
      </c>
      <c r="G56" t="inlineStr">
        <is>
          <t>KNIVSTA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34864-2025</t>
        </is>
      </c>
      <c r="B57" t="inlineStr">
        <is>
          <t>avverkningsanmälan</t>
        </is>
      </c>
      <c r="C57" t="inlineStr">
        <is>
          <t>Föryngringsavverkning</t>
        </is>
      </c>
      <c r="D57" s="1" t="n">
        <v>45849</v>
      </c>
      <c r="E57" s="1" t="n">
        <v>46231</v>
      </c>
      <c r="F57" t="inlineStr">
        <is>
          <t>UPPSALA LÄN</t>
        </is>
      </c>
      <c r="G57" t="inlineStr">
        <is>
          <t>KNIVSTA</t>
        </is>
      </c>
      <c r="H57" t="inlineStr">
        <is>
          <t>Holmen skog AB</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35318-2025</t>
        </is>
      </c>
      <c r="B58" t="inlineStr">
        <is>
          <t>avverkningsanmälan</t>
        </is>
      </c>
      <c r="C58" t="inlineStr">
        <is>
          <t>Föryngringsavverkning</t>
        </is>
      </c>
      <c r="D58" s="1" t="n">
        <v>45854</v>
      </c>
      <c r="E58" s="1" t="n">
        <v>46231</v>
      </c>
      <c r="F58" t="inlineStr">
        <is>
          <t>UPPSALA LÄN</t>
        </is>
      </c>
      <c r="G58" t="inlineStr">
        <is>
          <t>KNIVSTA</t>
        </is>
      </c>
      <c r="H58" t="inlineStr">
        <is>
          <t>Holmen skog AB</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30351-2022</t>
        </is>
      </c>
      <c r="B59" t="inlineStr">
        <is>
          <t>avverkningsanmälan</t>
        </is>
      </c>
      <c r="C59" t="inlineStr">
        <is>
          <t>Föryngringsavverkning</t>
        </is>
      </c>
      <c r="D59" s="1" t="n">
        <v>44757</v>
      </c>
      <c r="E59" s="1" t="n">
        <v>46231</v>
      </c>
      <c r="F59" t="inlineStr">
        <is>
          <t>UPPSALA LÄN</t>
        </is>
      </c>
      <c r="G59" t="inlineStr">
        <is>
          <t>KNIVSTA</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11847-2023</t>
        </is>
      </c>
      <c r="B60" t="inlineStr">
        <is>
          <t>avverkningsanmälan</t>
        </is>
      </c>
      <c r="C60" t="inlineStr">
        <is>
          <t>Föryngringsavverkning</t>
        </is>
      </c>
      <c r="D60" s="1" t="n">
        <v>44995</v>
      </c>
      <c r="E60" s="1" t="n">
        <v>46231</v>
      </c>
      <c r="F60" t="inlineStr">
        <is>
          <t>UPPSALA LÄN</t>
        </is>
      </c>
      <c r="G60" t="inlineStr">
        <is>
          <t>KNIVSTA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11450-2023</t>
        </is>
      </c>
      <c r="B61" t="inlineStr">
        <is>
          <t>avverkningsanmälan</t>
        </is>
      </c>
      <c r="C61" t="inlineStr">
        <is>
          <t>Föryngringsavverkning</t>
        </is>
      </c>
      <c r="D61" s="1" t="n">
        <v>44993</v>
      </c>
      <c r="E61" s="1" t="n">
        <v>46231</v>
      </c>
      <c r="F61" t="inlineStr">
        <is>
          <t>UPPSALA LÄN</t>
        </is>
      </c>
      <c r="G61" t="inlineStr">
        <is>
          <t>KNIVSTA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12027-2026</t>
        </is>
      </c>
      <c r="B62" t="inlineStr">
        <is>
          <t>avverkningsanmälan</t>
        </is>
      </c>
      <c r="C62" t="inlineStr">
        <is>
          <t>Avverkning för annat ändamål</t>
        </is>
      </c>
      <c r="D62" s="1" t="n">
        <v>46085</v>
      </c>
      <c r="E62" s="1" t="n">
        <v>46231</v>
      </c>
      <c r="F62" t="inlineStr">
        <is>
          <t>UPPSALA LÄN</t>
        </is>
      </c>
      <c r="G62" t="inlineStr">
        <is>
          <t>KNIVSTA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36473-2025</t>
        </is>
      </c>
      <c r="B63" t="inlineStr">
        <is>
          <t>avverkningsanmälan</t>
        </is>
      </c>
      <c r="C63" t="inlineStr">
        <is>
          <t>Föryngringsavverkning</t>
        </is>
      </c>
      <c r="D63" s="1" t="n">
        <v>45869</v>
      </c>
      <c r="E63" s="1" t="n">
        <v>46231</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31875-2022</t>
        </is>
      </c>
      <c r="B64" t="inlineStr">
        <is>
          <t>avverkningsanmälan</t>
        </is>
      </c>
      <c r="C64" t="inlineStr">
        <is>
          <t>Föryngringsavverkning</t>
        </is>
      </c>
      <c r="D64" s="1" t="n">
        <v>44777</v>
      </c>
      <c r="E64" s="1" t="n">
        <v>46231</v>
      </c>
      <c r="F64" t="inlineStr">
        <is>
          <t>UPPSALA LÄN</t>
        </is>
      </c>
      <c r="G64" t="inlineStr">
        <is>
          <t>KNIVSTA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12774-2026</t>
        </is>
      </c>
      <c r="B65" t="inlineStr">
        <is>
          <t>avverkningsanmälan</t>
        </is>
      </c>
      <c r="C65" t="inlineStr">
        <is>
          <t>Föryngringsavverkning</t>
        </is>
      </c>
      <c r="D65" s="1" t="n">
        <v>46091</v>
      </c>
      <c r="E65" s="1" t="n">
        <v>46231</v>
      </c>
      <c r="F65" t="inlineStr">
        <is>
          <t>UPPSALA LÄN</t>
        </is>
      </c>
      <c r="G65" t="inlineStr">
        <is>
          <t>KNIVSTA</t>
        </is>
      </c>
      <c r="H65" t="inlineStr">
        <is>
          <t>Holmen skog AB</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13013-2026</t>
        </is>
      </c>
      <c r="B66" t="inlineStr">
        <is>
          <t>avverkningsanmälan</t>
        </is>
      </c>
      <c r="C66" t="inlineStr">
        <is>
          <t>Föryngringsavverkning</t>
        </is>
      </c>
      <c r="D66" s="1" t="n">
        <v>46092</v>
      </c>
      <c r="E66" s="1" t="n">
        <v>46231</v>
      </c>
      <c r="F66" t="inlineStr">
        <is>
          <t>UPPSALA LÄN</t>
        </is>
      </c>
      <c r="G66" t="inlineStr">
        <is>
          <t>KNIVSTA</t>
        </is>
      </c>
      <c r="H66" t="inlineStr">
        <is>
          <t>Holmen skog AB</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13011-2026</t>
        </is>
      </c>
      <c r="B67" t="inlineStr">
        <is>
          <t>avverkningsanmälan</t>
        </is>
      </c>
      <c r="C67" t="inlineStr">
        <is>
          <t>Föryngringsavverkning</t>
        </is>
      </c>
      <c r="D67" s="1" t="n">
        <v>46092</v>
      </c>
      <c r="E67" s="1" t="n">
        <v>46231</v>
      </c>
      <c r="F67" t="inlineStr">
        <is>
          <t>UPPSALA LÄN</t>
        </is>
      </c>
      <c r="G67" t="inlineStr">
        <is>
          <t>KNIVSTA</t>
        </is>
      </c>
      <c r="H67" t="inlineStr">
        <is>
          <t>Holmen skog AB</t>
        </is>
      </c>
      <c r="I67" t="n">
        <v>1.9</v>
      </c>
      <c r="J67" t="n">
        <v>0</v>
      </c>
      <c r="K67" t="n">
        <v>0</v>
      </c>
      <c r="L67" t="n">
        <v>0</v>
      </c>
      <c r="M67" t="n">
        <v>0</v>
      </c>
      <c r="N67" t="n">
        <v>0</v>
      </c>
      <c r="O67" t="n">
        <v>0</v>
      </c>
      <c r="P67" t="n">
        <v>0</v>
      </c>
      <c r="Q67" t="n">
        <v>0</v>
      </c>
      <c r="R67" t="n">
        <v>0</v>
      </c>
      <c r="S67" t="n">
        <v>0</v>
      </c>
      <c r="T67" t="n">
        <v>0</v>
      </c>
      <c r="U67" t="n">
        <v>0</v>
      </c>
      <c r="V67" s="2" t="inlineStr"/>
      <c r="Z67">
        <f>HYPERLINK("https://klasma.github.io/Logging_0330/knärot/A 13011-2026 karta knärot.png", "A 13011-2026")</f>
        <v/>
      </c>
      <c r="AA67">
        <f>HYPERLINK("https://klasma.github.io/Logging_0330/klagomål/A 13011-2026 FSC-klagomål.docx", "A 13011-2026")</f>
        <v/>
      </c>
      <c r="AB67">
        <f>HYPERLINK("https://klasma.github.io/Logging_0330/klagomålsmail/A 13011-2026 FSC-klagomål mail.docx", "A 13011-2026")</f>
        <v/>
      </c>
      <c r="AC67">
        <f>HYPERLINK("https://klasma.github.io/Logging_0330/tillsyn/A 13011-2026 tillsynsbegäran.docx", "A 13011-2026")</f>
        <v/>
      </c>
      <c r="AD67">
        <f>HYPERLINK("https://klasma.github.io/Logging_0330/tillsynsmail/A 13011-2026 tillsynsbegäran mail.docx", "A 13011-2026")</f>
        <v/>
      </c>
    </row>
    <row r="68" ht="15" customHeight="1">
      <c r="A68" t="inlineStr">
        <is>
          <t>A 13016-2026</t>
        </is>
      </c>
      <c r="B68" t="inlineStr">
        <is>
          <t>avverkningsanmälan</t>
        </is>
      </c>
      <c r="C68" t="inlineStr">
        <is>
          <t>Föryngringsavverkning</t>
        </is>
      </c>
      <c r="D68" s="1" t="n">
        <v>46092</v>
      </c>
      <c r="E68" s="1" t="n">
        <v>46231</v>
      </c>
      <c r="F68" t="inlineStr">
        <is>
          <t>UPPSALA LÄN</t>
        </is>
      </c>
      <c r="G68" t="inlineStr">
        <is>
          <t>KNIVSTA</t>
        </is>
      </c>
      <c r="H68" t="inlineStr">
        <is>
          <t>Holmen skog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13001-2026</t>
        </is>
      </c>
      <c r="B69" t="inlineStr">
        <is>
          <t>avverkningsanmälan</t>
        </is>
      </c>
      <c r="C69" t="inlineStr">
        <is>
          <t>Föryngringsavverkning</t>
        </is>
      </c>
      <c r="D69" s="1" t="n">
        <v>46092</v>
      </c>
      <c r="E69" s="1" t="n">
        <v>46231</v>
      </c>
      <c r="F69" t="inlineStr">
        <is>
          <t>UPPSALA LÄN</t>
        </is>
      </c>
      <c r="G69" t="inlineStr">
        <is>
          <t>KNIVSTA</t>
        </is>
      </c>
      <c r="H69" t="inlineStr">
        <is>
          <t>Holmen skog AB</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13005-2026</t>
        </is>
      </c>
      <c r="B70" t="inlineStr">
        <is>
          <t>avverkningsanmälan</t>
        </is>
      </c>
      <c r="C70" t="inlineStr">
        <is>
          <t>Föryngringsavverkning</t>
        </is>
      </c>
      <c r="D70" s="1" t="n">
        <v>46092</v>
      </c>
      <c r="E70" s="1" t="n">
        <v>46231</v>
      </c>
      <c r="F70" t="inlineStr">
        <is>
          <t>UPPSALA LÄN</t>
        </is>
      </c>
      <c r="G70" t="inlineStr">
        <is>
          <t>KNIVSTA</t>
        </is>
      </c>
      <c r="H70" t="inlineStr">
        <is>
          <t>Holmen skog AB</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23239-2023</t>
        </is>
      </c>
      <c r="B71" t="inlineStr">
        <is>
          <t>avverkningsanmälan</t>
        </is>
      </c>
      <c r="C71" t="inlineStr">
        <is>
          <t>Föryngringsavverkning</t>
        </is>
      </c>
      <c r="D71" s="1" t="n">
        <v>45075</v>
      </c>
      <c r="E71" s="1" t="n">
        <v>46231</v>
      </c>
      <c r="F71" t="inlineStr">
        <is>
          <t>UPPSALA LÄN</t>
        </is>
      </c>
      <c r="G71" t="inlineStr">
        <is>
          <t>KNIVSTA</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19774-2026</t>
        </is>
      </c>
      <c r="B72" t="inlineStr">
        <is>
          <t>avverkningsanmälan</t>
        </is>
      </c>
      <c r="C72" t="inlineStr">
        <is>
          <t>Föryngringsavverkning</t>
        </is>
      </c>
      <c r="D72" s="1" t="n">
        <v>46135</v>
      </c>
      <c r="E72" s="1" t="n">
        <v>46231</v>
      </c>
      <c r="F72" t="inlineStr">
        <is>
          <t>UPPSALA LÄN</t>
        </is>
      </c>
      <c r="G72" t="inlineStr">
        <is>
          <t>KNIVSTA</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45453-2025</t>
        </is>
      </c>
      <c r="B73" t="inlineStr">
        <is>
          <t>avverkningsanmälan</t>
        </is>
      </c>
      <c r="C73" t="inlineStr">
        <is>
          <t>Föryngringsavverkning</t>
        </is>
      </c>
      <c r="D73" s="1" t="n">
        <v>45922</v>
      </c>
      <c r="E73" s="1" t="n">
        <v>46231</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66293-2021</t>
        </is>
      </c>
      <c r="B74" t="inlineStr">
        <is>
          <t>avverkningsanmälan</t>
        </is>
      </c>
      <c r="C74" t="inlineStr">
        <is>
          <t>Föryngringsavverkning</t>
        </is>
      </c>
      <c r="D74" s="1" t="n">
        <v>44518</v>
      </c>
      <c r="E74" s="1" t="n">
        <v>46231</v>
      </c>
      <c r="F74" t="inlineStr">
        <is>
          <t>UPPSALA LÄN</t>
        </is>
      </c>
      <c r="G74" t="inlineStr">
        <is>
          <t>KNIVSTA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52666-2025</t>
        </is>
      </c>
      <c r="B75" t="inlineStr">
        <is>
          <t>avverkningsanmälan</t>
        </is>
      </c>
      <c r="C75" t="inlineStr">
        <is>
          <t>Föryngringsavverkning</t>
        </is>
      </c>
      <c r="D75" s="1" t="n">
        <v>45955</v>
      </c>
      <c r="E75" s="1" t="n">
        <v>46231</v>
      </c>
      <c r="F75" t="inlineStr">
        <is>
          <t>UPPSALA LÄN</t>
        </is>
      </c>
      <c r="G75" t="inlineStr">
        <is>
          <t>KNIVSTA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33974-2025</t>
        </is>
      </c>
      <c r="B76" t="inlineStr">
        <is>
          <t>avverkningsanmälan</t>
        </is>
      </c>
      <c r="C76" t="inlineStr">
        <is>
          <t>Föryngringsavverkning</t>
        </is>
      </c>
      <c r="D76" s="1" t="n">
        <v>45843</v>
      </c>
      <c r="E76" s="1" t="n">
        <v>46231</v>
      </c>
      <c r="F76" t="inlineStr">
        <is>
          <t>UPPSALA LÄN</t>
        </is>
      </c>
      <c r="G76" t="inlineStr">
        <is>
          <t>KNIVSTA</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20528-2026</t>
        </is>
      </c>
      <c r="B77" t="inlineStr">
        <is>
          <t>avverkningsanmälan</t>
        </is>
      </c>
      <c r="C77" t="inlineStr">
        <is>
          <t>Föryngringsavverkning</t>
        </is>
      </c>
      <c r="D77" s="1" t="n">
        <v>46140</v>
      </c>
      <c r="E77" s="1" t="n">
        <v>46231</v>
      </c>
      <c r="F77" t="inlineStr">
        <is>
          <t>UPPSALA LÄN</t>
        </is>
      </c>
      <c r="G77" t="inlineStr">
        <is>
          <t>KNIVSTA</t>
        </is>
      </c>
      <c r="I77" t="n">
        <v>5.7</v>
      </c>
      <c r="J77" t="n">
        <v>0</v>
      </c>
      <c r="K77" t="n">
        <v>0</v>
      </c>
      <c r="L77" t="n">
        <v>0</v>
      </c>
      <c r="M77" t="n">
        <v>0</v>
      </c>
      <c r="N77" t="n">
        <v>0</v>
      </c>
      <c r="O77" t="n">
        <v>0</v>
      </c>
      <c r="P77" t="n">
        <v>0</v>
      </c>
      <c r="Q77" t="n">
        <v>0</v>
      </c>
      <c r="R77" t="n">
        <v>0</v>
      </c>
      <c r="S77" t="n">
        <v>0</v>
      </c>
      <c r="T77" t="n">
        <v>0</v>
      </c>
      <c r="U77" t="n">
        <v>0</v>
      </c>
      <c r="V77" s="2" t="inlineStr"/>
    </row>
    <row r="78" ht="15" customHeight="1">
      <c r="A78" t="inlineStr">
        <is>
          <t>A 47803-2025</t>
        </is>
      </c>
      <c r="B78" t="inlineStr">
        <is>
          <t>avverkningsanmälan</t>
        </is>
      </c>
      <c r="C78" t="inlineStr">
        <is>
          <t>Avverkning för annat ändamål</t>
        </is>
      </c>
      <c r="D78" s="1" t="n">
        <v>45931</v>
      </c>
      <c r="E78" s="1" t="n">
        <v>46231</v>
      </c>
      <c r="F78" t="inlineStr">
        <is>
          <t>UPPSALA LÄN</t>
        </is>
      </c>
      <c r="G78" t="inlineStr">
        <is>
          <t>KNIVSTA</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19777-2026</t>
        </is>
      </c>
      <c r="B79" t="inlineStr">
        <is>
          <t>avverkningsanmälan</t>
        </is>
      </c>
      <c r="C79" t="inlineStr">
        <is>
          <t>Föryngringsavverkning</t>
        </is>
      </c>
      <c r="D79" s="1" t="n">
        <v>46135</v>
      </c>
      <c r="E79" s="1" t="n">
        <v>46231</v>
      </c>
      <c r="F79" t="inlineStr">
        <is>
          <t>UPPSALA LÄN</t>
        </is>
      </c>
      <c r="G79" t="inlineStr">
        <is>
          <t>KNIVSTA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66284-2021</t>
        </is>
      </c>
      <c r="B80" t="inlineStr">
        <is>
          <t>avverkningsanmälan</t>
        </is>
      </c>
      <c r="C80" t="inlineStr">
        <is>
          <t>Föryngringsavverkning</t>
        </is>
      </c>
      <c r="D80" s="1" t="n">
        <v>44518</v>
      </c>
      <c r="E80" s="1" t="n">
        <v>46231</v>
      </c>
      <c r="F80" t="inlineStr">
        <is>
          <t>UPPSALA LÄN</t>
        </is>
      </c>
      <c r="G80" t="inlineStr">
        <is>
          <t>KNIVSTA</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49090-2025</t>
        </is>
      </c>
      <c r="B81" t="inlineStr">
        <is>
          <t>avverkningsanmälan</t>
        </is>
      </c>
      <c r="C81" t="inlineStr">
        <is>
          <t>Föryngringsavverkning</t>
        </is>
      </c>
      <c r="D81" s="1" t="n">
        <v>45937</v>
      </c>
      <c r="E81" s="1" t="n">
        <v>46231</v>
      </c>
      <c r="F81" t="inlineStr">
        <is>
          <t>UPPSALA LÄN</t>
        </is>
      </c>
      <c r="G81" t="inlineStr">
        <is>
          <t>KNIVSTA</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19676-2025</t>
        </is>
      </c>
      <c r="B82" t="inlineStr">
        <is>
          <t>avverkningsanmälan</t>
        </is>
      </c>
      <c r="C82" t="inlineStr">
        <is>
          <t>Föryngringsavverkning</t>
        </is>
      </c>
      <c r="D82" s="1" t="n">
        <v>45770</v>
      </c>
      <c r="E82" s="1" t="n">
        <v>46231</v>
      </c>
      <c r="F82" t="inlineStr">
        <is>
          <t>UPPSALA LÄN</t>
        </is>
      </c>
      <c r="G82" t="inlineStr">
        <is>
          <t>KNIVSTA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8343-2024</t>
        </is>
      </c>
      <c r="B83" t="inlineStr">
        <is>
          <t>avverkningsanmälan</t>
        </is>
      </c>
      <c r="C83" t="inlineStr">
        <is>
          <t>Föryngringsavverkning</t>
        </is>
      </c>
      <c r="D83" s="1" t="n">
        <v>45352</v>
      </c>
      <c r="E83" s="1" t="n">
        <v>46231</v>
      </c>
      <c r="F83" t="inlineStr">
        <is>
          <t>UPPSALA LÄN</t>
        </is>
      </c>
      <c r="G83" t="inlineStr">
        <is>
          <t>KNIVSTA</t>
        </is>
      </c>
      <c r="H83" t="inlineStr">
        <is>
          <t>Holmen skog AB</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30627-2023</t>
        </is>
      </c>
      <c r="B84" t="inlineStr">
        <is>
          <t>avverkningsanmälan</t>
        </is>
      </c>
      <c r="C84" t="inlineStr">
        <is>
          <t>Föryngringsavverkning</t>
        </is>
      </c>
      <c r="D84" s="1" t="n">
        <v>45112</v>
      </c>
      <c r="E84" s="1" t="n">
        <v>46231</v>
      </c>
      <c r="F84" t="inlineStr">
        <is>
          <t>UPPSALA LÄN</t>
        </is>
      </c>
      <c r="G84" t="inlineStr">
        <is>
          <t>KNIVSTA</t>
        </is>
      </c>
      <c r="H84" t="inlineStr">
        <is>
          <t>Holmen skog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1629-2024</t>
        </is>
      </c>
      <c r="B85" t="inlineStr">
        <is>
          <t>avverkningsanmälan</t>
        </is>
      </c>
      <c r="C85" t="inlineStr">
        <is>
          <t>Föryngringsavverkning</t>
        </is>
      </c>
      <c r="D85" s="1" t="n">
        <v>45306</v>
      </c>
      <c r="E85" s="1" t="n">
        <v>46231</v>
      </c>
      <c r="F85" t="inlineStr">
        <is>
          <t>UPPSALA LÄN</t>
        </is>
      </c>
      <c r="G85" t="inlineStr">
        <is>
          <t>KNIVSTA</t>
        </is>
      </c>
      <c r="H85" t="inlineStr">
        <is>
          <t>Holmen skog AB</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28668-2026</t>
        </is>
      </c>
      <c r="B86" t="inlineStr">
        <is>
          <t>avverkningsanmälan</t>
        </is>
      </c>
      <c r="C86" t="inlineStr">
        <is>
          <t>Avverkning för annat ändamål</t>
        </is>
      </c>
      <c r="D86" s="1" t="n">
        <v>46193</v>
      </c>
      <c r="E86" s="1" t="n">
        <v>46231</v>
      </c>
      <c r="F86" t="inlineStr">
        <is>
          <t>UPPSALA LÄN</t>
        </is>
      </c>
      <c r="G86" t="inlineStr">
        <is>
          <t>KNIVSTA</t>
        </is>
      </c>
      <c r="I86" t="n">
        <v>7.4</v>
      </c>
      <c r="J86" t="n">
        <v>0</v>
      </c>
      <c r="K86" t="n">
        <v>0</v>
      </c>
      <c r="L86" t="n">
        <v>0</v>
      </c>
      <c r="M86" t="n">
        <v>0</v>
      </c>
      <c r="N86" t="n">
        <v>0</v>
      </c>
      <c r="O86" t="n">
        <v>0</v>
      </c>
      <c r="P86" t="n">
        <v>0</v>
      </c>
      <c r="Q86" t="n">
        <v>0</v>
      </c>
      <c r="R86" t="n">
        <v>0</v>
      </c>
      <c r="S86" t="n">
        <v>0</v>
      </c>
      <c r="T86" t="n">
        <v>0</v>
      </c>
      <c r="U86" t="n">
        <v>0</v>
      </c>
      <c r="V86" s="2" t="inlineStr"/>
    </row>
    <row r="87" ht="15" customHeight="1">
      <c r="A87" t="inlineStr">
        <is>
          <t>A 23969-2026</t>
        </is>
      </c>
      <c r="B87" t="inlineStr">
        <is>
          <t>avverkningsanmälan</t>
        </is>
      </c>
      <c r="C87" t="inlineStr">
        <is>
          <t>Föryngringsavverkning</t>
        </is>
      </c>
      <c r="D87" s="1" t="n">
        <v>46167</v>
      </c>
      <c r="E87" s="1" t="n">
        <v>46231</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45525-2023</t>
        </is>
      </c>
      <c r="B88" t="inlineStr">
        <is>
          <t>avverkningsanmälan</t>
        </is>
      </c>
      <c r="C88" t="inlineStr">
        <is>
          <t>Avverkning för annat ändamål</t>
        </is>
      </c>
      <c r="D88" s="1" t="n">
        <v>45194</v>
      </c>
      <c r="E88" s="1" t="n">
        <v>46231</v>
      </c>
      <c r="F88" t="inlineStr">
        <is>
          <t>UPPSALA LÄN</t>
        </is>
      </c>
      <c r="G88" t="inlineStr">
        <is>
          <t>KNIVSTA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16773-2022</t>
        </is>
      </c>
      <c r="B89" t="inlineStr">
        <is>
          <t>avverkningsanmälan</t>
        </is>
      </c>
      <c r="C89" t="inlineStr">
        <is>
          <t>Avverkning för annat ändamål</t>
        </is>
      </c>
      <c r="D89" s="1" t="n">
        <v>44673</v>
      </c>
      <c r="E89" s="1" t="n">
        <v>46231</v>
      </c>
      <c r="F89" t="inlineStr">
        <is>
          <t>UPPSALA LÄN</t>
        </is>
      </c>
      <c r="G89" t="inlineStr">
        <is>
          <t>KNIVSTA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30764-2023</t>
        </is>
      </c>
      <c r="B90" t="inlineStr">
        <is>
          <t>avverkningsanmälan</t>
        </is>
      </c>
      <c r="C90" t="inlineStr">
        <is>
          <t>Föryngringsavverkning</t>
        </is>
      </c>
      <c r="D90" s="1" t="n">
        <v>45112</v>
      </c>
      <c r="E90" s="1" t="n">
        <v>46231</v>
      </c>
      <c r="F90" t="inlineStr">
        <is>
          <t>UPPSALA LÄN</t>
        </is>
      </c>
      <c r="G90" t="inlineStr">
        <is>
          <t>KNIVSTA</t>
        </is>
      </c>
      <c r="H90" t="inlineStr">
        <is>
          <t>Holmen skog AB</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51849-2023</t>
        </is>
      </c>
      <c r="B91" t="inlineStr">
        <is>
          <t>avverkningsanmälan</t>
        </is>
      </c>
      <c r="C91" t="inlineStr">
        <is>
          <t>Föryngringsavverkning</t>
        </is>
      </c>
      <c r="D91" s="1" t="n">
        <v>45223</v>
      </c>
      <c r="E91" s="1" t="n">
        <v>46231</v>
      </c>
      <c r="F91" t="inlineStr">
        <is>
          <t>UPPSALA LÄN</t>
        </is>
      </c>
      <c r="G91" t="inlineStr">
        <is>
          <t>KNIVSTA</t>
        </is>
      </c>
      <c r="I91" t="n">
        <v>16.3</v>
      </c>
      <c r="J91" t="n">
        <v>0</v>
      </c>
      <c r="K91" t="n">
        <v>0</v>
      </c>
      <c r="L91" t="n">
        <v>0</v>
      </c>
      <c r="M91" t="n">
        <v>0</v>
      </c>
      <c r="N91" t="n">
        <v>0</v>
      </c>
      <c r="O91" t="n">
        <v>0</v>
      </c>
      <c r="P91" t="n">
        <v>0</v>
      </c>
      <c r="Q91" t="n">
        <v>0</v>
      </c>
      <c r="R91" t="n">
        <v>0</v>
      </c>
      <c r="S91" t="n">
        <v>0</v>
      </c>
      <c r="T91" t="n">
        <v>0</v>
      </c>
      <c r="U91" t="n">
        <v>0</v>
      </c>
      <c r="V91" s="2" t="inlineStr"/>
    </row>
    <row r="92" ht="15" customHeight="1">
      <c r="A92" t="inlineStr">
        <is>
          <t>A 60018-2024</t>
        </is>
      </c>
      <c r="B92" t="inlineStr">
        <is>
          <t>avverkningsanmälan</t>
        </is>
      </c>
      <c r="C92" t="inlineStr">
        <is>
          <t>Föryngringsavverkning</t>
        </is>
      </c>
      <c r="D92" s="1" t="n">
        <v>45642</v>
      </c>
      <c r="E92" s="1" t="n">
        <v>46231</v>
      </c>
      <c r="F92" t="inlineStr">
        <is>
          <t>UPPSALA LÄN</t>
        </is>
      </c>
      <c r="G92" t="inlineStr">
        <is>
          <t>KNIVSTA</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17333-2024</t>
        </is>
      </c>
      <c r="B93" t="inlineStr">
        <is>
          <t>avverkningsanmälan</t>
        </is>
      </c>
      <c r="C93" t="inlineStr">
        <is>
          <t>Föryngringsavverkning</t>
        </is>
      </c>
      <c r="D93" s="1" t="n">
        <v>45414</v>
      </c>
      <c r="E93" s="1" t="n">
        <v>46231</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1791-2024</t>
        </is>
      </c>
      <c r="B94" t="inlineStr">
        <is>
          <t>avverkningsanmälan</t>
        </is>
      </c>
      <c r="C94" t="inlineStr">
        <is>
          <t>Föryngringsavverkning</t>
        </is>
      </c>
      <c r="D94" s="1" t="n">
        <v>45307</v>
      </c>
      <c r="E94" s="1" t="n">
        <v>46231</v>
      </c>
      <c r="F94" t="inlineStr">
        <is>
          <t>UPPSALA LÄN</t>
        </is>
      </c>
      <c r="G94" t="inlineStr">
        <is>
          <t>KNIVSTA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60243-2025</t>
        </is>
      </c>
      <c r="B95" t="inlineStr">
        <is>
          <t>avverkningsanmälan</t>
        </is>
      </c>
      <c r="C95" t="inlineStr">
        <is>
          <t>Föryngringsavverkning</t>
        </is>
      </c>
      <c r="D95" s="1" t="n">
        <v>45994</v>
      </c>
      <c r="E95" s="1" t="n">
        <v>46231</v>
      </c>
      <c r="F95" t="inlineStr">
        <is>
          <t>UPPSALA LÄN</t>
        </is>
      </c>
      <c r="G95" t="inlineStr">
        <is>
          <t>KNIVSTA</t>
        </is>
      </c>
      <c r="H95" t="inlineStr">
        <is>
          <t>Holmen skog AB</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2628-2025</t>
        </is>
      </c>
      <c r="B96" t="inlineStr">
        <is>
          <t>avverkningsanmälan</t>
        </is>
      </c>
      <c r="C96" t="inlineStr">
        <is>
          <t>Föryngringsavverkning</t>
        </is>
      </c>
      <c r="D96" s="1" t="n">
        <v>45675</v>
      </c>
      <c r="E96" s="1" t="n">
        <v>46231</v>
      </c>
      <c r="F96" t="inlineStr">
        <is>
          <t>UPPSALA LÄN</t>
        </is>
      </c>
      <c r="G96" t="inlineStr">
        <is>
          <t>KNIVSTA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11452-2023</t>
        </is>
      </c>
      <c r="B97" t="inlineStr">
        <is>
          <t>avverkningsanmälan</t>
        </is>
      </c>
      <c r="C97" t="inlineStr">
        <is>
          <t>Föryngringsavverkning</t>
        </is>
      </c>
      <c r="D97" s="1" t="n">
        <v>44993</v>
      </c>
      <c r="E97" s="1" t="n">
        <v>46231</v>
      </c>
      <c r="F97" t="inlineStr">
        <is>
          <t>UPPSALA LÄN</t>
        </is>
      </c>
      <c r="G97" t="inlineStr">
        <is>
          <t>KNIVSTA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46231</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34078-2022</t>
        </is>
      </c>
      <c r="B99" t="inlineStr">
        <is>
          <t>avverkningsanmälan</t>
        </is>
      </c>
      <c r="C99" t="inlineStr">
        <is>
          <t>Föryngringsavverkning</t>
        </is>
      </c>
      <c r="D99" s="1" t="n">
        <v>44791</v>
      </c>
      <c r="E99" s="1" t="n">
        <v>46231</v>
      </c>
      <c r="F99" t="inlineStr">
        <is>
          <t>UPPSALA LÄN</t>
        </is>
      </c>
      <c r="G99" t="inlineStr">
        <is>
          <t>KNIVSTA</t>
        </is>
      </c>
      <c r="H99" t="inlineStr">
        <is>
          <t>Övriga statliga verk och myndigheter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26182-2022</t>
        </is>
      </c>
      <c r="B100" t="inlineStr">
        <is>
          <t>avverkningsanmälan</t>
        </is>
      </c>
      <c r="C100" t="inlineStr">
        <is>
          <t>Föryngringsavverkning</t>
        </is>
      </c>
      <c r="D100" s="1" t="n">
        <v>44735</v>
      </c>
      <c r="E100" s="1" t="n">
        <v>46231</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2629-2025</t>
        </is>
      </c>
      <c r="B101" t="inlineStr">
        <is>
          <t>avverkningsanmälan</t>
        </is>
      </c>
      <c r="C101" t="inlineStr">
        <is>
          <t>Föryngringsavverkning</t>
        </is>
      </c>
      <c r="D101" s="1" t="n">
        <v>45675</v>
      </c>
      <c r="E101" s="1" t="n">
        <v>46231</v>
      </c>
      <c r="F101" t="inlineStr">
        <is>
          <t>UPPSALA LÄN</t>
        </is>
      </c>
      <c r="G101" t="inlineStr">
        <is>
          <t>KNIVSTA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5320-2023</t>
        </is>
      </c>
      <c r="B102" t="inlineStr">
        <is>
          <t>avverkningsanmälan</t>
        </is>
      </c>
      <c r="C102" t="inlineStr">
        <is>
          <t>Föryngringsavverkning</t>
        </is>
      </c>
      <c r="D102" s="1" t="n">
        <v>44959</v>
      </c>
      <c r="E102" s="1" t="n">
        <v>46231</v>
      </c>
      <c r="F102" t="inlineStr">
        <is>
          <t>UPPSALA LÄN</t>
        </is>
      </c>
      <c r="G102" t="inlineStr">
        <is>
          <t>KNIVSTA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45916-2022</t>
        </is>
      </c>
      <c r="B103" t="inlineStr">
        <is>
          <t>avverkningsanmälan</t>
        </is>
      </c>
      <c r="C103" t="inlineStr">
        <is>
          <t>Föryngringsavverkning</t>
        </is>
      </c>
      <c r="D103" s="1" t="n">
        <v>44846</v>
      </c>
      <c r="E103" s="1" t="n">
        <v>46231</v>
      </c>
      <c r="F103" t="inlineStr">
        <is>
          <t>UPPSALA LÄN</t>
        </is>
      </c>
      <c r="G103" t="inlineStr">
        <is>
          <t>KNIVSTA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17091-2023</t>
        </is>
      </c>
      <c r="B104" t="inlineStr">
        <is>
          <t>avverkningsanmälan</t>
        </is>
      </c>
      <c r="C104" t="inlineStr">
        <is>
          <t>Föryngringsavverkning</t>
        </is>
      </c>
      <c r="D104" s="1" t="n">
        <v>45034</v>
      </c>
      <c r="E104" s="1" t="n">
        <v>46231</v>
      </c>
      <c r="F104" t="inlineStr">
        <is>
          <t>UPPSALA LÄN</t>
        </is>
      </c>
      <c r="G104" t="inlineStr">
        <is>
          <t>KNIVSTA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794-2024</t>
        </is>
      </c>
      <c r="B105" t="inlineStr">
        <is>
          <t>avverkningsanmälan</t>
        </is>
      </c>
      <c r="C105" t="inlineStr">
        <is>
          <t>Föryngringsavverkning</t>
        </is>
      </c>
      <c r="D105" s="1" t="n">
        <v>45300</v>
      </c>
      <c r="E105" s="1" t="n">
        <v>46231</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46231</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2026-07-28T01:49:43Z</dcterms:created>
  <dcterms:modified xmlns:dcterms="http://purl.org/dc/terms/" xmlns:xsi="http://www.w3.org/2001/XMLSchema-instance" xsi:type="dcterms:W3CDTF">2026-07-28T01:49:43Z</dcterms:modified>
</cp:coreProperties>
</file>