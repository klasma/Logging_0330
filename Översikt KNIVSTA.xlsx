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46128</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46128</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46128</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46128</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46128</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46128</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46128</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46128</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46128</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46128</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11405-2025</t>
        </is>
      </c>
      <c r="B12" s="1" t="n">
        <v>45726</v>
      </c>
      <c r="C12" s="1" t="n">
        <v>46128</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46128</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53813-2025</t>
        </is>
      </c>
      <c r="B14" s="1" t="n">
        <v>45960</v>
      </c>
      <c r="C14" s="1" t="n">
        <v>46128</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21831-2024</t>
        </is>
      </c>
      <c r="B15" s="1" t="n">
        <v>45442</v>
      </c>
      <c r="C15" s="1" t="n">
        <v>46128</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9553-2025</t>
        </is>
      </c>
      <c r="B16" s="1" t="n">
        <v>45715</v>
      </c>
      <c r="C16" s="1" t="n">
        <v>46128</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61768-2025</t>
        </is>
      </c>
      <c r="B17" s="1" t="n">
        <v>46002.63940972222</v>
      </c>
      <c r="C17" s="1" t="n">
        <v>46128</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16407-2025</t>
        </is>
      </c>
      <c r="B18" s="1" t="n">
        <v>45751.45120370371</v>
      </c>
      <c r="C18" s="1" t="n">
        <v>46128</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13002-2026</t>
        </is>
      </c>
      <c r="B19" s="1" t="n">
        <v>46092.68854166667</v>
      </c>
      <c r="C19" s="1" t="n">
        <v>46128</v>
      </c>
      <c r="D19" t="inlineStr">
        <is>
          <t>UPPSALA LÄN</t>
        </is>
      </c>
      <c r="E19" t="inlineStr">
        <is>
          <t>KNIVSTA</t>
        </is>
      </c>
      <c r="F19" t="inlineStr">
        <is>
          <t>Holmen skog AB</t>
        </is>
      </c>
      <c r="G19" t="n">
        <v>0.7</v>
      </c>
      <c r="H19" t="n">
        <v>1</v>
      </c>
      <c r="I19" t="n">
        <v>0</v>
      </c>
      <c r="J19" t="n">
        <v>0</v>
      </c>
      <c r="K19" t="n">
        <v>1</v>
      </c>
      <c r="L19" t="n">
        <v>0</v>
      </c>
      <c r="M19" t="n">
        <v>0</v>
      </c>
      <c r="N19" t="n">
        <v>0</v>
      </c>
      <c r="O19" t="n">
        <v>1</v>
      </c>
      <c r="P19" t="n">
        <v>1</v>
      </c>
      <c r="Q19" t="n">
        <v>1</v>
      </c>
      <c r="R19" s="2" t="inlineStr">
        <is>
          <t>Knärot</t>
        </is>
      </c>
      <c r="S19">
        <f>HYPERLINK("https://klasma.github.io/Logging_0330/artfynd/A 13002-2026 artfynd.xlsx", "A 13002-2026")</f>
        <v/>
      </c>
      <c r="T19">
        <f>HYPERLINK("https://klasma.github.io/Logging_0330/kartor/A 13002-2026 karta.png", "A 13002-2026")</f>
        <v/>
      </c>
      <c r="U19">
        <f>HYPERLINK("https://klasma.github.io/Logging_0330/knärot/A 13002-2026 karta knärot.png", "A 13002-2026")</f>
        <v/>
      </c>
      <c r="V19">
        <f>HYPERLINK("https://klasma.github.io/Logging_0330/klagomål/A 13002-2026 FSC-klagomål.docx", "A 13002-2026")</f>
        <v/>
      </c>
      <c r="W19">
        <f>HYPERLINK("https://klasma.github.io/Logging_0330/klagomålsmail/A 13002-2026 FSC-klagomål mail.docx", "A 13002-2026")</f>
        <v/>
      </c>
      <c r="X19">
        <f>HYPERLINK("https://klasma.github.io/Logging_0330/tillsyn/A 13002-2026 tillsynsbegäran.docx", "A 13002-2026")</f>
        <v/>
      </c>
      <c r="Y19">
        <f>HYPERLINK("https://klasma.github.io/Logging_0330/tillsynsmail/A 13002-2026 tillsynsbegäran mail.docx", "A 13002-2026")</f>
        <v/>
      </c>
    </row>
    <row r="20" ht="15" customHeight="1">
      <c r="A20" t="inlineStr">
        <is>
          <t>A 13004-2026</t>
        </is>
      </c>
      <c r="B20" s="1" t="n">
        <v>46092.68935185186</v>
      </c>
      <c r="C20" s="1" t="n">
        <v>46128</v>
      </c>
      <c r="D20" t="inlineStr">
        <is>
          <t>UPPSALA LÄN</t>
        </is>
      </c>
      <c r="E20" t="inlineStr">
        <is>
          <t>KNIVSTA</t>
        </is>
      </c>
      <c r="F20" t="inlineStr">
        <is>
          <t>Holmen skog AB</t>
        </is>
      </c>
      <c r="G20" t="n">
        <v>7.8</v>
      </c>
      <c r="H20" t="n">
        <v>1</v>
      </c>
      <c r="I20" t="n">
        <v>0</v>
      </c>
      <c r="J20" t="n">
        <v>1</v>
      </c>
      <c r="K20" t="n">
        <v>0</v>
      </c>
      <c r="L20" t="n">
        <v>0</v>
      </c>
      <c r="M20" t="n">
        <v>0</v>
      </c>
      <c r="N20" t="n">
        <v>0</v>
      </c>
      <c r="O20" t="n">
        <v>1</v>
      </c>
      <c r="P20" t="n">
        <v>0</v>
      </c>
      <c r="Q20" t="n">
        <v>1</v>
      </c>
      <c r="R20" s="2" t="inlineStr">
        <is>
          <t>Spillkråka</t>
        </is>
      </c>
      <c r="S20">
        <f>HYPERLINK("https://klasma.github.io/Logging_0330/artfynd/A 13004-2026 artfynd.xlsx", "A 13004-2026")</f>
        <v/>
      </c>
      <c r="T20">
        <f>HYPERLINK("https://klasma.github.io/Logging_0330/kartor/A 13004-2026 karta.png", "A 13004-2026")</f>
        <v/>
      </c>
      <c r="U20">
        <f>HYPERLINK("https://klasma.github.io/Logging_0330/knärot/A 13004-2026 karta knärot.png", "A 13004-2026")</f>
        <v/>
      </c>
      <c r="V20">
        <f>HYPERLINK("https://klasma.github.io/Logging_0330/klagomål/A 13004-2026 FSC-klagomål.docx", "A 13004-2026")</f>
        <v/>
      </c>
      <c r="W20">
        <f>HYPERLINK("https://klasma.github.io/Logging_0330/klagomålsmail/A 13004-2026 FSC-klagomål mail.docx", "A 13004-2026")</f>
        <v/>
      </c>
      <c r="X20">
        <f>HYPERLINK("https://klasma.github.io/Logging_0330/tillsyn/A 13004-2026 tillsynsbegäran.docx", "A 13004-2026")</f>
        <v/>
      </c>
      <c r="Y20">
        <f>HYPERLINK("https://klasma.github.io/Logging_0330/tillsynsmail/A 13004-2026 tillsynsbegäran mail.docx", "A 13004-2026")</f>
        <v/>
      </c>
      <c r="Z20">
        <f>HYPERLINK("https://klasma.github.io/Logging_0330/fåglar/A 13004-2026 prioriterade fågelarter.docx", "A 13004-2026")</f>
        <v/>
      </c>
    </row>
    <row r="21" ht="15" customHeight="1">
      <c r="A21" t="inlineStr">
        <is>
          <t>A 13380-2026</t>
        </is>
      </c>
      <c r="B21" s="1" t="n">
        <v>46094.42555555556</v>
      </c>
      <c r="C21" s="1" t="n">
        <v>46128</v>
      </c>
      <c r="D21" t="inlineStr">
        <is>
          <t>UPPSALA LÄN</t>
        </is>
      </c>
      <c r="E21" t="inlineStr">
        <is>
          <t>KNIVSTA</t>
        </is>
      </c>
      <c r="G21" t="n">
        <v>1.7</v>
      </c>
      <c r="H21" t="n">
        <v>1</v>
      </c>
      <c r="I21" t="n">
        <v>0</v>
      </c>
      <c r="J21" t="n">
        <v>1</v>
      </c>
      <c r="K21" t="n">
        <v>0</v>
      </c>
      <c r="L21" t="n">
        <v>0</v>
      </c>
      <c r="M21" t="n">
        <v>0</v>
      </c>
      <c r="N21" t="n">
        <v>0</v>
      </c>
      <c r="O21" t="n">
        <v>1</v>
      </c>
      <c r="P21" t="n">
        <v>0</v>
      </c>
      <c r="Q21" t="n">
        <v>1</v>
      </c>
      <c r="R21" s="2" t="inlineStr">
        <is>
          <t>Spillkråka</t>
        </is>
      </c>
      <c r="S21">
        <f>HYPERLINK("https://klasma.github.io/Logging_0330/artfynd/A 13380-2026 artfynd.xlsx", "A 13380-2026")</f>
        <v/>
      </c>
      <c r="T21">
        <f>HYPERLINK("https://klasma.github.io/Logging_0330/kartor/A 13380-2026 karta.png", "A 13380-2026")</f>
        <v/>
      </c>
      <c r="V21">
        <f>HYPERLINK("https://klasma.github.io/Logging_0330/klagomål/A 13380-2026 FSC-klagomål.docx", "A 13380-2026")</f>
        <v/>
      </c>
      <c r="W21">
        <f>HYPERLINK("https://klasma.github.io/Logging_0330/klagomålsmail/A 13380-2026 FSC-klagomål mail.docx", "A 13380-2026")</f>
        <v/>
      </c>
      <c r="X21">
        <f>HYPERLINK("https://klasma.github.io/Logging_0330/tillsyn/A 13380-2026 tillsynsbegäran.docx", "A 13380-2026")</f>
        <v/>
      </c>
      <c r="Y21">
        <f>HYPERLINK("https://klasma.github.io/Logging_0330/tillsynsmail/A 13380-2026 tillsynsbegäran mail.docx", "A 13380-2026")</f>
        <v/>
      </c>
      <c r="Z21">
        <f>HYPERLINK("https://klasma.github.io/Logging_0330/fåglar/A 13380-2026 prioriterade fågelarter.docx", "A 13380-2026")</f>
        <v/>
      </c>
    </row>
    <row r="22" ht="15" customHeight="1">
      <c r="A22" t="inlineStr">
        <is>
          <t>A 9561-2026</t>
        </is>
      </c>
      <c r="B22" s="1" t="n">
        <v>46071.64916666667</v>
      </c>
      <c r="C22" s="1" t="n">
        <v>46128</v>
      </c>
      <c r="D22" t="inlineStr">
        <is>
          <t>UPPSALA LÄN</t>
        </is>
      </c>
      <c r="E22" t="inlineStr">
        <is>
          <t>KNIVSTA</t>
        </is>
      </c>
      <c r="F22" t="inlineStr">
        <is>
          <t>Övriga statliga verk och myndigheter</t>
        </is>
      </c>
      <c r="G22" t="n">
        <v>2.6</v>
      </c>
      <c r="H22" t="n">
        <v>0</v>
      </c>
      <c r="I22" t="n">
        <v>0</v>
      </c>
      <c r="J22" t="n">
        <v>1</v>
      </c>
      <c r="K22" t="n">
        <v>0</v>
      </c>
      <c r="L22" t="n">
        <v>0</v>
      </c>
      <c r="M22" t="n">
        <v>0</v>
      </c>
      <c r="N22" t="n">
        <v>0</v>
      </c>
      <c r="O22" t="n">
        <v>1</v>
      </c>
      <c r="P22" t="n">
        <v>0</v>
      </c>
      <c r="Q22" t="n">
        <v>1</v>
      </c>
      <c r="R22" s="2" t="inlineStr">
        <is>
          <t>Svartöra</t>
        </is>
      </c>
      <c r="S22">
        <f>HYPERLINK("https://klasma.github.io/Logging_0330/artfynd/A 9561-2026 artfynd.xlsx", "A 9561-2026")</f>
        <v/>
      </c>
      <c r="T22">
        <f>HYPERLINK("https://klasma.github.io/Logging_0330/kartor/A 9561-2026 karta.png", "A 9561-2026")</f>
        <v/>
      </c>
      <c r="V22">
        <f>HYPERLINK("https://klasma.github.io/Logging_0330/klagomål/A 9561-2026 FSC-klagomål.docx", "A 9561-2026")</f>
        <v/>
      </c>
      <c r="W22">
        <f>HYPERLINK("https://klasma.github.io/Logging_0330/klagomålsmail/A 9561-2026 FSC-klagomål mail.docx", "A 9561-2026")</f>
        <v/>
      </c>
      <c r="X22">
        <f>HYPERLINK("https://klasma.github.io/Logging_0330/tillsyn/A 9561-2026 tillsynsbegäran.docx", "A 9561-2026")</f>
        <v/>
      </c>
      <c r="Y22">
        <f>HYPERLINK("https://klasma.github.io/Logging_0330/tillsynsmail/A 9561-2026 tillsynsbegäran mail.docx", "A 9561-2026")</f>
        <v/>
      </c>
    </row>
    <row r="23" ht="15" customHeight="1">
      <c r="A23" t="inlineStr">
        <is>
          <t>A 19796-2021</t>
        </is>
      </c>
      <c r="B23" s="1" t="n">
        <v>44313</v>
      </c>
      <c r="C23" s="1" t="n">
        <v>46128</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46128</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46128</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46128</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46128</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46128</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46128</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46128</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46128</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46128</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46128</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46128</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46128</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46128</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46128</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46128</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46128</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11841-2023</t>
        </is>
      </c>
      <c r="B40" s="1" t="n">
        <v>44995.3221412037</v>
      </c>
      <c r="C40" s="1" t="n">
        <v>46128</v>
      </c>
      <c r="D40" t="inlineStr">
        <is>
          <t>UPPSALA LÄN</t>
        </is>
      </c>
      <c r="E40" t="inlineStr">
        <is>
          <t>KNIVSTA</t>
        </is>
      </c>
      <c r="G40" t="n">
        <v>3.9</v>
      </c>
      <c r="H40" t="n">
        <v>0</v>
      </c>
      <c r="I40" t="n">
        <v>0</v>
      </c>
      <c r="J40" t="n">
        <v>0</v>
      </c>
      <c r="K40" t="n">
        <v>0</v>
      </c>
      <c r="L40" t="n">
        <v>0</v>
      </c>
      <c r="M40" t="n">
        <v>0</v>
      </c>
      <c r="N40" t="n">
        <v>0</v>
      </c>
      <c r="O40" t="n">
        <v>0</v>
      </c>
      <c r="P40" t="n">
        <v>0</v>
      </c>
      <c r="Q40" t="n">
        <v>0</v>
      </c>
      <c r="R40" s="2" t="inlineStr"/>
    </row>
    <row r="41" ht="15" customHeight="1">
      <c r="A41" t="inlineStr">
        <is>
          <t>A 2629-2025</t>
        </is>
      </c>
      <c r="B41" s="1" t="n">
        <v>45675.6953587963</v>
      </c>
      <c r="C41" s="1" t="n">
        <v>46128</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62441-2021</t>
        </is>
      </c>
      <c r="B42" s="1" t="n">
        <v>44503</v>
      </c>
      <c r="C42" s="1" t="n">
        <v>46128</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5320-2023</t>
        </is>
      </c>
      <c r="B43" s="1" t="n">
        <v>44959</v>
      </c>
      <c r="C43" s="1" t="n">
        <v>46128</v>
      </c>
      <c r="D43" t="inlineStr">
        <is>
          <t>UPPSALA LÄN</t>
        </is>
      </c>
      <c r="E43" t="inlineStr">
        <is>
          <t>KNIVSTA</t>
        </is>
      </c>
      <c r="G43" t="n">
        <v>1.5</v>
      </c>
      <c r="H43" t="n">
        <v>0</v>
      </c>
      <c r="I43" t="n">
        <v>0</v>
      </c>
      <c r="J43" t="n">
        <v>0</v>
      </c>
      <c r="K43" t="n">
        <v>0</v>
      </c>
      <c r="L43" t="n">
        <v>0</v>
      </c>
      <c r="M43" t="n">
        <v>0</v>
      </c>
      <c r="N43" t="n">
        <v>0</v>
      </c>
      <c r="O43" t="n">
        <v>0</v>
      </c>
      <c r="P43" t="n">
        <v>0</v>
      </c>
      <c r="Q43" t="n">
        <v>0</v>
      </c>
      <c r="R43" s="2" t="inlineStr"/>
    </row>
    <row r="44" ht="15" customHeight="1">
      <c r="A44" t="inlineStr">
        <is>
          <t>A 72966-2021</t>
        </is>
      </c>
      <c r="B44" s="1" t="n">
        <v>44548.57709490741</v>
      </c>
      <c r="C44" s="1" t="n">
        <v>46128</v>
      </c>
      <c r="D44" t="inlineStr">
        <is>
          <t>UPPSALA LÄN</t>
        </is>
      </c>
      <c r="E44" t="inlineStr">
        <is>
          <t>KNIVSTA</t>
        </is>
      </c>
      <c r="G44" t="n">
        <v>2</v>
      </c>
      <c r="H44" t="n">
        <v>0</v>
      </c>
      <c r="I44" t="n">
        <v>0</v>
      </c>
      <c r="J44" t="n">
        <v>0</v>
      </c>
      <c r="K44" t="n">
        <v>0</v>
      </c>
      <c r="L44" t="n">
        <v>0</v>
      </c>
      <c r="M44" t="n">
        <v>0</v>
      </c>
      <c r="N44" t="n">
        <v>0</v>
      </c>
      <c r="O44" t="n">
        <v>0</v>
      </c>
      <c r="P44" t="n">
        <v>0</v>
      </c>
      <c r="Q44" t="n">
        <v>0</v>
      </c>
      <c r="R44" s="2" t="inlineStr"/>
    </row>
    <row r="45" ht="15" customHeight="1">
      <c r="A45" t="inlineStr">
        <is>
          <t>A 30351-2022</t>
        </is>
      </c>
      <c r="B45" s="1" t="n">
        <v>44757</v>
      </c>
      <c r="C45" s="1" t="n">
        <v>46128</v>
      </c>
      <c r="D45" t="inlineStr">
        <is>
          <t>UPPSALA LÄN</t>
        </is>
      </c>
      <c r="E45" t="inlineStr">
        <is>
          <t>KNIVSTA</t>
        </is>
      </c>
      <c r="G45" t="n">
        <v>5.7</v>
      </c>
      <c r="H45" t="n">
        <v>0</v>
      </c>
      <c r="I45" t="n">
        <v>0</v>
      </c>
      <c r="J45" t="n">
        <v>0</v>
      </c>
      <c r="K45" t="n">
        <v>0</v>
      </c>
      <c r="L45" t="n">
        <v>0</v>
      </c>
      <c r="M45" t="n">
        <v>0</v>
      </c>
      <c r="N45" t="n">
        <v>0</v>
      </c>
      <c r="O45" t="n">
        <v>0</v>
      </c>
      <c r="P45" t="n">
        <v>0</v>
      </c>
      <c r="Q45" t="n">
        <v>0</v>
      </c>
      <c r="R45" s="2" t="inlineStr"/>
    </row>
    <row r="46" ht="15" customHeight="1">
      <c r="A46" t="inlineStr">
        <is>
          <t>A 11847-2023</t>
        </is>
      </c>
      <c r="B46" s="1" t="n">
        <v>44995.33957175926</v>
      </c>
      <c r="C46" s="1" t="n">
        <v>46128</v>
      </c>
      <c r="D46" t="inlineStr">
        <is>
          <t>UPPSALA LÄN</t>
        </is>
      </c>
      <c r="E46" t="inlineStr">
        <is>
          <t>KNIVSTA</t>
        </is>
      </c>
      <c r="G46" t="n">
        <v>2.1</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46128</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46128</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72967-2021</t>
        </is>
      </c>
      <c r="B49" s="1" t="n">
        <v>44548.58148148148</v>
      </c>
      <c r="C49" s="1" t="n">
        <v>46128</v>
      </c>
      <c r="D49" t="inlineStr">
        <is>
          <t>UPPSALA LÄN</t>
        </is>
      </c>
      <c r="E49" t="inlineStr">
        <is>
          <t>KNIVSTA</t>
        </is>
      </c>
      <c r="G49" t="n">
        <v>1.1</v>
      </c>
      <c r="H49" t="n">
        <v>0</v>
      </c>
      <c r="I49" t="n">
        <v>0</v>
      </c>
      <c r="J49" t="n">
        <v>0</v>
      </c>
      <c r="K49" t="n">
        <v>0</v>
      </c>
      <c r="L49" t="n">
        <v>0</v>
      </c>
      <c r="M49" t="n">
        <v>0</v>
      </c>
      <c r="N49" t="n">
        <v>0</v>
      </c>
      <c r="O49" t="n">
        <v>0</v>
      </c>
      <c r="P49" t="n">
        <v>0</v>
      </c>
      <c r="Q49" t="n">
        <v>0</v>
      </c>
      <c r="R49" s="2" t="inlineStr"/>
    </row>
    <row r="50" ht="15" customHeight="1">
      <c r="A50" t="inlineStr">
        <is>
          <t>A 45916-2022</t>
        </is>
      </c>
      <c r="B50" s="1" t="n">
        <v>44846</v>
      </c>
      <c r="C50" s="1" t="n">
        <v>46128</v>
      </c>
      <c r="D50" t="inlineStr">
        <is>
          <t>UPPSALA LÄN</t>
        </is>
      </c>
      <c r="E50" t="inlineStr">
        <is>
          <t>KNIVSTA</t>
        </is>
      </c>
      <c r="G50" t="n">
        <v>3.8</v>
      </c>
      <c r="H50" t="n">
        <v>0</v>
      </c>
      <c r="I50" t="n">
        <v>0</v>
      </c>
      <c r="J50" t="n">
        <v>0</v>
      </c>
      <c r="K50" t="n">
        <v>0</v>
      </c>
      <c r="L50" t="n">
        <v>0</v>
      </c>
      <c r="M50" t="n">
        <v>0</v>
      </c>
      <c r="N50" t="n">
        <v>0</v>
      </c>
      <c r="O50" t="n">
        <v>0</v>
      </c>
      <c r="P50" t="n">
        <v>0</v>
      </c>
      <c r="Q50" t="n">
        <v>0</v>
      </c>
      <c r="R50" s="2" t="inlineStr"/>
    </row>
    <row r="51" ht="15" customHeight="1">
      <c r="A51" t="inlineStr">
        <is>
          <t>A 16396-2025</t>
        </is>
      </c>
      <c r="B51" s="1" t="n">
        <v>45751.44219907407</v>
      </c>
      <c r="C51" s="1" t="n">
        <v>46128</v>
      </c>
      <c r="D51" t="inlineStr">
        <is>
          <t>UPPSALA LÄN</t>
        </is>
      </c>
      <c r="E51" t="inlineStr">
        <is>
          <t>KNIVSTA</t>
        </is>
      </c>
      <c r="G51" t="n">
        <v>5.1</v>
      </c>
      <c r="H51" t="n">
        <v>0</v>
      </c>
      <c r="I51" t="n">
        <v>0</v>
      </c>
      <c r="J51" t="n">
        <v>0</v>
      </c>
      <c r="K51" t="n">
        <v>0</v>
      </c>
      <c r="L51" t="n">
        <v>0</v>
      </c>
      <c r="M51" t="n">
        <v>0</v>
      </c>
      <c r="N51" t="n">
        <v>0</v>
      </c>
      <c r="O51" t="n">
        <v>0</v>
      </c>
      <c r="P51" t="n">
        <v>0</v>
      </c>
      <c r="Q51" t="n">
        <v>0</v>
      </c>
      <c r="R51" s="2" t="inlineStr"/>
    </row>
    <row r="52" ht="15" customHeight="1">
      <c r="A52" t="inlineStr">
        <is>
          <t>A 32975-2021</t>
        </is>
      </c>
      <c r="B52" s="1" t="n">
        <v>44376</v>
      </c>
      <c r="C52" s="1" t="n">
        <v>46128</v>
      </c>
      <c r="D52" t="inlineStr">
        <is>
          <t>UPPSALA LÄN</t>
        </is>
      </c>
      <c r="E52" t="inlineStr">
        <is>
          <t>KNIVSTA</t>
        </is>
      </c>
      <c r="G52" t="n">
        <v>6.1</v>
      </c>
      <c r="H52" t="n">
        <v>0</v>
      </c>
      <c r="I52" t="n">
        <v>0</v>
      </c>
      <c r="J52" t="n">
        <v>0</v>
      </c>
      <c r="K52" t="n">
        <v>0</v>
      </c>
      <c r="L52" t="n">
        <v>0</v>
      </c>
      <c r="M52" t="n">
        <v>0</v>
      </c>
      <c r="N52" t="n">
        <v>0</v>
      </c>
      <c r="O52" t="n">
        <v>0</v>
      </c>
      <c r="P52" t="n">
        <v>0</v>
      </c>
      <c r="Q52" t="n">
        <v>0</v>
      </c>
      <c r="R52" s="2" t="inlineStr"/>
    </row>
    <row r="53" ht="15" customHeight="1">
      <c r="A53" t="inlineStr">
        <is>
          <t>A 23239-2023</t>
        </is>
      </c>
      <c r="B53" s="1" t="n">
        <v>45075</v>
      </c>
      <c r="C53" s="1" t="n">
        <v>46128</v>
      </c>
      <c r="D53" t="inlineStr">
        <is>
          <t>UPPSALA LÄN</t>
        </is>
      </c>
      <c r="E53" t="inlineStr">
        <is>
          <t>KNIVSTA</t>
        </is>
      </c>
      <c r="G53" t="n">
        <v>1.8</v>
      </c>
      <c r="H53" t="n">
        <v>0</v>
      </c>
      <c r="I53" t="n">
        <v>0</v>
      </c>
      <c r="J53" t="n">
        <v>0</v>
      </c>
      <c r="K53" t="n">
        <v>0</v>
      </c>
      <c r="L53" t="n">
        <v>0</v>
      </c>
      <c r="M53" t="n">
        <v>0</v>
      </c>
      <c r="N53" t="n">
        <v>0</v>
      </c>
      <c r="O53" t="n">
        <v>0</v>
      </c>
      <c r="P53" t="n">
        <v>0</v>
      </c>
      <c r="Q53" t="n">
        <v>0</v>
      </c>
      <c r="R53" s="2" t="inlineStr"/>
    </row>
    <row r="54" ht="15" customHeight="1">
      <c r="A54" t="inlineStr">
        <is>
          <t>A 17091-2023</t>
        </is>
      </c>
      <c r="B54" s="1" t="n">
        <v>45034.53554398148</v>
      </c>
      <c r="C54" s="1" t="n">
        <v>46128</v>
      </c>
      <c r="D54" t="inlineStr">
        <is>
          <t>UPPSALA LÄN</t>
        </is>
      </c>
      <c r="E54" t="inlineStr">
        <is>
          <t>KNIVSTA</t>
        </is>
      </c>
      <c r="G54" t="n">
        <v>0.8</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46128</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46128</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794-2024</t>
        </is>
      </c>
      <c r="B57" s="1" t="n">
        <v>45300.58149305556</v>
      </c>
      <c r="C57" s="1" t="n">
        <v>46128</v>
      </c>
      <c r="D57" t="inlineStr">
        <is>
          <t>UPPSALA LÄN</t>
        </is>
      </c>
      <c r="E57" t="inlineStr">
        <is>
          <t>KNIVSTA</t>
        </is>
      </c>
      <c r="G57" t="n">
        <v>1.6</v>
      </c>
      <c r="H57" t="n">
        <v>0</v>
      </c>
      <c r="I57" t="n">
        <v>0</v>
      </c>
      <c r="J57" t="n">
        <v>0</v>
      </c>
      <c r="K57" t="n">
        <v>0</v>
      </c>
      <c r="L57" t="n">
        <v>0</v>
      </c>
      <c r="M57" t="n">
        <v>0</v>
      </c>
      <c r="N57" t="n">
        <v>0</v>
      </c>
      <c r="O57" t="n">
        <v>0</v>
      </c>
      <c r="P57" t="n">
        <v>0</v>
      </c>
      <c r="Q57" t="n">
        <v>0</v>
      </c>
      <c r="R57" s="2" t="inlineStr"/>
    </row>
    <row r="58" ht="15" customHeight="1">
      <c r="A58" t="inlineStr">
        <is>
          <t>A 66293-2021</t>
        </is>
      </c>
      <c r="B58" s="1" t="n">
        <v>44518</v>
      </c>
      <c r="C58" s="1" t="n">
        <v>46128</v>
      </c>
      <c r="D58" t="inlineStr">
        <is>
          <t>UPPSALA LÄN</t>
        </is>
      </c>
      <c r="E58" t="inlineStr">
        <is>
          <t>KNIVSTA</t>
        </is>
      </c>
      <c r="G58" t="n">
        <v>2.6</v>
      </c>
      <c r="H58" t="n">
        <v>0</v>
      </c>
      <c r="I58" t="n">
        <v>0</v>
      </c>
      <c r="J58" t="n">
        <v>0</v>
      </c>
      <c r="K58" t="n">
        <v>0</v>
      </c>
      <c r="L58" t="n">
        <v>0</v>
      </c>
      <c r="M58" t="n">
        <v>0</v>
      </c>
      <c r="N58" t="n">
        <v>0</v>
      </c>
      <c r="O58" t="n">
        <v>0</v>
      </c>
      <c r="P58" t="n">
        <v>0</v>
      </c>
      <c r="Q58" t="n">
        <v>0</v>
      </c>
      <c r="R58" s="2" t="inlineStr"/>
    </row>
    <row r="59" ht="15" customHeight="1">
      <c r="A59" t="inlineStr">
        <is>
          <t>A 13697-2024</t>
        </is>
      </c>
      <c r="B59" s="1" t="n">
        <v>45390</v>
      </c>
      <c r="C59" s="1" t="n">
        <v>46128</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44869-2025</t>
        </is>
      </c>
      <c r="B60" s="1" t="n">
        <v>45918.46758101852</v>
      </c>
      <c r="C60" s="1" t="n">
        <v>46128</v>
      </c>
      <c r="D60" t="inlineStr">
        <is>
          <t>UPPSALA LÄN</t>
        </is>
      </c>
      <c r="E60" t="inlineStr">
        <is>
          <t>KNIVSTA</t>
        </is>
      </c>
      <c r="G60" t="n">
        <v>17.1</v>
      </c>
      <c r="H60" t="n">
        <v>0</v>
      </c>
      <c r="I60" t="n">
        <v>0</v>
      </c>
      <c r="J60" t="n">
        <v>0</v>
      </c>
      <c r="K60" t="n">
        <v>0</v>
      </c>
      <c r="L60" t="n">
        <v>0</v>
      </c>
      <c r="M60" t="n">
        <v>0</v>
      </c>
      <c r="N60" t="n">
        <v>0</v>
      </c>
      <c r="O60" t="n">
        <v>0</v>
      </c>
      <c r="P60" t="n">
        <v>0</v>
      </c>
      <c r="Q60" t="n">
        <v>0</v>
      </c>
      <c r="R60" s="2" t="inlineStr"/>
    </row>
    <row r="61" ht="15" customHeight="1">
      <c r="A61" t="inlineStr">
        <is>
          <t>A 45453-2025</t>
        </is>
      </c>
      <c r="B61" s="1" t="n">
        <v>45922.48702546296</v>
      </c>
      <c r="C61" s="1" t="n">
        <v>46128</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13040-2025</t>
        </is>
      </c>
      <c r="B62" s="1" t="n">
        <v>45734</v>
      </c>
      <c r="C62" s="1" t="n">
        <v>46128</v>
      </c>
      <c r="D62" t="inlineStr">
        <is>
          <t>UPPSALA LÄN</t>
        </is>
      </c>
      <c r="E62" t="inlineStr">
        <is>
          <t>KNIVSTA</t>
        </is>
      </c>
      <c r="F62" t="inlineStr">
        <is>
          <t>Allmännings- och besparingsskogar</t>
        </is>
      </c>
      <c r="G62" t="n">
        <v>1.6</v>
      </c>
      <c r="H62" t="n">
        <v>0</v>
      </c>
      <c r="I62" t="n">
        <v>0</v>
      </c>
      <c r="J62" t="n">
        <v>0</v>
      </c>
      <c r="K62" t="n">
        <v>0</v>
      </c>
      <c r="L62" t="n">
        <v>0</v>
      </c>
      <c r="M62" t="n">
        <v>0</v>
      </c>
      <c r="N62" t="n">
        <v>0</v>
      </c>
      <c r="O62" t="n">
        <v>0</v>
      </c>
      <c r="P62" t="n">
        <v>0</v>
      </c>
      <c r="Q62" t="n">
        <v>0</v>
      </c>
      <c r="R62" s="2" t="inlineStr"/>
    </row>
    <row r="63" ht="15" customHeight="1">
      <c r="A63" t="inlineStr">
        <is>
          <t>A 20902-2024</t>
        </is>
      </c>
      <c r="B63" s="1" t="n">
        <v>45439.48104166667</v>
      </c>
      <c r="C63" s="1" t="n">
        <v>46128</v>
      </c>
      <c r="D63" t="inlineStr">
        <is>
          <t>UPPSALA LÄN</t>
        </is>
      </c>
      <c r="E63" t="inlineStr">
        <is>
          <t>KNIVSTA</t>
        </is>
      </c>
      <c r="G63" t="n">
        <v>1</v>
      </c>
      <c r="H63" t="n">
        <v>0</v>
      </c>
      <c r="I63" t="n">
        <v>0</v>
      </c>
      <c r="J63" t="n">
        <v>0</v>
      </c>
      <c r="K63" t="n">
        <v>0</v>
      </c>
      <c r="L63" t="n">
        <v>0</v>
      </c>
      <c r="M63" t="n">
        <v>0</v>
      </c>
      <c r="N63" t="n">
        <v>0</v>
      </c>
      <c r="O63" t="n">
        <v>0</v>
      </c>
      <c r="P63" t="n">
        <v>0</v>
      </c>
      <c r="Q63" t="n">
        <v>0</v>
      </c>
      <c r="R63" s="2" t="inlineStr"/>
    </row>
    <row r="64" ht="15" customHeight="1">
      <c r="A64" t="inlineStr">
        <is>
          <t>A 26226-2025</t>
        </is>
      </c>
      <c r="B64" s="1" t="n">
        <v>45805.55829861111</v>
      </c>
      <c r="C64" s="1" t="n">
        <v>46128</v>
      </c>
      <c r="D64" t="inlineStr">
        <is>
          <t>UPPSALA LÄN</t>
        </is>
      </c>
      <c r="E64" t="inlineStr">
        <is>
          <t>KNIVSTA</t>
        </is>
      </c>
      <c r="G64" t="n">
        <v>9.1</v>
      </c>
      <c r="H64" t="n">
        <v>0</v>
      </c>
      <c r="I64" t="n">
        <v>0</v>
      </c>
      <c r="J64" t="n">
        <v>0</v>
      </c>
      <c r="K64" t="n">
        <v>0</v>
      </c>
      <c r="L64" t="n">
        <v>0</v>
      </c>
      <c r="M64" t="n">
        <v>0</v>
      </c>
      <c r="N64" t="n">
        <v>0</v>
      </c>
      <c r="O64" t="n">
        <v>0</v>
      </c>
      <c r="P64" t="n">
        <v>0</v>
      </c>
      <c r="Q64" t="n">
        <v>0</v>
      </c>
      <c r="R64" s="2" t="inlineStr"/>
    </row>
    <row r="65" ht="15" customHeight="1">
      <c r="A65" t="inlineStr">
        <is>
          <t>A 47803-2025</t>
        </is>
      </c>
      <c r="B65" s="1" t="n">
        <v>45931</v>
      </c>
      <c r="C65" s="1" t="n">
        <v>46128</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66284-2021</t>
        </is>
      </c>
      <c r="B66" s="1" t="n">
        <v>44518</v>
      </c>
      <c r="C66" s="1" t="n">
        <v>46128</v>
      </c>
      <c r="D66" t="inlineStr">
        <is>
          <t>UPPSALA LÄN</t>
        </is>
      </c>
      <c r="E66" t="inlineStr">
        <is>
          <t>KNIVSTA</t>
        </is>
      </c>
      <c r="G66" t="n">
        <v>6.9</v>
      </c>
      <c r="H66" t="n">
        <v>0</v>
      </c>
      <c r="I66" t="n">
        <v>0</v>
      </c>
      <c r="J66" t="n">
        <v>0</v>
      </c>
      <c r="K66" t="n">
        <v>0</v>
      </c>
      <c r="L66" t="n">
        <v>0</v>
      </c>
      <c r="M66" t="n">
        <v>0</v>
      </c>
      <c r="N66" t="n">
        <v>0</v>
      </c>
      <c r="O66" t="n">
        <v>0</v>
      </c>
      <c r="P66" t="n">
        <v>0</v>
      </c>
      <c r="Q66" t="n">
        <v>0</v>
      </c>
      <c r="R66" s="2" t="inlineStr"/>
    </row>
    <row r="67" ht="15" customHeight="1">
      <c r="A67" t="inlineStr">
        <is>
          <t>A 19676-2025</t>
        </is>
      </c>
      <c r="B67" s="1" t="n">
        <v>45770</v>
      </c>
      <c r="C67" s="1" t="n">
        <v>46128</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8343-2024</t>
        </is>
      </c>
      <c r="B68" s="1" t="n">
        <v>45352</v>
      </c>
      <c r="C68" s="1" t="n">
        <v>46128</v>
      </c>
      <c r="D68" t="inlineStr">
        <is>
          <t>UPPSALA LÄN</t>
        </is>
      </c>
      <c r="E68" t="inlineStr">
        <is>
          <t>KNIVSTA</t>
        </is>
      </c>
      <c r="F68" t="inlineStr">
        <is>
          <t>Holmen skog AB</t>
        </is>
      </c>
      <c r="G68" t="n">
        <v>1.4</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46128</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28189-2025</t>
        </is>
      </c>
      <c r="B70" s="1" t="n">
        <v>45818.41357638889</v>
      </c>
      <c r="C70" s="1" t="n">
        <v>46128</v>
      </c>
      <c r="D70" t="inlineStr">
        <is>
          <t>UPPSALA LÄN</t>
        </is>
      </c>
      <c r="E70" t="inlineStr">
        <is>
          <t>KNIVSTA</t>
        </is>
      </c>
      <c r="G70" t="n">
        <v>7.6</v>
      </c>
      <c r="H70" t="n">
        <v>0</v>
      </c>
      <c r="I70" t="n">
        <v>0</v>
      </c>
      <c r="J70" t="n">
        <v>0</v>
      </c>
      <c r="K70" t="n">
        <v>0</v>
      </c>
      <c r="L70" t="n">
        <v>0</v>
      </c>
      <c r="M70" t="n">
        <v>0</v>
      </c>
      <c r="N70" t="n">
        <v>0</v>
      </c>
      <c r="O70" t="n">
        <v>0</v>
      </c>
      <c r="P70" t="n">
        <v>0</v>
      </c>
      <c r="Q70" t="n">
        <v>0</v>
      </c>
      <c r="R70" s="2" t="inlineStr"/>
    </row>
    <row r="71" ht="15" customHeight="1">
      <c r="A71" t="inlineStr">
        <is>
          <t>A 30627-2023</t>
        </is>
      </c>
      <c r="B71" s="1" t="n">
        <v>45112</v>
      </c>
      <c r="C71" s="1" t="n">
        <v>46128</v>
      </c>
      <c r="D71" t="inlineStr">
        <is>
          <t>UPPSALA LÄN</t>
        </is>
      </c>
      <c r="E71" t="inlineStr">
        <is>
          <t>KNIVSTA</t>
        </is>
      </c>
      <c r="F71" t="inlineStr">
        <is>
          <t>Holmen skog AB</t>
        </is>
      </c>
      <c r="G71" t="n">
        <v>1.6</v>
      </c>
      <c r="H71" t="n">
        <v>0</v>
      </c>
      <c r="I71" t="n">
        <v>0</v>
      </c>
      <c r="J71" t="n">
        <v>0</v>
      </c>
      <c r="K71" t="n">
        <v>0</v>
      </c>
      <c r="L71" t="n">
        <v>0</v>
      </c>
      <c r="M71" t="n">
        <v>0</v>
      </c>
      <c r="N71" t="n">
        <v>0</v>
      </c>
      <c r="O71" t="n">
        <v>0</v>
      </c>
      <c r="P71" t="n">
        <v>0</v>
      </c>
      <c r="Q71" t="n">
        <v>0</v>
      </c>
      <c r="R71" s="2" t="inlineStr"/>
    </row>
    <row r="72" ht="15" customHeight="1">
      <c r="A72" t="inlineStr">
        <is>
          <t>A 1629-2024</t>
        </is>
      </c>
      <c r="B72" s="1" t="n">
        <v>45306</v>
      </c>
      <c r="C72" s="1" t="n">
        <v>46128</v>
      </c>
      <c r="D72" t="inlineStr">
        <is>
          <t>UPPSALA LÄN</t>
        </is>
      </c>
      <c r="E72" t="inlineStr">
        <is>
          <t>KNIVSTA</t>
        </is>
      </c>
      <c r="F72" t="inlineStr">
        <is>
          <t>Holmen skog AB</t>
        </is>
      </c>
      <c r="G72" t="n">
        <v>3.6</v>
      </c>
      <c r="H72" t="n">
        <v>0</v>
      </c>
      <c r="I72" t="n">
        <v>0</v>
      </c>
      <c r="J72" t="n">
        <v>0</v>
      </c>
      <c r="K72" t="n">
        <v>0</v>
      </c>
      <c r="L72" t="n">
        <v>0</v>
      </c>
      <c r="M72" t="n">
        <v>0</v>
      </c>
      <c r="N72" t="n">
        <v>0</v>
      </c>
      <c r="O72" t="n">
        <v>0</v>
      </c>
      <c r="P72" t="n">
        <v>0</v>
      </c>
      <c r="Q72" t="n">
        <v>0</v>
      </c>
      <c r="R72" s="2" t="inlineStr"/>
    </row>
    <row r="73" ht="15" customHeight="1">
      <c r="A73" t="inlineStr">
        <is>
          <t>A 60885-2021</t>
        </is>
      </c>
      <c r="B73" s="1" t="n">
        <v>44497</v>
      </c>
      <c r="C73" s="1" t="n">
        <v>46128</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52667-2025</t>
        </is>
      </c>
      <c r="B74" s="1" t="n">
        <v>45955.74666666667</v>
      </c>
      <c r="C74" s="1" t="n">
        <v>46128</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52666-2025</t>
        </is>
      </c>
      <c r="B75" s="1" t="n">
        <v>45955.74299768519</v>
      </c>
      <c r="C75" s="1" t="n">
        <v>46128</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53898-2025</t>
        </is>
      </c>
      <c r="B76" s="1" t="n">
        <v>45961.43056712963</v>
      </c>
      <c r="C76" s="1" t="n">
        <v>46128</v>
      </c>
      <c r="D76" t="inlineStr">
        <is>
          <t>UPPSALA LÄN</t>
        </is>
      </c>
      <c r="E76" t="inlineStr">
        <is>
          <t>KNIVSTA</t>
        </is>
      </c>
      <c r="G76" t="n">
        <v>4.5</v>
      </c>
      <c r="H76" t="n">
        <v>0</v>
      </c>
      <c r="I76" t="n">
        <v>0</v>
      </c>
      <c r="J76" t="n">
        <v>0</v>
      </c>
      <c r="K76" t="n">
        <v>0</v>
      </c>
      <c r="L76" t="n">
        <v>0</v>
      </c>
      <c r="M76" t="n">
        <v>0</v>
      </c>
      <c r="N76" t="n">
        <v>0</v>
      </c>
      <c r="O76" t="n">
        <v>0</v>
      </c>
      <c r="P76" t="n">
        <v>0</v>
      </c>
      <c r="Q76" t="n">
        <v>0</v>
      </c>
      <c r="R76" s="2" t="inlineStr"/>
    </row>
    <row r="77" ht="15" customHeight="1">
      <c r="A77" t="inlineStr">
        <is>
          <t>A 33975-2025</t>
        </is>
      </c>
      <c r="B77" s="1" t="n">
        <v>45843.30805555556</v>
      </c>
      <c r="C77" s="1" t="n">
        <v>46128</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33974-2025</t>
        </is>
      </c>
      <c r="B78" s="1" t="n">
        <v>45843.305625</v>
      </c>
      <c r="C78" s="1" t="n">
        <v>46128</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33976-2025</t>
        </is>
      </c>
      <c r="B79" s="1" t="n">
        <v>45843</v>
      </c>
      <c r="C79" s="1" t="n">
        <v>46128</v>
      </c>
      <c r="D79" t="inlineStr">
        <is>
          <t>UPPSALA LÄN</t>
        </is>
      </c>
      <c r="E79" t="inlineStr">
        <is>
          <t>KNIVSTA</t>
        </is>
      </c>
      <c r="G79" t="n">
        <v>6.1</v>
      </c>
      <c r="H79" t="n">
        <v>0</v>
      </c>
      <c r="I79" t="n">
        <v>0</v>
      </c>
      <c r="J79" t="n">
        <v>0</v>
      </c>
      <c r="K79" t="n">
        <v>0</v>
      </c>
      <c r="L79" t="n">
        <v>0</v>
      </c>
      <c r="M79" t="n">
        <v>0</v>
      </c>
      <c r="N79" t="n">
        <v>0</v>
      </c>
      <c r="O79" t="n">
        <v>0</v>
      </c>
      <c r="P79" t="n">
        <v>0</v>
      </c>
      <c r="Q79" t="n">
        <v>0</v>
      </c>
      <c r="R79" s="2" t="inlineStr"/>
    </row>
    <row r="80" ht="15" customHeight="1">
      <c r="A80" t="inlineStr">
        <is>
          <t>A 34859-2025</t>
        </is>
      </c>
      <c r="B80" s="1" t="n">
        <v>45849.43511574074</v>
      </c>
      <c r="C80" s="1" t="n">
        <v>46128</v>
      </c>
      <c r="D80" t="inlineStr">
        <is>
          <t>UPPSALA LÄN</t>
        </is>
      </c>
      <c r="E80" t="inlineStr">
        <is>
          <t>KNIVSTA</t>
        </is>
      </c>
      <c r="F80" t="inlineStr">
        <is>
          <t>Holmen skog AB</t>
        </is>
      </c>
      <c r="G80" t="n">
        <v>6.1</v>
      </c>
      <c r="H80" t="n">
        <v>0</v>
      </c>
      <c r="I80" t="n">
        <v>0</v>
      </c>
      <c r="J80" t="n">
        <v>0</v>
      </c>
      <c r="K80" t="n">
        <v>0</v>
      </c>
      <c r="L80" t="n">
        <v>0</v>
      </c>
      <c r="M80" t="n">
        <v>0</v>
      </c>
      <c r="N80" t="n">
        <v>0</v>
      </c>
      <c r="O80" t="n">
        <v>0</v>
      </c>
      <c r="P80" t="n">
        <v>0</v>
      </c>
      <c r="Q80" t="n">
        <v>0</v>
      </c>
      <c r="R80" s="2" t="inlineStr"/>
    </row>
    <row r="81" ht="15" customHeight="1">
      <c r="A81" t="inlineStr">
        <is>
          <t>A 34864-2025</t>
        </is>
      </c>
      <c r="B81" s="1" t="n">
        <v>45849.44028935185</v>
      </c>
      <c r="C81" s="1" t="n">
        <v>46128</v>
      </c>
      <c r="D81" t="inlineStr">
        <is>
          <t>UPPSALA LÄN</t>
        </is>
      </c>
      <c r="E81" t="inlineStr">
        <is>
          <t>KNIVSTA</t>
        </is>
      </c>
      <c r="F81" t="inlineStr">
        <is>
          <t>Holmen skog AB</t>
        </is>
      </c>
      <c r="G81" t="n">
        <v>1.3</v>
      </c>
      <c r="H81" t="n">
        <v>0</v>
      </c>
      <c r="I81" t="n">
        <v>0</v>
      </c>
      <c r="J81" t="n">
        <v>0</v>
      </c>
      <c r="K81" t="n">
        <v>0</v>
      </c>
      <c r="L81" t="n">
        <v>0</v>
      </c>
      <c r="M81" t="n">
        <v>0</v>
      </c>
      <c r="N81" t="n">
        <v>0</v>
      </c>
      <c r="O81" t="n">
        <v>0</v>
      </c>
      <c r="P81" t="n">
        <v>0</v>
      </c>
      <c r="Q81" t="n">
        <v>0</v>
      </c>
      <c r="R81" s="2" t="inlineStr"/>
    </row>
    <row r="82" ht="15" customHeight="1">
      <c r="A82" t="inlineStr">
        <is>
          <t>A 35318-2025</t>
        </is>
      </c>
      <c r="B82" s="1" t="n">
        <v>45854.47917824074</v>
      </c>
      <c r="C82" s="1" t="n">
        <v>46128</v>
      </c>
      <c r="D82" t="inlineStr">
        <is>
          <t>UPPSALA LÄN</t>
        </is>
      </c>
      <c r="E82" t="inlineStr">
        <is>
          <t>KNIVSTA</t>
        </is>
      </c>
      <c r="F82" t="inlineStr">
        <is>
          <t>Holmen skog AB</t>
        </is>
      </c>
      <c r="G82" t="n">
        <v>2.2</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46128</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45525-2023</t>
        </is>
      </c>
      <c r="B84" s="1" t="n">
        <v>45194</v>
      </c>
      <c r="C84" s="1" t="n">
        <v>46128</v>
      </c>
      <c r="D84" t="inlineStr">
        <is>
          <t>UPPSALA LÄN</t>
        </is>
      </c>
      <c r="E84" t="inlineStr">
        <is>
          <t>KNIVSTA</t>
        </is>
      </c>
      <c r="G84" t="n">
        <v>0.7</v>
      </c>
      <c r="H84" t="n">
        <v>0</v>
      </c>
      <c r="I84" t="n">
        <v>0</v>
      </c>
      <c r="J84" t="n">
        <v>0</v>
      </c>
      <c r="K84" t="n">
        <v>0</v>
      </c>
      <c r="L84" t="n">
        <v>0</v>
      </c>
      <c r="M84" t="n">
        <v>0</v>
      </c>
      <c r="N84" t="n">
        <v>0</v>
      </c>
      <c r="O84" t="n">
        <v>0</v>
      </c>
      <c r="P84" t="n">
        <v>0</v>
      </c>
      <c r="Q84" t="n">
        <v>0</v>
      </c>
      <c r="R84" s="2" t="inlineStr"/>
    </row>
    <row r="85" ht="15" customHeight="1">
      <c r="A85" t="inlineStr">
        <is>
          <t>A 36470-2025</t>
        </is>
      </c>
      <c r="B85" s="1" t="n">
        <v>45869.47915509259</v>
      </c>
      <c r="C85" s="1" t="n">
        <v>46128</v>
      </c>
      <c r="D85" t="inlineStr">
        <is>
          <t>UPPSALA LÄN</t>
        </is>
      </c>
      <c r="E85" t="inlineStr">
        <is>
          <t>KNIVSTA</t>
        </is>
      </c>
      <c r="G85" t="n">
        <v>3.6</v>
      </c>
      <c r="H85" t="n">
        <v>0</v>
      </c>
      <c r="I85" t="n">
        <v>0</v>
      </c>
      <c r="J85" t="n">
        <v>0</v>
      </c>
      <c r="K85" t="n">
        <v>0</v>
      </c>
      <c r="L85" t="n">
        <v>0</v>
      </c>
      <c r="M85" t="n">
        <v>0</v>
      </c>
      <c r="N85" t="n">
        <v>0</v>
      </c>
      <c r="O85" t="n">
        <v>0</v>
      </c>
      <c r="P85" t="n">
        <v>0</v>
      </c>
      <c r="Q85" t="n">
        <v>0</v>
      </c>
      <c r="R85" s="2" t="inlineStr"/>
    </row>
    <row r="86" ht="15" customHeight="1">
      <c r="A86" t="inlineStr">
        <is>
          <t>A 36472-2025</t>
        </is>
      </c>
      <c r="B86" s="1" t="n">
        <v>45869.48162037037</v>
      </c>
      <c r="C86" s="1" t="n">
        <v>46128</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36473-2025</t>
        </is>
      </c>
      <c r="B87" s="1" t="n">
        <v>45869.48333333333</v>
      </c>
      <c r="C87" s="1" t="n">
        <v>46128</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57631-2025</t>
        </is>
      </c>
      <c r="B88" s="1" t="n">
        <v>45981.34748842593</v>
      </c>
      <c r="C88" s="1" t="n">
        <v>46128</v>
      </c>
      <c r="D88" t="inlineStr">
        <is>
          <t>UPPSALA LÄN</t>
        </is>
      </c>
      <c r="E88" t="inlineStr">
        <is>
          <t>KNIVSTA</t>
        </is>
      </c>
      <c r="G88" t="n">
        <v>3.4</v>
      </c>
      <c r="H88" t="n">
        <v>0</v>
      </c>
      <c r="I88" t="n">
        <v>0</v>
      </c>
      <c r="J88" t="n">
        <v>0</v>
      </c>
      <c r="K88" t="n">
        <v>0</v>
      </c>
      <c r="L88" t="n">
        <v>0</v>
      </c>
      <c r="M88" t="n">
        <v>0</v>
      </c>
      <c r="N88" t="n">
        <v>0</v>
      </c>
      <c r="O88" t="n">
        <v>0</v>
      </c>
      <c r="P88" t="n">
        <v>0</v>
      </c>
      <c r="Q88" t="n">
        <v>0</v>
      </c>
      <c r="R88" s="2" t="inlineStr"/>
    </row>
    <row r="89" ht="15" customHeight="1">
      <c r="A89" t="inlineStr">
        <is>
          <t>A 16773-2022</t>
        </is>
      </c>
      <c r="B89" s="1" t="n">
        <v>44673</v>
      </c>
      <c r="C89" s="1" t="n">
        <v>46128</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30764-2023</t>
        </is>
      </c>
      <c r="B90" s="1" t="n">
        <v>45112</v>
      </c>
      <c r="C90" s="1" t="n">
        <v>46128</v>
      </c>
      <c r="D90" t="inlineStr">
        <is>
          <t>UPPSALA LÄN</t>
        </is>
      </c>
      <c r="E90" t="inlineStr">
        <is>
          <t>KNIVSTA</t>
        </is>
      </c>
      <c r="F90" t="inlineStr">
        <is>
          <t>Holmen skog AB</t>
        </is>
      </c>
      <c r="G90" t="n">
        <v>0.9</v>
      </c>
      <c r="H90" t="n">
        <v>0</v>
      </c>
      <c r="I90" t="n">
        <v>0</v>
      </c>
      <c r="J90" t="n">
        <v>0</v>
      </c>
      <c r="K90" t="n">
        <v>0</v>
      </c>
      <c r="L90" t="n">
        <v>0</v>
      </c>
      <c r="M90" t="n">
        <v>0</v>
      </c>
      <c r="N90" t="n">
        <v>0</v>
      </c>
      <c r="O90" t="n">
        <v>0</v>
      </c>
      <c r="P90" t="n">
        <v>0</v>
      </c>
      <c r="Q90" t="n">
        <v>0</v>
      </c>
      <c r="R90" s="2" t="inlineStr"/>
    </row>
    <row r="91" ht="15" customHeight="1">
      <c r="A91" t="inlineStr">
        <is>
          <t>A 51849-2023</t>
        </is>
      </c>
      <c r="B91" s="1" t="n">
        <v>45223.34391203704</v>
      </c>
      <c r="C91" s="1" t="n">
        <v>46128</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ht="15" customHeight="1">
      <c r="A92" t="inlineStr">
        <is>
          <t>A 60018-2024</t>
        </is>
      </c>
      <c r="B92" s="1" t="n">
        <v>45642</v>
      </c>
      <c r="C92" s="1" t="n">
        <v>46128</v>
      </c>
      <c r="D92" t="inlineStr">
        <is>
          <t>UPPSALA LÄN</t>
        </is>
      </c>
      <c r="E92" t="inlineStr">
        <is>
          <t>KNIVSTA</t>
        </is>
      </c>
      <c r="G92" t="n">
        <v>4.1</v>
      </c>
      <c r="H92" t="n">
        <v>0</v>
      </c>
      <c r="I92" t="n">
        <v>0</v>
      </c>
      <c r="J92" t="n">
        <v>0</v>
      </c>
      <c r="K92" t="n">
        <v>0</v>
      </c>
      <c r="L92" t="n">
        <v>0</v>
      </c>
      <c r="M92" t="n">
        <v>0</v>
      </c>
      <c r="N92" t="n">
        <v>0</v>
      </c>
      <c r="O92" t="n">
        <v>0</v>
      </c>
      <c r="P92" t="n">
        <v>0</v>
      </c>
      <c r="Q92" t="n">
        <v>0</v>
      </c>
      <c r="R92" s="2" t="inlineStr"/>
    </row>
    <row r="93" ht="15" customHeight="1">
      <c r="A93" t="inlineStr">
        <is>
          <t>A 53812-2025</t>
        </is>
      </c>
      <c r="B93" s="1" t="n">
        <v>45960</v>
      </c>
      <c r="C93" s="1" t="n">
        <v>46128</v>
      </c>
      <c r="D93" t="inlineStr">
        <is>
          <t>UPPSALA LÄN</t>
        </is>
      </c>
      <c r="E93" t="inlineStr">
        <is>
          <t>KNIVSTA</t>
        </is>
      </c>
      <c r="G93" t="n">
        <v>5.8</v>
      </c>
      <c r="H93" t="n">
        <v>0</v>
      </c>
      <c r="I93" t="n">
        <v>0</v>
      </c>
      <c r="J93" t="n">
        <v>0</v>
      </c>
      <c r="K93" t="n">
        <v>0</v>
      </c>
      <c r="L93" t="n">
        <v>0</v>
      </c>
      <c r="M93" t="n">
        <v>0</v>
      </c>
      <c r="N93" t="n">
        <v>0</v>
      </c>
      <c r="O93" t="n">
        <v>0</v>
      </c>
      <c r="P93" t="n">
        <v>0</v>
      </c>
      <c r="Q93" t="n">
        <v>0</v>
      </c>
      <c r="R93" s="2" t="inlineStr"/>
    </row>
    <row r="94" ht="15" customHeight="1">
      <c r="A94" t="inlineStr">
        <is>
          <t>A 60243-2025</t>
        </is>
      </c>
      <c r="B94" s="1" t="n">
        <v>45994.58650462963</v>
      </c>
      <c r="C94" s="1" t="n">
        <v>46128</v>
      </c>
      <c r="D94" t="inlineStr">
        <is>
          <t>UPPSALA LÄN</t>
        </is>
      </c>
      <c r="E94" t="inlineStr">
        <is>
          <t>KNIVSTA</t>
        </is>
      </c>
      <c r="F94" t="inlineStr">
        <is>
          <t>Holmen skog AB</t>
        </is>
      </c>
      <c r="G94" t="n">
        <v>2.4</v>
      </c>
      <c r="H94" t="n">
        <v>0</v>
      </c>
      <c r="I94" t="n">
        <v>0</v>
      </c>
      <c r="J94" t="n">
        <v>0</v>
      </c>
      <c r="K94" t="n">
        <v>0</v>
      </c>
      <c r="L94" t="n">
        <v>0</v>
      </c>
      <c r="M94" t="n">
        <v>0</v>
      </c>
      <c r="N94" t="n">
        <v>0</v>
      </c>
      <c r="O94" t="n">
        <v>0</v>
      </c>
      <c r="P94" t="n">
        <v>0</v>
      </c>
      <c r="Q94" t="n">
        <v>0</v>
      </c>
      <c r="R94" s="2" t="inlineStr"/>
    </row>
    <row r="95" ht="15" customHeight="1">
      <c r="A95" t="inlineStr">
        <is>
          <t>A 17333-2024</t>
        </is>
      </c>
      <c r="B95" s="1" t="n">
        <v>45414.5625462963</v>
      </c>
      <c r="C95" s="1" t="n">
        <v>46128</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1791-2024</t>
        </is>
      </c>
      <c r="B96" s="1" t="n">
        <v>45307.574375</v>
      </c>
      <c r="C96" s="1" t="n">
        <v>46128</v>
      </c>
      <c r="D96" t="inlineStr">
        <is>
          <t>UPPSALA LÄN</t>
        </is>
      </c>
      <c r="E96" t="inlineStr">
        <is>
          <t>KNIVSTA</t>
        </is>
      </c>
      <c r="G96" t="n">
        <v>1.4</v>
      </c>
      <c r="H96" t="n">
        <v>0</v>
      </c>
      <c r="I96" t="n">
        <v>0</v>
      </c>
      <c r="J96" t="n">
        <v>0</v>
      </c>
      <c r="K96" t="n">
        <v>0</v>
      </c>
      <c r="L96" t="n">
        <v>0</v>
      </c>
      <c r="M96" t="n">
        <v>0</v>
      </c>
      <c r="N96" t="n">
        <v>0</v>
      </c>
      <c r="O96" t="n">
        <v>0</v>
      </c>
      <c r="P96" t="n">
        <v>0</v>
      </c>
      <c r="Q96" t="n">
        <v>0</v>
      </c>
      <c r="R96" s="2" t="inlineStr"/>
    </row>
    <row r="97" ht="15" customHeight="1">
      <c r="A97" t="inlineStr">
        <is>
          <t>A 5402-2023</t>
        </is>
      </c>
      <c r="B97" s="1" t="n">
        <v>44959</v>
      </c>
      <c r="C97" s="1" t="n">
        <v>46128</v>
      </c>
      <c r="D97" t="inlineStr">
        <is>
          <t>UPPSALA LÄN</t>
        </is>
      </c>
      <c r="E97" t="inlineStr">
        <is>
          <t>KNIVSTA</t>
        </is>
      </c>
      <c r="G97" t="n">
        <v>4.3</v>
      </c>
      <c r="H97" t="n">
        <v>0</v>
      </c>
      <c r="I97" t="n">
        <v>0</v>
      </c>
      <c r="J97" t="n">
        <v>0</v>
      </c>
      <c r="K97" t="n">
        <v>0</v>
      </c>
      <c r="L97" t="n">
        <v>0</v>
      </c>
      <c r="M97" t="n">
        <v>0</v>
      </c>
      <c r="N97" t="n">
        <v>0</v>
      </c>
      <c r="O97" t="n">
        <v>0</v>
      </c>
      <c r="P97" t="n">
        <v>0</v>
      </c>
      <c r="Q97" t="n">
        <v>0</v>
      </c>
      <c r="R97" s="2" t="inlineStr"/>
    </row>
    <row r="98" ht="15" customHeight="1">
      <c r="A98" t="inlineStr">
        <is>
          <t>A 66305-2021</t>
        </is>
      </c>
      <c r="B98" s="1" t="n">
        <v>44518</v>
      </c>
      <c r="C98" s="1" t="n">
        <v>46128</v>
      </c>
      <c r="D98" t="inlineStr">
        <is>
          <t>UPPSALA LÄN</t>
        </is>
      </c>
      <c r="E98" t="inlineStr">
        <is>
          <t>KNIVSTA</t>
        </is>
      </c>
      <c r="G98" t="n">
        <v>8.300000000000001</v>
      </c>
      <c r="H98" t="n">
        <v>0</v>
      </c>
      <c r="I98" t="n">
        <v>0</v>
      </c>
      <c r="J98" t="n">
        <v>0</v>
      </c>
      <c r="K98" t="n">
        <v>0</v>
      </c>
      <c r="L98" t="n">
        <v>0</v>
      </c>
      <c r="M98" t="n">
        <v>0</v>
      </c>
      <c r="N98" t="n">
        <v>0</v>
      </c>
      <c r="O98" t="n">
        <v>0</v>
      </c>
      <c r="P98" t="n">
        <v>0</v>
      </c>
      <c r="Q98" t="n">
        <v>0</v>
      </c>
      <c r="R98" s="2" t="inlineStr"/>
    </row>
    <row r="99" ht="15" customHeight="1">
      <c r="A99" t="inlineStr">
        <is>
          <t>A 662-2026</t>
        </is>
      </c>
      <c r="B99" s="1" t="n">
        <v>46029.58549768518</v>
      </c>
      <c r="C99" s="1" t="n">
        <v>46128</v>
      </c>
      <c r="D99" t="inlineStr">
        <is>
          <t>UPPSALA LÄN</t>
        </is>
      </c>
      <c r="E99" t="inlineStr">
        <is>
          <t>KNIVSTA</t>
        </is>
      </c>
      <c r="G99" t="n">
        <v>1.4</v>
      </c>
      <c r="H99" t="n">
        <v>0</v>
      </c>
      <c r="I99" t="n">
        <v>0</v>
      </c>
      <c r="J99" t="n">
        <v>0</v>
      </c>
      <c r="K99" t="n">
        <v>0</v>
      </c>
      <c r="L99" t="n">
        <v>0</v>
      </c>
      <c r="M99" t="n">
        <v>0</v>
      </c>
      <c r="N99" t="n">
        <v>0</v>
      </c>
      <c r="O99" t="n">
        <v>0</v>
      </c>
      <c r="P99" t="n">
        <v>0</v>
      </c>
      <c r="Q99" t="n">
        <v>0</v>
      </c>
      <c r="R99" s="2" t="inlineStr"/>
    </row>
    <row r="100" ht="15" customHeight="1">
      <c r="A100" t="inlineStr">
        <is>
          <t>A 666-2026</t>
        </is>
      </c>
      <c r="B100" s="1" t="n">
        <v>46029.58832175926</v>
      </c>
      <c r="C100" s="1" t="n">
        <v>46128</v>
      </c>
      <c r="D100" t="inlineStr">
        <is>
          <t>UPPSALA LÄN</t>
        </is>
      </c>
      <c r="E100" t="inlineStr">
        <is>
          <t>KNIVSTA</t>
        </is>
      </c>
      <c r="G100" t="n">
        <v>1.8</v>
      </c>
      <c r="H100" t="n">
        <v>0</v>
      </c>
      <c r="I100" t="n">
        <v>0</v>
      </c>
      <c r="J100" t="n">
        <v>0</v>
      </c>
      <c r="K100" t="n">
        <v>0</v>
      </c>
      <c r="L100" t="n">
        <v>0</v>
      </c>
      <c r="M100" t="n">
        <v>0</v>
      </c>
      <c r="N100" t="n">
        <v>0</v>
      </c>
      <c r="O100" t="n">
        <v>0</v>
      </c>
      <c r="P100" t="n">
        <v>0</v>
      </c>
      <c r="Q100" t="n">
        <v>0</v>
      </c>
      <c r="R100" s="2" t="inlineStr"/>
    </row>
    <row r="101" ht="15" customHeight="1">
      <c r="A101" t="inlineStr">
        <is>
          <t>A 2628-2025</t>
        </is>
      </c>
      <c r="B101" s="1" t="n">
        <v>45675.68435185185</v>
      </c>
      <c r="C101" s="1" t="n">
        <v>46128</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2952-2026</t>
        </is>
      </c>
      <c r="B102" s="1" t="n">
        <v>46037</v>
      </c>
      <c r="C102" s="1" t="n">
        <v>46128</v>
      </c>
      <c r="D102" t="inlineStr">
        <is>
          <t>UPPSALA LÄN</t>
        </is>
      </c>
      <c r="E102" t="inlineStr">
        <is>
          <t>KNIVSTA</t>
        </is>
      </c>
      <c r="G102" t="n">
        <v>2</v>
      </c>
      <c r="H102" t="n">
        <v>0</v>
      </c>
      <c r="I102" t="n">
        <v>0</v>
      </c>
      <c r="J102" t="n">
        <v>0</v>
      </c>
      <c r="K102" t="n">
        <v>0</v>
      </c>
      <c r="L102" t="n">
        <v>0</v>
      </c>
      <c r="M102" t="n">
        <v>0</v>
      </c>
      <c r="N102" t="n">
        <v>0</v>
      </c>
      <c r="O102" t="n">
        <v>0</v>
      </c>
      <c r="P102" t="n">
        <v>0</v>
      </c>
      <c r="Q102" t="n">
        <v>0</v>
      </c>
      <c r="R102" s="2" t="inlineStr"/>
    </row>
    <row r="103" ht="15" customHeight="1">
      <c r="A103" t="inlineStr">
        <is>
          <t>A 3016-2026</t>
        </is>
      </c>
      <c r="B103" s="1" t="n">
        <v>46038</v>
      </c>
      <c r="C103" s="1" t="n">
        <v>46128</v>
      </c>
      <c r="D103" t="inlineStr">
        <is>
          <t>UPPSALA LÄN</t>
        </is>
      </c>
      <c r="E103" t="inlineStr">
        <is>
          <t>KNIVSTA</t>
        </is>
      </c>
      <c r="G103" t="n">
        <v>0.9</v>
      </c>
      <c r="H103" t="n">
        <v>0</v>
      </c>
      <c r="I103" t="n">
        <v>0</v>
      </c>
      <c r="J103" t="n">
        <v>0</v>
      </c>
      <c r="K103" t="n">
        <v>0</v>
      </c>
      <c r="L103" t="n">
        <v>0</v>
      </c>
      <c r="M103" t="n">
        <v>0</v>
      </c>
      <c r="N103" t="n">
        <v>0</v>
      </c>
      <c r="O103" t="n">
        <v>0</v>
      </c>
      <c r="P103" t="n">
        <v>0</v>
      </c>
      <c r="Q103" t="n">
        <v>0</v>
      </c>
      <c r="R103" s="2" t="inlineStr"/>
    </row>
    <row r="104" ht="15" customHeight="1">
      <c r="A104" t="inlineStr">
        <is>
          <t>A 5276-2026</t>
        </is>
      </c>
      <c r="B104" s="1" t="n">
        <v>46037</v>
      </c>
      <c r="C104" s="1" t="n">
        <v>46128</v>
      </c>
      <c r="D104" t="inlineStr">
        <is>
          <t>UPPSALA LÄN</t>
        </is>
      </c>
      <c r="E104" t="inlineStr">
        <is>
          <t>KNIVSTA</t>
        </is>
      </c>
      <c r="G104" t="n">
        <v>1.9</v>
      </c>
      <c r="H104" t="n">
        <v>0</v>
      </c>
      <c r="I104" t="n">
        <v>0</v>
      </c>
      <c r="J104" t="n">
        <v>0</v>
      </c>
      <c r="K104" t="n">
        <v>0</v>
      </c>
      <c r="L104" t="n">
        <v>0</v>
      </c>
      <c r="M104" t="n">
        <v>0</v>
      </c>
      <c r="N104" t="n">
        <v>0</v>
      </c>
      <c r="O104" t="n">
        <v>0</v>
      </c>
      <c r="P104" t="n">
        <v>0</v>
      </c>
      <c r="Q104" t="n">
        <v>0</v>
      </c>
      <c r="R104" s="2" t="inlineStr"/>
    </row>
    <row r="105" ht="15" customHeight="1">
      <c r="A105" t="inlineStr">
        <is>
          <t>A 3015-2026</t>
        </is>
      </c>
      <c r="B105" s="1" t="n">
        <v>46038</v>
      </c>
      <c r="C105" s="1" t="n">
        <v>46128</v>
      </c>
      <c r="D105" t="inlineStr">
        <is>
          <t>UPPSALA LÄN</t>
        </is>
      </c>
      <c r="E105" t="inlineStr">
        <is>
          <t>KNIVSTA</t>
        </is>
      </c>
      <c r="G105" t="n">
        <v>1.5</v>
      </c>
      <c r="H105" t="n">
        <v>0</v>
      </c>
      <c r="I105" t="n">
        <v>0</v>
      </c>
      <c r="J105" t="n">
        <v>0</v>
      </c>
      <c r="K105" t="n">
        <v>0</v>
      </c>
      <c r="L105" t="n">
        <v>0</v>
      </c>
      <c r="M105" t="n">
        <v>0</v>
      </c>
      <c r="N105" t="n">
        <v>0</v>
      </c>
      <c r="O105" t="n">
        <v>0</v>
      </c>
      <c r="P105" t="n">
        <v>0</v>
      </c>
      <c r="Q105" t="n">
        <v>0</v>
      </c>
      <c r="R105" s="2" t="inlineStr"/>
    </row>
    <row r="106" ht="15" customHeight="1">
      <c r="A106" t="inlineStr">
        <is>
          <t>A 2944-2026</t>
        </is>
      </c>
      <c r="B106" s="1" t="n">
        <v>46037</v>
      </c>
      <c r="C106" s="1" t="n">
        <v>46128</v>
      </c>
      <c r="D106" t="inlineStr">
        <is>
          <t>UPPSALA LÄN</t>
        </is>
      </c>
      <c r="E106" t="inlineStr">
        <is>
          <t>KNIVSTA</t>
        </is>
      </c>
      <c r="G106" t="n">
        <v>4.7</v>
      </c>
      <c r="H106" t="n">
        <v>0</v>
      </c>
      <c r="I106" t="n">
        <v>0</v>
      </c>
      <c r="J106" t="n">
        <v>0</v>
      </c>
      <c r="K106" t="n">
        <v>0</v>
      </c>
      <c r="L106" t="n">
        <v>0</v>
      </c>
      <c r="M106" t="n">
        <v>0</v>
      </c>
      <c r="N106" t="n">
        <v>0</v>
      </c>
      <c r="O106" t="n">
        <v>0</v>
      </c>
      <c r="P106" t="n">
        <v>0</v>
      </c>
      <c r="Q106" t="n">
        <v>0</v>
      </c>
      <c r="R106" s="2" t="inlineStr"/>
    </row>
    <row r="107" ht="15" customHeight="1">
      <c r="A107" t="inlineStr">
        <is>
          <t>A 3375-2026</t>
        </is>
      </c>
      <c r="B107" s="1" t="n">
        <v>46042</v>
      </c>
      <c r="C107" s="1" t="n">
        <v>46128</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11452-2023</t>
        </is>
      </c>
      <c r="B108" s="1" t="n">
        <v>44993</v>
      </c>
      <c r="C108" s="1" t="n">
        <v>46128</v>
      </c>
      <c r="D108" t="inlineStr">
        <is>
          <t>UPPSALA LÄN</t>
        </is>
      </c>
      <c r="E108" t="inlineStr">
        <is>
          <t>KNIVSTA</t>
        </is>
      </c>
      <c r="G108" t="n">
        <v>2.5</v>
      </c>
      <c r="H108" t="n">
        <v>0</v>
      </c>
      <c r="I108" t="n">
        <v>0</v>
      </c>
      <c r="J108" t="n">
        <v>0</v>
      </c>
      <c r="K108" t="n">
        <v>0</v>
      </c>
      <c r="L108" t="n">
        <v>0</v>
      </c>
      <c r="M108" t="n">
        <v>0</v>
      </c>
      <c r="N108" t="n">
        <v>0</v>
      </c>
      <c r="O108" t="n">
        <v>0</v>
      </c>
      <c r="P108" t="n">
        <v>0</v>
      </c>
      <c r="Q108" t="n">
        <v>0</v>
      </c>
      <c r="R108" s="2" t="inlineStr"/>
    </row>
    <row r="109" ht="15" customHeight="1">
      <c r="A109" t="inlineStr">
        <is>
          <t>A 12027-2026</t>
        </is>
      </c>
      <c r="B109" s="1" t="n">
        <v>46085.84549768519</v>
      </c>
      <c r="C109" s="1" t="n">
        <v>46128</v>
      </c>
      <c r="D109" t="inlineStr">
        <is>
          <t>UPPSALA LÄN</t>
        </is>
      </c>
      <c r="E109" t="inlineStr">
        <is>
          <t>KNIVSTA</t>
        </is>
      </c>
      <c r="G109" t="n">
        <v>0.6</v>
      </c>
      <c r="H109" t="n">
        <v>0</v>
      </c>
      <c r="I109" t="n">
        <v>0</v>
      </c>
      <c r="J109" t="n">
        <v>0</v>
      </c>
      <c r="K109" t="n">
        <v>0</v>
      </c>
      <c r="L109" t="n">
        <v>0</v>
      </c>
      <c r="M109" t="n">
        <v>0</v>
      </c>
      <c r="N109" t="n">
        <v>0</v>
      </c>
      <c r="O109" t="n">
        <v>0</v>
      </c>
      <c r="P109" t="n">
        <v>0</v>
      </c>
      <c r="Q109" t="n">
        <v>0</v>
      </c>
      <c r="R109" s="2" t="inlineStr"/>
    </row>
    <row r="110" ht="15" customHeight="1">
      <c r="A110" t="inlineStr">
        <is>
          <t>A 3824-2026</t>
        </is>
      </c>
      <c r="B110" s="1" t="n">
        <v>46043.58570601852</v>
      </c>
      <c r="C110" s="1" t="n">
        <v>46128</v>
      </c>
      <c r="D110" t="inlineStr">
        <is>
          <t>UPPSALA LÄN</t>
        </is>
      </c>
      <c r="E110" t="inlineStr">
        <is>
          <t>KNIVSTA</t>
        </is>
      </c>
      <c r="G110" t="n">
        <v>1.9</v>
      </c>
      <c r="H110" t="n">
        <v>0</v>
      </c>
      <c r="I110" t="n">
        <v>0</v>
      </c>
      <c r="J110" t="n">
        <v>0</v>
      </c>
      <c r="K110" t="n">
        <v>0</v>
      </c>
      <c r="L110" t="n">
        <v>0</v>
      </c>
      <c r="M110" t="n">
        <v>0</v>
      </c>
      <c r="N110" t="n">
        <v>0</v>
      </c>
      <c r="O110" t="n">
        <v>0</v>
      </c>
      <c r="P110" t="n">
        <v>0</v>
      </c>
      <c r="Q110" t="n">
        <v>0</v>
      </c>
      <c r="R110" s="2" t="inlineStr"/>
    </row>
    <row r="111" ht="15" customHeight="1">
      <c r="A111" t="inlineStr">
        <is>
          <t>A 43908-2023</t>
        </is>
      </c>
      <c r="B111" s="1" t="n">
        <v>45187</v>
      </c>
      <c r="C111" s="1" t="n">
        <v>46128</v>
      </c>
      <c r="D111" t="inlineStr">
        <is>
          <t>UPPSALA LÄN</t>
        </is>
      </c>
      <c r="E111" t="inlineStr">
        <is>
          <t>KNIVSTA</t>
        </is>
      </c>
      <c r="F111" t="inlineStr">
        <is>
          <t>Kyrkan</t>
        </is>
      </c>
      <c r="G111" t="n">
        <v>1.7</v>
      </c>
      <c r="H111" t="n">
        <v>0</v>
      </c>
      <c r="I111" t="n">
        <v>0</v>
      </c>
      <c r="J111" t="n">
        <v>0</v>
      </c>
      <c r="K111" t="n">
        <v>0</v>
      </c>
      <c r="L111" t="n">
        <v>0</v>
      </c>
      <c r="M111" t="n">
        <v>0</v>
      </c>
      <c r="N111" t="n">
        <v>0</v>
      </c>
      <c r="O111" t="n">
        <v>0</v>
      </c>
      <c r="P111" t="n">
        <v>0</v>
      </c>
      <c r="Q111" t="n">
        <v>0</v>
      </c>
      <c r="R111" s="2" t="inlineStr"/>
    </row>
    <row r="112" ht="15" customHeight="1">
      <c r="A112" t="inlineStr">
        <is>
          <t>A 3836-2026</t>
        </is>
      </c>
      <c r="B112" s="1" t="n">
        <v>46043.5925</v>
      </c>
      <c r="C112" s="1" t="n">
        <v>46128</v>
      </c>
      <c r="D112" t="inlineStr">
        <is>
          <t>UPPSALA LÄN</t>
        </is>
      </c>
      <c r="E112" t="inlineStr">
        <is>
          <t>KNIVSTA</t>
        </is>
      </c>
      <c r="G112" t="n">
        <v>3.7</v>
      </c>
      <c r="H112" t="n">
        <v>0</v>
      </c>
      <c r="I112" t="n">
        <v>0</v>
      </c>
      <c r="J112" t="n">
        <v>0</v>
      </c>
      <c r="K112" t="n">
        <v>0</v>
      </c>
      <c r="L112" t="n">
        <v>0</v>
      </c>
      <c r="M112" t="n">
        <v>0</v>
      </c>
      <c r="N112" t="n">
        <v>0</v>
      </c>
      <c r="O112" t="n">
        <v>0</v>
      </c>
      <c r="P112" t="n">
        <v>0</v>
      </c>
      <c r="Q112" t="n">
        <v>0</v>
      </c>
      <c r="R112" s="2" t="inlineStr"/>
    </row>
    <row r="113" ht="15" customHeight="1">
      <c r="A113" t="inlineStr">
        <is>
          <t>A 14267-2025</t>
        </is>
      </c>
      <c r="B113" s="1" t="n">
        <v>45740.63686342593</v>
      </c>
      <c r="C113" s="1" t="n">
        <v>46128</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13011-2026</t>
        </is>
      </c>
      <c r="B114" s="1" t="n">
        <v>46092.71887731482</v>
      </c>
      <c r="C114" s="1" t="n">
        <v>46128</v>
      </c>
      <c r="D114" t="inlineStr">
        <is>
          <t>UPPSALA LÄN</t>
        </is>
      </c>
      <c r="E114" t="inlineStr">
        <is>
          <t>KNIVSTA</t>
        </is>
      </c>
      <c r="F114" t="inlineStr">
        <is>
          <t>Holmen skog AB</t>
        </is>
      </c>
      <c r="G114" t="n">
        <v>1.9</v>
      </c>
      <c r="H114" t="n">
        <v>0</v>
      </c>
      <c r="I114" t="n">
        <v>0</v>
      </c>
      <c r="J114" t="n">
        <v>0</v>
      </c>
      <c r="K114" t="n">
        <v>0</v>
      </c>
      <c r="L114" t="n">
        <v>0</v>
      </c>
      <c r="M114" t="n">
        <v>0</v>
      </c>
      <c r="N114" t="n">
        <v>0</v>
      </c>
      <c r="O114" t="n">
        <v>0</v>
      </c>
      <c r="P114" t="n">
        <v>0</v>
      </c>
      <c r="Q114" t="n">
        <v>0</v>
      </c>
      <c r="R114" s="2" t="inlineStr"/>
      <c r="U114">
        <f>HYPERLINK("https://klasma.github.io/Logging_0330/knärot/A 13011-2026 karta knärot.png", "A 13011-2026")</f>
        <v/>
      </c>
      <c r="V114">
        <f>HYPERLINK("https://klasma.github.io/Logging_0330/klagomål/A 13011-2026 FSC-klagomål.docx", "A 13011-2026")</f>
        <v/>
      </c>
      <c r="W114">
        <f>HYPERLINK("https://klasma.github.io/Logging_0330/klagomålsmail/A 13011-2026 FSC-klagomål mail.docx", "A 13011-2026")</f>
        <v/>
      </c>
      <c r="X114">
        <f>HYPERLINK("https://klasma.github.io/Logging_0330/tillsyn/A 13011-2026 tillsynsbegäran.docx", "A 13011-2026")</f>
        <v/>
      </c>
      <c r="Y114">
        <f>HYPERLINK("https://klasma.github.io/Logging_0330/tillsynsmail/A 13011-2026 tillsynsbegäran mail.docx", "A 13011-2026")</f>
        <v/>
      </c>
    </row>
    <row r="115" ht="15" customHeight="1">
      <c r="A115" t="inlineStr">
        <is>
          <t>A 13013-2026</t>
        </is>
      </c>
      <c r="B115" s="1" t="n">
        <v>46092.7271412037</v>
      </c>
      <c r="C115" s="1" t="n">
        <v>46128</v>
      </c>
      <c r="D115" t="inlineStr">
        <is>
          <t>UPPSALA LÄN</t>
        </is>
      </c>
      <c r="E115" t="inlineStr">
        <is>
          <t>KNIVSTA</t>
        </is>
      </c>
      <c r="F115" t="inlineStr">
        <is>
          <t>Holmen skog AB</t>
        </is>
      </c>
      <c r="G115" t="n">
        <v>4.6</v>
      </c>
      <c r="H115" t="n">
        <v>0</v>
      </c>
      <c r="I115" t="n">
        <v>0</v>
      </c>
      <c r="J115" t="n">
        <v>0</v>
      </c>
      <c r="K115" t="n">
        <v>0</v>
      </c>
      <c r="L115" t="n">
        <v>0</v>
      </c>
      <c r="M115" t="n">
        <v>0</v>
      </c>
      <c r="N115" t="n">
        <v>0</v>
      </c>
      <c r="O115" t="n">
        <v>0</v>
      </c>
      <c r="P115" t="n">
        <v>0</v>
      </c>
      <c r="Q115" t="n">
        <v>0</v>
      </c>
      <c r="R115" s="2" t="inlineStr"/>
    </row>
    <row r="116" ht="15" customHeight="1">
      <c r="A116" t="inlineStr">
        <is>
          <t>A 12991-2026</t>
        </is>
      </c>
      <c r="B116" s="1" t="n">
        <v>46092.66820601852</v>
      </c>
      <c r="C116" s="1" t="n">
        <v>46128</v>
      </c>
      <c r="D116" t="inlineStr">
        <is>
          <t>UPPSALA LÄN</t>
        </is>
      </c>
      <c r="E116" t="inlineStr">
        <is>
          <t>KNIVSTA</t>
        </is>
      </c>
      <c r="F116" t="inlineStr">
        <is>
          <t>Holmen skog AB</t>
        </is>
      </c>
      <c r="G116" t="n">
        <v>4.6</v>
      </c>
      <c r="H116" t="n">
        <v>0</v>
      </c>
      <c r="I116" t="n">
        <v>0</v>
      </c>
      <c r="J116" t="n">
        <v>0</v>
      </c>
      <c r="K116" t="n">
        <v>0</v>
      </c>
      <c r="L116" t="n">
        <v>0</v>
      </c>
      <c r="M116" t="n">
        <v>0</v>
      </c>
      <c r="N116" t="n">
        <v>0</v>
      </c>
      <c r="O116" t="n">
        <v>0</v>
      </c>
      <c r="P116" t="n">
        <v>0</v>
      </c>
      <c r="Q116" t="n">
        <v>0</v>
      </c>
      <c r="R116" s="2" t="inlineStr"/>
    </row>
    <row r="117" ht="15" customHeight="1">
      <c r="A117" t="inlineStr">
        <is>
          <t>A 13005-2026</t>
        </is>
      </c>
      <c r="B117" s="1" t="n">
        <v>46092.69429398148</v>
      </c>
      <c r="C117" s="1" t="n">
        <v>46128</v>
      </c>
      <c r="D117" t="inlineStr">
        <is>
          <t>UPPSALA LÄN</t>
        </is>
      </c>
      <c r="E117" t="inlineStr">
        <is>
          <t>KNIVSTA</t>
        </is>
      </c>
      <c r="F117" t="inlineStr">
        <is>
          <t>Holmen skog AB</t>
        </is>
      </c>
      <c r="G117" t="n">
        <v>3</v>
      </c>
      <c r="H117" t="n">
        <v>0</v>
      </c>
      <c r="I117" t="n">
        <v>0</v>
      </c>
      <c r="J117" t="n">
        <v>0</v>
      </c>
      <c r="K117" t="n">
        <v>0</v>
      </c>
      <c r="L117" t="n">
        <v>0</v>
      </c>
      <c r="M117" t="n">
        <v>0</v>
      </c>
      <c r="N117" t="n">
        <v>0</v>
      </c>
      <c r="O117" t="n">
        <v>0</v>
      </c>
      <c r="P117" t="n">
        <v>0</v>
      </c>
      <c r="Q117" t="n">
        <v>0</v>
      </c>
      <c r="R117" s="2" t="inlineStr"/>
    </row>
    <row r="118" ht="15" customHeight="1">
      <c r="A118" t="inlineStr">
        <is>
          <t>A 13016-2026</t>
        </is>
      </c>
      <c r="B118" s="1" t="n">
        <v>46092.73381944445</v>
      </c>
      <c r="C118" s="1" t="n">
        <v>46128</v>
      </c>
      <c r="D118" t="inlineStr">
        <is>
          <t>UPPSALA LÄN</t>
        </is>
      </c>
      <c r="E118" t="inlineStr">
        <is>
          <t>KNIVSTA</t>
        </is>
      </c>
      <c r="F118" t="inlineStr">
        <is>
          <t>Holmen skog AB</t>
        </is>
      </c>
      <c r="G118" t="n">
        <v>1.5</v>
      </c>
      <c r="H118" t="n">
        <v>0</v>
      </c>
      <c r="I118" t="n">
        <v>0</v>
      </c>
      <c r="J118" t="n">
        <v>0</v>
      </c>
      <c r="K118" t="n">
        <v>0</v>
      </c>
      <c r="L118" t="n">
        <v>0</v>
      </c>
      <c r="M118" t="n">
        <v>0</v>
      </c>
      <c r="N118" t="n">
        <v>0</v>
      </c>
      <c r="O118" t="n">
        <v>0</v>
      </c>
      <c r="P118" t="n">
        <v>0</v>
      </c>
      <c r="Q118" t="n">
        <v>0</v>
      </c>
      <c r="R118" s="2" t="inlineStr"/>
    </row>
    <row r="119" ht="15" customHeight="1">
      <c r="A119" t="inlineStr">
        <is>
          <t>A 12774-2026</t>
        </is>
      </c>
      <c r="B119" s="1" t="n">
        <v>46091.70140046296</v>
      </c>
      <c r="C119" s="1" t="n">
        <v>46128</v>
      </c>
      <c r="D119" t="inlineStr">
        <is>
          <t>UPPSALA LÄN</t>
        </is>
      </c>
      <c r="E119" t="inlineStr">
        <is>
          <t>KNIVSTA</t>
        </is>
      </c>
      <c r="F119" t="inlineStr">
        <is>
          <t>Holmen skog AB</t>
        </is>
      </c>
      <c r="G119" t="n">
        <v>3.3</v>
      </c>
      <c r="H119" t="n">
        <v>0</v>
      </c>
      <c r="I119" t="n">
        <v>0</v>
      </c>
      <c r="J119" t="n">
        <v>0</v>
      </c>
      <c r="K119" t="n">
        <v>0</v>
      </c>
      <c r="L119" t="n">
        <v>0</v>
      </c>
      <c r="M119" t="n">
        <v>0</v>
      </c>
      <c r="N119" t="n">
        <v>0</v>
      </c>
      <c r="O119" t="n">
        <v>0</v>
      </c>
      <c r="P119" t="n">
        <v>0</v>
      </c>
      <c r="Q119" t="n">
        <v>0</v>
      </c>
      <c r="R119" s="2" t="inlineStr"/>
    </row>
    <row r="120" ht="15" customHeight="1">
      <c r="A120" t="inlineStr">
        <is>
          <t>A 34078-2022</t>
        </is>
      </c>
      <c r="B120" s="1" t="n">
        <v>44791</v>
      </c>
      <c r="C120" s="1" t="n">
        <v>46128</v>
      </c>
      <c r="D120" t="inlineStr">
        <is>
          <t>UPPSALA LÄN</t>
        </is>
      </c>
      <c r="E120" t="inlineStr">
        <is>
          <t>KNIVSTA</t>
        </is>
      </c>
      <c r="F120" t="inlineStr">
        <is>
          <t>Övriga statliga verk och myndigheter</t>
        </is>
      </c>
      <c r="G120" t="n">
        <v>1.8</v>
      </c>
      <c r="H120" t="n">
        <v>0</v>
      </c>
      <c r="I120" t="n">
        <v>0</v>
      </c>
      <c r="J120" t="n">
        <v>0</v>
      </c>
      <c r="K120" t="n">
        <v>0</v>
      </c>
      <c r="L120" t="n">
        <v>0</v>
      </c>
      <c r="M120" t="n">
        <v>0</v>
      </c>
      <c r="N120" t="n">
        <v>0</v>
      </c>
      <c r="O120" t="n">
        <v>0</v>
      </c>
      <c r="P120" t="n">
        <v>0</v>
      </c>
      <c r="Q120" t="n">
        <v>0</v>
      </c>
      <c r="R120" s="2" t="inlineStr"/>
    </row>
    <row r="121" ht="15" customHeight="1">
      <c r="A121" t="inlineStr">
        <is>
          <t>A 13001-2026</t>
        </is>
      </c>
      <c r="B121" s="1" t="n">
        <v>46092.68502314815</v>
      </c>
      <c r="C121" s="1" t="n">
        <v>46128</v>
      </c>
      <c r="D121" t="inlineStr">
        <is>
          <t>UPPSALA LÄN</t>
        </is>
      </c>
      <c r="E121" t="inlineStr">
        <is>
          <t>KNIVSTA</t>
        </is>
      </c>
      <c r="F121" t="inlineStr">
        <is>
          <t>Holmen skog AB</t>
        </is>
      </c>
      <c r="G121" t="n">
        <v>2.9</v>
      </c>
      <c r="H121" t="n">
        <v>0</v>
      </c>
      <c r="I121" t="n">
        <v>0</v>
      </c>
      <c r="J121" t="n">
        <v>0</v>
      </c>
      <c r="K121" t="n">
        <v>0</v>
      </c>
      <c r="L121" t="n">
        <v>0</v>
      </c>
      <c r="M121" t="n">
        <v>0</v>
      </c>
      <c r="N121" t="n">
        <v>0</v>
      </c>
      <c r="O121" t="n">
        <v>0</v>
      </c>
      <c r="P121" t="n">
        <v>0</v>
      </c>
      <c r="Q121" t="n">
        <v>0</v>
      </c>
      <c r="R121" s="2" t="inlineStr"/>
    </row>
    <row r="122" ht="15" customHeight="1">
      <c r="A122" t="inlineStr">
        <is>
          <t>A 5908-2026</t>
        </is>
      </c>
      <c r="B122" s="1" t="n">
        <v>46052.44399305555</v>
      </c>
      <c r="C122" s="1" t="n">
        <v>46128</v>
      </c>
      <c r="D122" t="inlineStr">
        <is>
          <t>UPPSALA LÄN</t>
        </is>
      </c>
      <c r="E122" t="inlineStr">
        <is>
          <t>KNIVSTA</t>
        </is>
      </c>
      <c r="G122" t="n">
        <v>0.9</v>
      </c>
      <c r="H122" t="n">
        <v>0</v>
      </c>
      <c r="I122" t="n">
        <v>0</v>
      </c>
      <c r="J122" t="n">
        <v>0</v>
      </c>
      <c r="K122" t="n">
        <v>0</v>
      </c>
      <c r="L122" t="n">
        <v>0</v>
      </c>
      <c r="M122" t="n">
        <v>0</v>
      </c>
      <c r="N122" t="n">
        <v>0</v>
      </c>
      <c r="O122" t="n">
        <v>0</v>
      </c>
      <c r="P122" t="n">
        <v>0</v>
      </c>
      <c r="Q122" t="n">
        <v>0</v>
      </c>
      <c r="R122" s="2" t="inlineStr"/>
    </row>
    <row r="123" ht="15" customHeight="1">
      <c r="A123" t="inlineStr">
        <is>
          <t>A 5910-2026</t>
        </is>
      </c>
      <c r="B123" s="1" t="n">
        <v>46052.44677083333</v>
      </c>
      <c r="C123" s="1" t="n">
        <v>46128</v>
      </c>
      <c r="D123" t="inlineStr">
        <is>
          <t>UPPSALA LÄN</t>
        </is>
      </c>
      <c r="E123" t="inlineStr">
        <is>
          <t>KNIVSTA</t>
        </is>
      </c>
      <c r="G123" t="n">
        <v>0.6</v>
      </c>
      <c r="H123" t="n">
        <v>0</v>
      </c>
      <c r="I123" t="n">
        <v>0</v>
      </c>
      <c r="J123" t="n">
        <v>0</v>
      </c>
      <c r="K123" t="n">
        <v>0</v>
      </c>
      <c r="L123" t="n">
        <v>0</v>
      </c>
      <c r="M123" t="n">
        <v>0</v>
      </c>
      <c r="N123" t="n">
        <v>0</v>
      </c>
      <c r="O123" t="n">
        <v>0</v>
      </c>
      <c r="P123" t="n">
        <v>0</v>
      </c>
      <c r="Q123" t="n">
        <v>0</v>
      </c>
      <c r="R123" s="2" t="inlineStr"/>
    </row>
    <row r="124" ht="15" customHeight="1">
      <c r="A124" t="inlineStr">
        <is>
          <t>A 26182-2022</t>
        </is>
      </c>
      <c r="B124" s="1" t="n">
        <v>44735</v>
      </c>
      <c r="C124" s="1" t="n">
        <v>46128</v>
      </c>
      <c r="D124" t="inlineStr">
        <is>
          <t>UPPSALA LÄN</t>
        </is>
      </c>
      <c r="E124" t="inlineStr">
        <is>
          <t>KNIVSTA</t>
        </is>
      </c>
      <c r="G124" t="n">
        <v>3.8</v>
      </c>
      <c r="H124" t="n">
        <v>0</v>
      </c>
      <c r="I124" t="n">
        <v>0</v>
      </c>
      <c r="J124" t="n">
        <v>0</v>
      </c>
      <c r="K124" t="n">
        <v>0</v>
      </c>
      <c r="L124" t="n">
        <v>0</v>
      </c>
      <c r="M124" t="n">
        <v>0</v>
      </c>
      <c r="N124" t="n">
        <v>0</v>
      </c>
      <c r="O124" t="n">
        <v>0</v>
      </c>
      <c r="P124" t="n">
        <v>0</v>
      </c>
      <c r="Q124" t="n">
        <v>0</v>
      </c>
      <c r="R124" s="2" t="inlineStr"/>
    </row>
    <row r="125" ht="15" customHeight="1">
      <c r="A125" t="inlineStr">
        <is>
          <t>A 20505-2021</t>
        </is>
      </c>
      <c r="B125" s="1" t="n">
        <v>44313</v>
      </c>
      <c r="C125" s="1" t="n">
        <v>46128</v>
      </c>
      <c r="D125" t="inlineStr">
        <is>
          <t>UPPSALA LÄN</t>
        </is>
      </c>
      <c r="E125" t="inlineStr">
        <is>
          <t>KNIVSTA</t>
        </is>
      </c>
      <c r="G125" t="n">
        <v>2.9</v>
      </c>
      <c r="H125" t="n">
        <v>0</v>
      </c>
      <c r="I125" t="n">
        <v>0</v>
      </c>
      <c r="J125" t="n">
        <v>0</v>
      </c>
      <c r="K125" t="n">
        <v>0</v>
      </c>
      <c r="L125" t="n">
        <v>0</v>
      </c>
      <c r="M125" t="n">
        <v>0</v>
      </c>
      <c r="N125" t="n">
        <v>0</v>
      </c>
      <c r="O125" t="n">
        <v>0</v>
      </c>
      <c r="P125" t="n">
        <v>0</v>
      </c>
      <c r="Q125" t="n">
        <v>0</v>
      </c>
      <c r="R125" s="2" t="inlineStr"/>
    </row>
    <row r="126" ht="15" customHeight="1">
      <c r="A126" t="inlineStr">
        <is>
          <t>A 9744-2026</t>
        </is>
      </c>
      <c r="B126" s="1" t="n">
        <v>46072.51857638889</v>
      </c>
      <c r="C126" s="1" t="n">
        <v>46128</v>
      </c>
      <c r="D126" t="inlineStr">
        <is>
          <t>UPPSALA LÄN</t>
        </is>
      </c>
      <c r="E126" t="inlineStr">
        <is>
          <t>KNIVSTA</t>
        </is>
      </c>
      <c r="G126" t="n">
        <v>2.4</v>
      </c>
      <c r="H126" t="n">
        <v>0</v>
      </c>
      <c r="I126" t="n">
        <v>0</v>
      </c>
      <c r="J126" t="n">
        <v>0</v>
      </c>
      <c r="K126" t="n">
        <v>0</v>
      </c>
      <c r="L126" t="n">
        <v>0</v>
      </c>
      <c r="M126" t="n">
        <v>0</v>
      </c>
      <c r="N126" t="n">
        <v>0</v>
      </c>
      <c r="O126" t="n">
        <v>0</v>
      </c>
      <c r="P126" t="n">
        <v>0</v>
      </c>
      <c r="Q126" t="n">
        <v>0</v>
      </c>
      <c r="R126" s="2" t="inlineStr"/>
    </row>
    <row r="127">
      <c r="A127" t="inlineStr">
        <is>
          <t>A 18576-2026</t>
        </is>
      </c>
      <c r="B127" s="1" t="n">
        <v>46127.60626157407</v>
      </c>
      <c r="C127" s="1" t="n">
        <v>46128</v>
      </c>
      <c r="D127" t="inlineStr">
        <is>
          <t>UPPSALA LÄN</t>
        </is>
      </c>
      <c r="E127" t="inlineStr">
        <is>
          <t>KNIVSTA</t>
        </is>
      </c>
      <c r="G127" t="n">
        <v>4.8</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2026-04-16T10:26:03Z</dcterms:created>
  <dcterms:modified xmlns:dcterms="http://purl.org/dc/terms/" xmlns:xsi="http://www.w3.org/2001/XMLSchema-instance" xsi:type="dcterms:W3CDTF">2026-04-16T10:26:03Z</dcterms:modified>
</cp:coreProperties>
</file>