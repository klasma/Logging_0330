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46035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46035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46035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46035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46035</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46035</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53813-2025</t>
        </is>
      </c>
      <c r="B10" s="1" t="n">
        <v>45960</v>
      </c>
      <c r="C10" s="1" t="n">
        <v>46035</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61768-2025</t>
        </is>
      </c>
      <c r="B11" s="1" t="n">
        <v>46002.63940972222</v>
      </c>
      <c r="C11" s="1" t="n">
        <v>46035</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33770-2023</t>
        </is>
      </c>
      <c r="B12" s="1" t="n">
        <v>45133</v>
      </c>
      <c r="C12" s="1" t="n">
        <v>46035</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46035</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46035</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46035</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46035</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5455-2025</t>
        </is>
      </c>
      <c r="B17" s="1" t="n">
        <v>45693</v>
      </c>
      <c r="C17" s="1" t="n">
        <v>46035</v>
      </c>
      <c r="D17" t="inlineStr">
        <is>
          <t>UPPSALA LÄN</t>
        </is>
      </c>
      <c r="E17" t="inlineStr">
        <is>
          <t>KNIVSTA</t>
        </is>
      </c>
      <c r="G17" t="n">
        <v>17.1</v>
      </c>
      <c r="H17" t="n">
        <v>0</v>
      </c>
      <c r="I17" t="n">
        <v>1</v>
      </c>
      <c r="J17" t="n">
        <v>0</v>
      </c>
      <c r="K17" t="n">
        <v>0</v>
      </c>
      <c r="L17" t="n">
        <v>0</v>
      </c>
      <c r="M17" t="n">
        <v>0</v>
      </c>
      <c r="N17" t="n">
        <v>0</v>
      </c>
      <c r="O17" t="n">
        <v>0</v>
      </c>
      <c r="P17" t="n">
        <v>0</v>
      </c>
      <c r="Q17" t="n">
        <v>1</v>
      </c>
      <c r="R17" s="2" t="inlineStr">
        <is>
          <t>Vedticka</t>
        </is>
      </c>
      <c r="S17">
        <f>HYPERLINK("https://klasma.github.io/Logging_0330/artfynd/A 5455-2025 artfynd.xlsx", "A 5455-2025")</f>
        <v/>
      </c>
      <c r="T17">
        <f>HYPERLINK("https://klasma.github.io/Logging_0330/kartor/A 5455-2025 karta.png", "A 5455-2025")</f>
        <v/>
      </c>
      <c r="V17">
        <f>HYPERLINK("https://klasma.github.io/Logging_0330/klagomål/A 5455-2025 FSC-klagomål.docx", "A 5455-2025")</f>
        <v/>
      </c>
      <c r="W17">
        <f>HYPERLINK("https://klasma.github.io/Logging_0330/klagomålsmail/A 5455-2025 FSC-klagomål mail.docx", "A 5455-2025")</f>
        <v/>
      </c>
      <c r="X17">
        <f>HYPERLINK("https://klasma.github.io/Logging_0330/tillsyn/A 5455-2025 tillsynsbegäran.docx", "A 5455-2025")</f>
        <v/>
      </c>
      <c r="Y17">
        <f>HYPERLINK("https://klasma.github.io/Logging_0330/tillsynsmail/A 5455-2025 tillsynsbegäran mail.docx", "A 5455-2025")</f>
        <v/>
      </c>
    </row>
    <row r="18" ht="15" customHeight="1">
      <c r="A18" t="inlineStr">
        <is>
          <t>A 9725-2021</t>
        </is>
      </c>
      <c r="B18" s="1" t="n">
        <v>44252</v>
      </c>
      <c r="C18" s="1" t="n">
        <v>46035</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46035</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46035</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46035</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46035</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46035</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46035</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46035</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46035</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46035</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46035</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46035</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46035</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46035</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46035</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46035</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46035</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46035</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46035</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46035</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46035</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46035</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46035</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47803-2025</t>
        </is>
      </c>
      <c r="B41" s="1" t="n">
        <v>45931</v>
      </c>
      <c r="C41" s="1" t="n">
        <v>46035</v>
      </c>
      <c r="D41" t="inlineStr">
        <is>
          <t>UPPSALA LÄN</t>
        </is>
      </c>
      <c r="E41" t="inlineStr">
        <is>
          <t>KNIVSTA</t>
        </is>
      </c>
      <c r="G41" t="n">
        <v>2.9</v>
      </c>
      <c r="H41" t="n">
        <v>0</v>
      </c>
      <c r="I41" t="n">
        <v>0</v>
      </c>
      <c r="J41" t="n">
        <v>0</v>
      </c>
      <c r="K41" t="n">
        <v>0</v>
      </c>
      <c r="L41" t="n">
        <v>0</v>
      </c>
      <c r="M41" t="n">
        <v>0</v>
      </c>
      <c r="N41" t="n">
        <v>0</v>
      </c>
      <c r="O41" t="n">
        <v>0</v>
      </c>
      <c r="P41" t="n">
        <v>0</v>
      </c>
      <c r="Q41" t="n">
        <v>0</v>
      </c>
      <c r="R41" s="2" t="inlineStr"/>
    </row>
    <row r="42" ht="15" customHeight="1">
      <c r="A42" t="inlineStr">
        <is>
          <t>A 2171-2024</t>
        </is>
      </c>
      <c r="B42" s="1" t="n">
        <v>45309</v>
      </c>
      <c r="C42" s="1" t="n">
        <v>46035</v>
      </c>
      <c r="D42" t="inlineStr">
        <is>
          <t>UPPSALA LÄN</t>
        </is>
      </c>
      <c r="E42" t="inlineStr">
        <is>
          <t>KNIVSTA</t>
        </is>
      </c>
      <c r="F42" t="inlineStr">
        <is>
          <t>Holmen skog AB</t>
        </is>
      </c>
      <c r="G42" t="n">
        <v>3.3</v>
      </c>
      <c r="H42" t="n">
        <v>0</v>
      </c>
      <c r="I42" t="n">
        <v>0</v>
      </c>
      <c r="J42" t="n">
        <v>0</v>
      </c>
      <c r="K42" t="n">
        <v>0</v>
      </c>
      <c r="L42" t="n">
        <v>0</v>
      </c>
      <c r="M42" t="n">
        <v>0</v>
      </c>
      <c r="N42" t="n">
        <v>0</v>
      </c>
      <c r="O42" t="n">
        <v>0</v>
      </c>
      <c r="P42" t="n">
        <v>0</v>
      </c>
      <c r="Q42" t="n">
        <v>0</v>
      </c>
      <c r="R42" s="2" t="inlineStr"/>
    </row>
    <row r="43" ht="15" customHeight="1">
      <c r="A43" t="inlineStr">
        <is>
          <t>A 21130-2025</t>
        </is>
      </c>
      <c r="B43" s="1" t="n">
        <v>45778.35857638889</v>
      </c>
      <c r="C43" s="1" t="n">
        <v>46035</v>
      </c>
      <c r="D43" t="inlineStr">
        <is>
          <t>UPPSALA LÄN</t>
        </is>
      </c>
      <c r="E43" t="inlineStr">
        <is>
          <t>KNIVSTA</t>
        </is>
      </c>
      <c r="G43" t="n">
        <v>2.2</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46035</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794-2024</t>
        </is>
      </c>
      <c r="B45" s="1" t="n">
        <v>45300.58149305556</v>
      </c>
      <c r="C45" s="1" t="n">
        <v>46035</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49090-2025</t>
        </is>
      </c>
      <c r="B46" s="1" t="n">
        <v>45937</v>
      </c>
      <c r="C46" s="1" t="n">
        <v>46035</v>
      </c>
      <c r="D46" t="inlineStr">
        <is>
          <t>UPPSALA LÄN</t>
        </is>
      </c>
      <c r="E46" t="inlineStr">
        <is>
          <t>KNIVSTA</t>
        </is>
      </c>
      <c r="G46" t="n">
        <v>4.1</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46035</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44869-2025</t>
        </is>
      </c>
      <c r="B48" s="1" t="n">
        <v>45918.46758101852</v>
      </c>
      <c r="C48" s="1" t="n">
        <v>46035</v>
      </c>
      <c r="D48" t="inlineStr">
        <is>
          <t>UPPSALA LÄN</t>
        </is>
      </c>
      <c r="E48" t="inlineStr">
        <is>
          <t>KNIVSTA</t>
        </is>
      </c>
      <c r="G48" t="n">
        <v>17.1</v>
      </c>
      <c r="H48" t="n">
        <v>0</v>
      </c>
      <c r="I48" t="n">
        <v>0</v>
      </c>
      <c r="J48" t="n">
        <v>0</v>
      </c>
      <c r="K48" t="n">
        <v>0</v>
      </c>
      <c r="L48" t="n">
        <v>0</v>
      </c>
      <c r="M48" t="n">
        <v>0</v>
      </c>
      <c r="N48" t="n">
        <v>0</v>
      </c>
      <c r="O48" t="n">
        <v>0</v>
      </c>
      <c r="P48" t="n">
        <v>0</v>
      </c>
      <c r="Q48" t="n">
        <v>0</v>
      </c>
      <c r="R48" s="2" t="inlineStr"/>
    </row>
    <row r="49" ht="15" customHeight="1">
      <c r="A49" t="inlineStr">
        <is>
          <t>A 45453-2025</t>
        </is>
      </c>
      <c r="B49" s="1" t="n">
        <v>45922.48702546296</v>
      </c>
      <c r="C49" s="1" t="n">
        <v>46035</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46035</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13040-2025</t>
        </is>
      </c>
      <c r="B51" s="1" t="n">
        <v>45734</v>
      </c>
      <c r="C51" s="1" t="n">
        <v>46035</v>
      </c>
      <c r="D51" t="inlineStr">
        <is>
          <t>UPPSALA LÄN</t>
        </is>
      </c>
      <c r="E51" t="inlineStr">
        <is>
          <t>KNIVSTA</t>
        </is>
      </c>
      <c r="F51" t="inlineStr">
        <is>
          <t>Allmännings- och besparingsskogar</t>
        </is>
      </c>
      <c r="G51" t="n">
        <v>1.6</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46035</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28189-2025</t>
        </is>
      </c>
      <c r="B53" s="1" t="n">
        <v>45818.41357638889</v>
      </c>
      <c r="C53" s="1" t="n">
        <v>46035</v>
      </c>
      <c r="D53" t="inlineStr">
        <is>
          <t>UPPSALA LÄN</t>
        </is>
      </c>
      <c r="E53" t="inlineStr">
        <is>
          <t>KNIVSTA</t>
        </is>
      </c>
      <c r="G53" t="n">
        <v>7.6</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46035</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30351-2022</t>
        </is>
      </c>
      <c r="B55" s="1" t="n">
        <v>44757</v>
      </c>
      <c r="C55" s="1" t="n">
        <v>46035</v>
      </c>
      <c r="D55" t="inlineStr">
        <is>
          <t>UPPSALA LÄN</t>
        </is>
      </c>
      <c r="E55" t="inlineStr">
        <is>
          <t>KNIVSTA</t>
        </is>
      </c>
      <c r="G55" t="n">
        <v>5.7</v>
      </c>
      <c r="H55" t="n">
        <v>0</v>
      </c>
      <c r="I55" t="n">
        <v>0</v>
      </c>
      <c r="J55" t="n">
        <v>0</v>
      </c>
      <c r="K55" t="n">
        <v>0</v>
      </c>
      <c r="L55" t="n">
        <v>0</v>
      </c>
      <c r="M55" t="n">
        <v>0</v>
      </c>
      <c r="N55" t="n">
        <v>0</v>
      </c>
      <c r="O55" t="n">
        <v>0</v>
      </c>
      <c r="P55" t="n">
        <v>0</v>
      </c>
      <c r="Q55" t="n">
        <v>0</v>
      </c>
      <c r="R55" s="2" t="inlineStr"/>
    </row>
    <row r="56" ht="15" customHeight="1">
      <c r="A56" t="inlineStr">
        <is>
          <t>A 11847-2023</t>
        </is>
      </c>
      <c r="B56" s="1" t="n">
        <v>44995.33957175926</v>
      </c>
      <c r="C56" s="1" t="n">
        <v>46035</v>
      </c>
      <c r="D56" t="inlineStr">
        <is>
          <t>UPPSALA LÄN</t>
        </is>
      </c>
      <c r="E56" t="inlineStr">
        <is>
          <t>KNIVSTA</t>
        </is>
      </c>
      <c r="G56" t="n">
        <v>2.1</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46035</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31875-2022</t>
        </is>
      </c>
      <c r="B58" s="1" t="n">
        <v>44777</v>
      </c>
      <c r="C58" s="1" t="n">
        <v>46035</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23239-2023</t>
        </is>
      </c>
      <c r="B59" s="1" t="n">
        <v>45075</v>
      </c>
      <c r="C59" s="1" t="n">
        <v>46035</v>
      </c>
      <c r="D59" t="inlineStr">
        <is>
          <t>UPPSALA LÄN</t>
        </is>
      </c>
      <c r="E59" t="inlineStr">
        <is>
          <t>KNIVSTA</t>
        </is>
      </c>
      <c r="G59" t="n">
        <v>1.8</v>
      </c>
      <c r="H59" t="n">
        <v>0</v>
      </c>
      <c r="I59" t="n">
        <v>0</v>
      </c>
      <c r="J59" t="n">
        <v>0</v>
      </c>
      <c r="K59" t="n">
        <v>0</v>
      </c>
      <c r="L59" t="n">
        <v>0</v>
      </c>
      <c r="M59" t="n">
        <v>0</v>
      </c>
      <c r="N59" t="n">
        <v>0</v>
      </c>
      <c r="O59" t="n">
        <v>0</v>
      </c>
      <c r="P59" t="n">
        <v>0</v>
      </c>
      <c r="Q59" t="n">
        <v>0</v>
      </c>
      <c r="R59" s="2" t="inlineStr"/>
    </row>
    <row r="60" ht="15" customHeight="1">
      <c r="A60" t="inlineStr">
        <is>
          <t>A 33975-2025</t>
        </is>
      </c>
      <c r="B60" s="1" t="n">
        <v>45843.30805555556</v>
      </c>
      <c r="C60" s="1" t="n">
        <v>46035</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46035</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46035</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60243-2025</t>
        </is>
      </c>
      <c r="B63" s="1" t="n">
        <v>45994.58650462963</v>
      </c>
      <c r="C63" s="1" t="n">
        <v>46035</v>
      </c>
      <c r="D63" t="inlineStr">
        <is>
          <t>UPPSALA LÄN</t>
        </is>
      </c>
      <c r="E63" t="inlineStr">
        <is>
          <t>KNIVSTA</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34859-2025</t>
        </is>
      </c>
      <c r="B64" s="1" t="n">
        <v>45849.43511574074</v>
      </c>
      <c r="C64" s="1" t="n">
        <v>46035</v>
      </c>
      <c r="D64" t="inlineStr">
        <is>
          <t>UPPSALA LÄN</t>
        </is>
      </c>
      <c r="E64" t="inlineStr">
        <is>
          <t>KNIVSTA</t>
        </is>
      </c>
      <c r="F64" t="inlineStr">
        <is>
          <t>Holmen skog AB</t>
        </is>
      </c>
      <c r="G64" t="n">
        <v>6.1</v>
      </c>
      <c r="H64" t="n">
        <v>0</v>
      </c>
      <c r="I64" t="n">
        <v>0</v>
      </c>
      <c r="J64" t="n">
        <v>0</v>
      </c>
      <c r="K64" t="n">
        <v>0</v>
      </c>
      <c r="L64" t="n">
        <v>0</v>
      </c>
      <c r="M64" t="n">
        <v>0</v>
      </c>
      <c r="N64" t="n">
        <v>0</v>
      </c>
      <c r="O64" t="n">
        <v>0</v>
      </c>
      <c r="P64" t="n">
        <v>0</v>
      </c>
      <c r="Q64" t="n">
        <v>0</v>
      </c>
      <c r="R64" s="2" t="inlineStr"/>
    </row>
    <row r="65" ht="15" customHeight="1">
      <c r="A65" t="inlineStr">
        <is>
          <t>A 34864-2025</t>
        </is>
      </c>
      <c r="B65" s="1" t="n">
        <v>45849.44028935185</v>
      </c>
      <c r="C65" s="1" t="n">
        <v>46035</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35318-2025</t>
        </is>
      </c>
      <c r="B66" s="1" t="n">
        <v>45854.47917824074</v>
      </c>
      <c r="C66" s="1" t="n">
        <v>46035</v>
      </c>
      <c r="D66" t="inlineStr">
        <is>
          <t>UPPSALA LÄN</t>
        </is>
      </c>
      <c r="E66" t="inlineStr">
        <is>
          <t>KNIVSTA</t>
        </is>
      </c>
      <c r="F66" t="inlineStr">
        <is>
          <t>Holmen skog AB</t>
        </is>
      </c>
      <c r="G66" t="n">
        <v>2.2</v>
      </c>
      <c r="H66" t="n">
        <v>0</v>
      </c>
      <c r="I66" t="n">
        <v>0</v>
      </c>
      <c r="J66" t="n">
        <v>0</v>
      </c>
      <c r="K66" t="n">
        <v>0</v>
      </c>
      <c r="L66" t="n">
        <v>0</v>
      </c>
      <c r="M66" t="n">
        <v>0</v>
      </c>
      <c r="N66" t="n">
        <v>0</v>
      </c>
      <c r="O66" t="n">
        <v>0</v>
      </c>
      <c r="P66" t="n">
        <v>0</v>
      </c>
      <c r="Q66" t="n">
        <v>0</v>
      </c>
      <c r="R66" s="2" t="inlineStr"/>
    </row>
    <row r="67" ht="15" customHeight="1">
      <c r="A67" t="inlineStr">
        <is>
          <t>A 36470-2025</t>
        </is>
      </c>
      <c r="B67" s="1" t="n">
        <v>45869.47915509259</v>
      </c>
      <c r="C67" s="1" t="n">
        <v>46035</v>
      </c>
      <c r="D67" t="inlineStr">
        <is>
          <t>UPPSALA LÄN</t>
        </is>
      </c>
      <c r="E67" t="inlineStr">
        <is>
          <t>KNIVSTA</t>
        </is>
      </c>
      <c r="G67" t="n">
        <v>3.6</v>
      </c>
      <c r="H67" t="n">
        <v>0</v>
      </c>
      <c r="I67" t="n">
        <v>0</v>
      </c>
      <c r="J67" t="n">
        <v>0</v>
      </c>
      <c r="K67" t="n">
        <v>0</v>
      </c>
      <c r="L67" t="n">
        <v>0</v>
      </c>
      <c r="M67" t="n">
        <v>0</v>
      </c>
      <c r="N67" t="n">
        <v>0</v>
      </c>
      <c r="O67" t="n">
        <v>0</v>
      </c>
      <c r="P67" t="n">
        <v>0</v>
      </c>
      <c r="Q67" t="n">
        <v>0</v>
      </c>
      <c r="R67" s="2" t="inlineStr"/>
    </row>
    <row r="68" ht="15" customHeight="1">
      <c r="A68" t="inlineStr">
        <is>
          <t>A 36472-2025</t>
        </is>
      </c>
      <c r="B68" s="1" t="n">
        <v>45869.48162037037</v>
      </c>
      <c r="C68" s="1" t="n">
        <v>46035</v>
      </c>
      <c r="D68" t="inlineStr">
        <is>
          <t>UPPSALA LÄN</t>
        </is>
      </c>
      <c r="E68" t="inlineStr">
        <is>
          <t>KNIVSTA</t>
        </is>
      </c>
      <c r="G68" t="n">
        <v>1.5</v>
      </c>
      <c r="H68" t="n">
        <v>0</v>
      </c>
      <c r="I68" t="n">
        <v>0</v>
      </c>
      <c r="J68" t="n">
        <v>0</v>
      </c>
      <c r="K68" t="n">
        <v>0</v>
      </c>
      <c r="L68" t="n">
        <v>0</v>
      </c>
      <c r="M68" t="n">
        <v>0</v>
      </c>
      <c r="N68" t="n">
        <v>0</v>
      </c>
      <c r="O68" t="n">
        <v>0</v>
      </c>
      <c r="P68" t="n">
        <v>0</v>
      </c>
      <c r="Q68" t="n">
        <v>0</v>
      </c>
      <c r="R68" s="2" t="inlineStr"/>
    </row>
    <row r="69" ht="15" customHeight="1">
      <c r="A69" t="inlineStr">
        <is>
          <t>A 36473-2025</t>
        </is>
      </c>
      <c r="B69" s="1" t="n">
        <v>45869.48333333333</v>
      </c>
      <c r="C69" s="1" t="n">
        <v>46035</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46035</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46035</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66293-2021</t>
        </is>
      </c>
      <c r="B72" s="1" t="n">
        <v>44518</v>
      </c>
      <c r="C72" s="1" t="n">
        <v>46035</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46035</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46035</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46035</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46035</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46035</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46035</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46035</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60885-2021</t>
        </is>
      </c>
      <c r="B80" s="1" t="n">
        <v>44497</v>
      </c>
      <c r="C80" s="1" t="n">
        <v>46035</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666-2026</t>
        </is>
      </c>
      <c r="B81" s="1" t="n">
        <v>46029.58832175926</v>
      </c>
      <c r="C81" s="1" t="n">
        <v>46035</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662-2026</t>
        </is>
      </c>
      <c r="B82" s="1" t="n">
        <v>46029.58549768518</v>
      </c>
      <c r="C82" s="1" t="n">
        <v>46035</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53812-2025</t>
        </is>
      </c>
      <c r="B83" s="1" t="n">
        <v>45960</v>
      </c>
      <c r="C83" s="1" t="n">
        <v>46035</v>
      </c>
      <c r="D83" t="inlineStr">
        <is>
          <t>UPPSALA LÄN</t>
        </is>
      </c>
      <c r="E83" t="inlineStr">
        <is>
          <t>KNIVSTA</t>
        </is>
      </c>
      <c r="G83" t="n">
        <v>5.8</v>
      </c>
      <c r="H83" t="n">
        <v>0</v>
      </c>
      <c r="I83" t="n">
        <v>0</v>
      </c>
      <c r="J83" t="n">
        <v>0</v>
      </c>
      <c r="K83" t="n">
        <v>0</v>
      </c>
      <c r="L83" t="n">
        <v>0</v>
      </c>
      <c r="M83" t="n">
        <v>0</v>
      </c>
      <c r="N83" t="n">
        <v>0</v>
      </c>
      <c r="O83" t="n">
        <v>0</v>
      </c>
      <c r="P83" t="n">
        <v>0</v>
      </c>
      <c r="Q83" t="n">
        <v>0</v>
      </c>
      <c r="R83" s="2" t="inlineStr"/>
    </row>
    <row r="84" ht="15" customHeight="1">
      <c r="A84" t="inlineStr">
        <is>
          <t>A 3191-2024</t>
        </is>
      </c>
      <c r="B84" s="1" t="n">
        <v>45316.67186342592</v>
      </c>
      <c r="C84" s="1" t="n">
        <v>46035</v>
      </c>
      <c r="D84" t="inlineStr">
        <is>
          <t>UPPSALA LÄN</t>
        </is>
      </c>
      <c r="E84" t="inlineStr">
        <is>
          <t>KNIVSTA</t>
        </is>
      </c>
      <c r="G84" t="n">
        <v>0.6</v>
      </c>
      <c r="H84" t="n">
        <v>0</v>
      </c>
      <c r="I84" t="n">
        <v>0</v>
      </c>
      <c r="J84" t="n">
        <v>0</v>
      </c>
      <c r="K84" t="n">
        <v>0</v>
      </c>
      <c r="L84" t="n">
        <v>0</v>
      </c>
      <c r="M84" t="n">
        <v>0</v>
      </c>
      <c r="N84" t="n">
        <v>0</v>
      </c>
      <c r="O84" t="n">
        <v>0</v>
      </c>
      <c r="P84" t="n">
        <v>0</v>
      </c>
      <c r="Q84" t="n">
        <v>0</v>
      </c>
      <c r="R84" s="2" t="inlineStr"/>
    </row>
    <row r="85" ht="15" customHeight="1">
      <c r="A85" t="inlineStr">
        <is>
          <t>A 45525-2023</t>
        </is>
      </c>
      <c r="B85" s="1" t="n">
        <v>45194</v>
      </c>
      <c r="C85" s="1" t="n">
        <v>46035</v>
      </c>
      <c r="D85" t="inlineStr">
        <is>
          <t>UPPSALA LÄN</t>
        </is>
      </c>
      <c r="E85" t="inlineStr">
        <is>
          <t>KNIVSTA</t>
        </is>
      </c>
      <c r="G85" t="n">
        <v>0.7</v>
      </c>
      <c r="H85" t="n">
        <v>0</v>
      </c>
      <c r="I85" t="n">
        <v>0</v>
      </c>
      <c r="J85" t="n">
        <v>0</v>
      </c>
      <c r="K85" t="n">
        <v>0</v>
      </c>
      <c r="L85" t="n">
        <v>0</v>
      </c>
      <c r="M85" t="n">
        <v>0</v>
      </c>
      <c r="N85" t="n">
        <v>0</v>
      </c>
      <c r="O85" t="n">
        <v>0</v>
      </c>
      <c r="P85" t="n">
        <v>0</v>
      </c>
      <c r="Q85" t="n">
        <v>0</v>
      </c>
      <c r="R85" s="2" t="inlineStr"/>
    </row>
    <row r="86" ht="15" customHeight="1">
      <c r="A86" t="inlineStr">
        <is>
          <t>A 16773-2022</t>
        </is>
      </c>
      <c r="B86" s="1" t="n">
        <v>44673</v>
      </c>
      <c r="C86" s="1" t="n">
        <v>46035</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30764-2023</t>
        </is>
      </c>
      <c r="B87" s="1" t="n">
        <v>45112</v>
      </c>
      <c r="C87" s="1" t="n">
        <v>46035</v>
      </c>
      <c r="D87" t="inlineStr">
        <is>
          <t>UPPSALA LÄN</t>
        </is>
      </c>
      <c r="E87" t="inlineStr">
        <is>
          <t>KNIVSTA</t>
        </is>
      </c>
      <c r="F87" t="inlineStr">
        <is>
          <t>Holmen skog AB</t>
        </is>
      </c>
      <c r="G87" t="n">
        <v>0.9</v>
      </c>
      <c r="H87" t="n">
        <v>0</v>
      </c>
      <c r="I87" t="n">
        <v>0</v>
      </c>
      <c r="J87" t="n">
        <v>0</v>
      </c>
      <c r="K87" t="n">
        <v>0</v>
      </c>
      <c r="L87" t="n">
        <v>0</v>
      </c>
      <c r="M87" t="n">
        <v>0</v>
      </c>
      <c r="N87" t="n">
        <v>0</v>
      </c>
      <c r="O87" t="n">
        <v>0</v>
      </c>
      <c r="P87" t="n">
        <v>0</v>
      </c>
      <c r="Q87" t="n">
        <v>0</v>
      </c>
      <c r="R87" s="2" t="inlineStr"/>
    </row>
    <row r="88" ht="15" customHeight="1">
      <c r="A88" t="inlineStr">
        <is>
          <t>A 51849-2023</t>
        </is>
      </c>
      <c r="B88" s="1" t="n">
        <v>45223.34391203704</v>
      </c>
      <c r="C88" s="1" t="n">
        <v>46035</v>
      </c>
      <c r="D88" t="inlineStr">
        <is>
          <t>UPPSALA LÄN</t>
        </is>
      </c>
      <c r="E88" t="inlineStr">
        <is>
          <t>KNIVSTA</t>
        </is>
      </c>
      <c r="G88" t="n">
        <v>16.3</v>
      </c>
      <c r="H88" t="n">
        <v>0</v>
      </c>
      <c r="I88" t="n">
        <v>0</v>
      </c>
      <c r="J88" t="n">
        <v>0</v>
      </c>
      <c r="K88" t="n">
        <v>0</v>
      </c>
      <c r="L88" t="n">
        <v>0</v>
      </c>
      <c r="M88" t="n">
        <v>0</v>
      </c>
      <c r="N88" t="n">
        <v>0</v>
      </c>
      <c r="O88" t="n">
        <v>0</v>
      </c>
      <c r="P88" t="n">
        <v>0</v>
      </c>
      <c r="Q88" t="n">
        <v>0</v>
      </c>
      <c r="R88" s="2" t="inlineStr"/>
    </row>
    <row r="89" ht="15" customHeight="1">
      <c r="A89" t="inlineStr">
        <is>
          <t>A 60018-2024</t>
        </is>
      </c>
      <c r="B89" s="1" t="n">
        <v>45642</v>
      </c>
      <c r="C89" s="1" t="n">
        <v>46035</v>
      </c>
      <c r="D89" t="inlineStr">
        <is>
          <t>UPPSALA LÄN</t>
        </is>
      </c>
      <c r="E89" t="inlineStr">
        <is>
          <t>KNIVSTA</t>
        </is>
      </c>
      <c r="G89" t="n">
        <v>4.1</v>
      </c>
      <c r="H89" t="n">
        <v>0</v>
      </c>
      <c r="I89" t="n">
        <v>0</v>
      </c>
      <c r="J89" t="n">
        <v>0</v>
      </c>
      <c r="K89" t="n">
        <v>0</v>
      </c>
      <c r="L89" t="n">
        <v>0</v>
      </c>
      <c r="M89" t="n">
        <v>0</v>
      </c>
      <c r="N89" t="n">
        <v>0</v>
      </c>
      <c r="O89" t="n">
        <v>0</v>
      </c>
      <c r="P89" t="n">
        <v>0</v>
      </c>
      <c r="Q89" t="n">
        <v>0</v>
      </c>
      <c r="R89" s="2" t="inlineStr"/>
    </row>
    <row r="90" ht="15" customHeight="1">
      <c r="A90" t="inlineStr">
        <is>
          <t>A 17333-2024</t>
        </is>
      </c>
      <c r="B90" s="1" t="n">
        <v>45414.5625462963</v>
      </c>
      <c r="C90" s="1" t="n">
        <v>46035</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1791-2024</t>
        </is>
      </c>
      <c r="B91" s="1" t="n">
        <v>45307.574375</v>
      </c>
      <c r="C91" s="1" t="n">
        <v>46035</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66305-2021</t>
        </is>
      </c>
      <c r="B92" s="1" t="n">
        <v>44518</v>
      </c>
      <c r="C92" s="1" t="n">
        <v>46035</v>
      </c>
      <c r="D92" t="inlineStr">
        <is>
          <t>UPPSALA LÄN</t>
        </is>
      </c>
      <c r="E92" t="inlineStr">
        <is>
          <t>KNIVSTA</t>
        </is>
      </c>
      <c r="G92" t="n">
        <v>8.300000000000001</v>
      </c>
      <c r="H92" t="n">
        <v>0</v>
      </c>
      <c r="I92" t="n">
        <v>0</v>
      </c>
      <c r="J92" t="n">
        <v>0</v>
      </c>
      <c r="K92" t="n">
        <v>0</v>
      </c>
      <c r="L92" t="n">
        <v>0</v>
      </c>
      <c r="M92" t="n">
        <v>0</v>
      </c>
      <c r="N92" t="n">
        <v>0</v>
      </c>
      <c r="O92" t="n">
        <v>0</v>
      </c>
      <c r="P92" t="n">
        <v>0</v>
      </c>
      <c r="Q92" t="n">
        <v>0</v>
      </c>
      <c r="R92" s="2" t="inlineStr"/>
    </row>
    <row r="93" ht="15" customHeight="1">
      <c r="A93" t="inlineStr">
        <is>
          <t>A 2628-2025</t>
        </is>
      </c>
      <c r="B93" s="1" t="n">
        <v>45675.68435185185</v>
      </c>
      <c r="C93" s="1" t="n">
        <v>46035</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11452-2023</t>
        </is>
      </c>
      <c r="B94" s="1" t="n">
        <v>44993</v>
      </c>
      <c r="C94" s="1" t="n">
        <v>46035</v>
      </c>
      <c r="D94" t="inlineStr">
        <is>
          <t>UPPSALA LÄN</t>
        </is>
      </c>
      <c r="E94" t="inlineStr">
        <is>
          <t>KNIVSTA</t>
        </is>
      </c>
      <c r="G94" t="n">
        <v>2.5</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46035</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5402-2023</t>
        </is>
      </c>
      <c r="B96" s="1" t="n">
        <v>44959</v>
      </c>
      <c r="C96" s="1" t="n">
        <v>46035</v>
      </c>
      <c r="D96" t="inlineStr">
        <is>
          <t>UPPSALA LÄN</t>
        </is>
      </c>
      <c r="E96" t="inlineStr">
        <is>
          <t>KNIVSTA</t>
        </is>
      </c>
      <c r="G96" t="n">
        <v>4.3</v>
      </c>
      <c r="H96" t="n">
        <v>0</v>
      </c>
      <c r="I96" t="n">
        <v>0</v>
      </c>
      <c r="J96" t="n">
        <v>0</v>
      </c>
      <c r="K96" t="n">
        <v>0</v>
      </c>
      <c r="L96" t="n">
        <v>0</v>
      </c>
      <c r="M96" t="n">
        <v>0</v>
      </c>
      <c r="N96" t="n">
        <v>0</v>
      </c>
      <c r="O96" t="n">
        <v>0</v>
      </c>
      <c r="P96" t="n">
        <v>0</v>
      </c>
      <c r="Q96" t="n">
        <v>0</v>
      </c>
      <c r="R96" s="2" t="inlineStr"/>
    </row>
    <row r="97" ht="15" customHeight="1">
      <c r="A97" t="inlineStr">
        <is>
          <t>A 34078-2022</t>
        </is>
      </c>
      <c r="B97" s="1" t="n">
        <v>44791</v>
      </c>
      <c r="C97" s="1" t="n">
        <v>46035</v>
      </c>
      <c r="D97" t="inlineStr">
        <is>
          <t>UPPSALA LÄN</t>
        </is>
      </c>
      <c r="E97" t="inlineStr">
        <is>
          <t>KNIVSTA</t>
        </is>
      </c>
      <c r="F97" t="inlineStr">
        <is>
          <t>Övriga statliga verk och myndigheter</t>
        </is>
      </c>
      <c r="G97" t="n">
        <v>1.8</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46035</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20505-2021</t>
        </is>
      </c>
      <c r="B99" s="1" t="n">
        <v>44313</v>
      </c>
      <c r="C99" s="1" t="n">
        <v>46035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2629-2025</t>
        </is>
      </c>
      <c r="B100" s="1" t="n">
        <v>45675.6953587963</v>
      </c>
      <c r="C100" s="1" t="n">
        <v>46035</v>
      </c>
      <c r="D100" t="inlineStr">
        <is>
          <t>UPPSALA LÄN</t>
        </is>
      </c>
      <c r="E100" t="inlineStr">
        <is>
          <t>KNIVSTA</t>
        </is>
      </c>
      <c r="G100" t="n">
        <v>1.1</v>
      </c>
      <c r="H100" t="n">
        <v>0</v>
      </c>
      <c r="I100" t="n">
        <v>0</v>
      </c>
      <c r="J100" t="n">
        <v>0</v>
      </c>
      <c r="K100" t="n">
        <v>0</v>
      </c>
      <c r="L100" t="n">
        <v>0</v>
      </c>
      <c r="M100" t="n">
        <v>0</v>
      </c>
      <c r="N100" t="n">
        <v>0</v>
      </c>
      <c r="O100" t="n">
        <v>0</v>
      </c>
      <c r="P100" t="n">
        <v>0</v>
      </c>
      <c r="Q100" t="n">
        <v>0</v>
      </c>
      <c r="R100" s="2" t="inlineStr"/>
    </row>
    <row r="101" ht="15" customHeight="1">
      <c r="A101" t="inlineStr">
        <is>
          <t>A 5320-2023</t>
        </is>
      </c>
      <c r="B101" s="1" t="n">
        <v>44959</v>
      </c>
      <c r="C101" s="1" t="n">
        <v>46035</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45916-2022</t>
        </is>
      </c>
      <c r="B102" s="1" t="n">
        <v>44846</v>
      </c>
      <c r="C102" s="1" t="n">
        <v>46035</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16396-2025</t>
        </is>
      </c>
      <c r="B103" s="1" t="n">
        <v>45751.44219907407</v>
      </c>
      <c r="C103" s="1" t="n">
        <v>46035</v>
      </c>
      <c r="D103" t="inlineStr">
        <is>
          <t>UPPSALA LÄN</t>
        </is>
      </c>
      <c r="E103" t="inlineStr">
        <is>
          <t>KNIVSTA</t>
        </is>
      </c>
      <c r="G103" t="n">
        <v>5.1</v>
      </c>
      <c r="H103" t="n">
        <v>0</v>
      </c>
      <c r="I103" t="n">
        <v>0</v>
      </c>
      <c r="J103" t="n">
        <v>0</v>
      </c>
      <c r="K103" t="n">
        <v>0</v>
      </c>
      <c r="L103" t="n">
        <v>0</v>
      </c>
      <c r="M103" t="n">
        <v>0</v>
      </c>
      <c r="N103" t="n">
        <v>0</v>
      </c>
      <c r="O103" t="n">
        <v>0</v>
      </c>
      <c r="P103" t="n">
        <v>0</v>
      </c>
      <c r="Q103" t="n">
        <v>0</v>
      </c>
      <c r="R103" s="2" t="inlineStr"/>
    </row>
    <row r="104">
      <c r="A104" t="inlineStr">
        <is>
          <t>A 17091-2023</t>
        </is>
      </c>
      <c r="B104" s="1" t="n">
        <v>45034.53554398148</v>
      </c>
      <c r="C104" s="1" t="n">
        <v>46035</v>
      </c>
      <c r="D104" t="inlineStr">
        <is>
          <t>UPPSALA LÄN</t>
        </is>
      </c>
      <c r="E104" t="inlineStr">
        <is>
          <t>KNIVSTA</t>
        </is>
      </c>
      <c r="G104" t="n">
        <v>0.8</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2026-01-13T10:48:56Z</dcterms:created>
  <dcterms:modified xmlns:dcterms="http://purl.org/dc/terms/" xmlns:xsi="http://www.w3.org/2001/XMLSchema-instance" xsi:type="dcterms:W3CDTF">2026-01-13T10:48:56Z</dcterms:modified>
</cp:coreProperties>
</file>