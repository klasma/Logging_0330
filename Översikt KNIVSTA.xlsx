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46038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46038</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46038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46038</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46038</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46038</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46038</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33770-2023</t>
        </is>
      </c>
      <c r="B11" s="1" t="n">
        <v>45133</v>
      </c>
      <c r="C11" s="1" t="n">
        <v>46038</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46038</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61768-2025</t>
        </is>
      </c>
      <c r="B13" s="1" t="n">
        <v>46002.63940972222</v>
      </c>
      <c r="C13" s="1" t="n">
        <v>46038</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53813-2025</t>
        </is>
      </c>
      <c r="B14" s="1" t="n">
        <v>45960</v>
      </c>
      <c r="C14" s="1" t="n">
        <v>46038</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11405-2025</t>
        </is>
      </c>
      <c r="B15" s="1" t="n">
        <v>45726</v>
      </c>
      <c r="C15" s="1" t="n">
        <v>46038</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16407-2025</t>
        </is>
      </c>
      <c r="B16" s="1" t="n">
        <v>45751.45120370371</v>
      </c>
      <c r="C16" s="1" t="n">
        <v>46038</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21831-2024</t>
        </is>
      </c>
      <c r="B17" s="1" t="n">
        <v>45442</v>
      </c>
      <c r="C17" s="1" t="n">
        <v>46038</v>
      </c>
      <c r="D17" t="inlineStr">
        <is>
          <t>UPPSALA LÄN</t>
        </is>
      </c>
      <c r="E17" t="inlineStr">
        <is>
          <t>KNIVSTA</t>
        </is>
      </c>
      <c r="G17" t="n">
        <v>4.5</v>
      </c>
      <c r="H17" t="n">
        <v>1</v>
      </c>
      <c r="I17" t="n">
        <v>0</v>
      </c>
      <c r="J17" t="n">
        <v>0</v>
      </c>
      <c r="K17" t="n">
        <v>0</v>
      </c>
      <c r="L17" t="n">
        <v>0</v>
      </c>
      <c r="M17" t="n">
        <v>0</v>
      </c>
      <c r="N17" t="n">
        <v>0</v>
      </c>
      <c r="O17" t="n">
        <v>0</v>
      </c>
      <c r="P17" t="n">
        <v>0</v>
      </c>
      <c r="Q17" t="n">
        <v>1</v>
      </c>
      <c r="R17" s="2" t="inlineStr">
        <is>
          <t>Blåsippa</t>
        </is>
      </c>
      <c r="S17">
        <f>HYPERLINK("https://klasma.github.io/Logging_0330/artfynd/A 21831-2024 artfynd.xlsx", "A 21831-2024")</f>
        <v/>
      </c>
      <c r="T17">
        <f>HYPERLINK("https://klasma.github.io/Logging_0330/kartor/A 21831-2024 karta.png", "A 21831-2024")</f>
        <v/>
      </c>
      <c r="V17">
        <f>HYPERLINK("https://klasma.github.io/Logging_0330/klagomål/A 21831-2024 FSC-klagomål.docx", "A 21831-2024")</f>
        <v/>
      </c>
      <c r="W17">
        <f>HYPERLINK("https://klasma.github.io/Logging_0330/klagomålsmail/A 21831-2024 FSC-klagomål mail.docx", "A 21831-2024")</f>
        <v/>
      </c>
      <c r="X17">
        <f>HYPERLINK("https://klasma.github.io/Logging_0330/tillsyn/A 21831-2024 tillsynsbegäran.docx", "A 21831-2024")</f>
        <v/>
      </c>
      <c r="Y17">
        <f>HYPERLINK("https://klasma.github.io/Logging_0330/tillsynsmail/A 21831-2024 tillsynsbegäran mail.docx", "A 21831-2024")</f>
        <v/>
      </c>
    </row>
    <row r="18" ht="15" customHeight="1">
      <c r="A18" t="inlineStr">
        <is>
          <t>A 19796-2021</t>
        </is>
      </c>
      <c r="B18" s="1" t="n">
        <v>44313</v>
      </c>
      <c r="C18" s="1" t="n">
        <v>46038</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9725-2021</t>
        </is>
      </c>
      <c r="B19" s="1" t="n">
        <v>44252</v>
      </c>
      <c r="C19" s="1" t="n">
        <v>46038</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31143-2021</t>
        </is>
      </c>
      <c r="B20" s="1" t="n">
        <v>44368</v>
      </c>
      <c r="C20" s="1" t="n">
        <v>46038</v>
      </c>
      <c r="D20" t="inlineStr">
        <is>
          <t>UPPSALA LÄN</t>
        </is>
      </c>
      <c r="E20" t="inlineStr">
        <is>
          <t>KNIVSTA</t>
        </is>
      </c>
      <c r="G20" t="n">
        <v>13.1</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46038</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46038</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46038</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46038</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46038</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46038</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46038</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46038</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46038</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46038</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46038</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46038</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46038</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46038</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46038</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46038</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46038</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46038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46038</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17091-2023</t>
        </is>
      </c>
      <c r="B40" s="1" t="n">
        <v>45034.53554398148</v>
      </c>
      <c r="C40" s="1" t="n">
        <v>46038</v>
      </c>
      <c r="D40" t="inlineStr">
        <is>
          <t>UPPSALA LÄN</t>
        </is>
      </c>
      <c r="E40" t="inlineStr">
        <is>
          <t>KNIVSTA</t>
        </is>
      </c>
      <c r="G40" t="n">
        <v>0.8</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46038</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16773-2022</t>
        </is>
      </c>
      <c r="B42" s="1" t="n">
        <v>44673</v>
      </c>
      <c r="C42" s="1" t="n">
        <v>46038</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46038</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46038</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46038</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1791-2024</t>
        </is>
      </c>
      <c r="B46" s="1" t="n">
        <v>45307.574375</v>
      </c>
      <c r="C46" s="1" t="n">
        <v>46038</v>
      </c>
      <c r="D46" t="inlineStr">
        <is>
          <t>UPPSALA LÄN</t>
        </is>
      </c>
      <c r="E46" t="inlineStr">
        <is>
          <t>KNIVSTA</t>
        </is>
      </c>
      <c r="G46" t="n">
        <v>1.4</v>
      </c>
      <c r="H46" t="n">
        <v>0</v>
      </c>
      <c r="I46" t="n">
        <v>0</v>
      </c>
      <c r="J46" t="n">
        <v>0</v>
      </c>
      <c r="K46" t="n">
        <v>0</v>
      </c>
      <c r="L46" t="n">
        <v>0</v>
      </c>
      <c r="M46" t="n">
        <v>0</v>
      </c>
      <c r="N46" t="n">
        <v>0</v>
      </c>
      <c r="O46" t="n">
        <v>0</v>
      </c>
      <c r="P46" t="n">
        <v>0</v>
      </c>
      <c r="Q46" t="n">
        <v>0</v>
      </c>
      <c r="R46" s="2" t="inlineStr"/>
    </row>
    <row r="47" ht="15" customHeight="1">
      <c r="A47" t="inlineStr">
        <is>
          <t>A 20505-2021</t>
        </is>
      </c>
      <c r="B47" s="1" t="n">
        <v>44313</v>
      </c>
      <c r="C47" s="1" t="n">
        <v>46038</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60018-2024</t>
        </is>
      </c>
      <c r="B48" s="1" t="n">
        <v>45642</v>
      </c>
      <c r="C48" s="1" t="n">
        <v>46038</v>
      </c>
      <c r="D48" t="inlineStr">
        <is>
          <t>UPPSALA LÄN</t>
        </is>
      </c>
      <c r="E48" t="inlineStr">
        <is>
          <t>KNIVSTA</t>
        </is>
      </c>
      <c r="G48" t="n">
        <v>4.1</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46038</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23239-2023</t>
        </is>
      </c>
      <c r="B50" s="1" t="n">
        <v>45075</v>
      </c>
      <c r="C50" s="1" t="n">
        <v>46038</v>
      </c>
      <c r="D50" t="inlineStr">
        <is>
          <t>UPPSALA LÄN</t>
        </is>
      </c>
      <c r="E50" t="inlineStr">
        <is>
          <t>KNIVSTA</t>
        </is>
      </c>
      <c r="G50" t="n">
        <v>1.8</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46038</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5402-2023</t>
        </is>
      </c>
      <c r="B52" s="1" t="n">
        <v>44959</v>
      </c>
      <c r="C52" s="1" t="n">
        <v>46038</v>
      </c>
      <c r="D52" t="inlineStr">
        <is>
          <t>UPPSALA LÄN</t>
        </is>
      </c>
      <c r="E52" t="inlineStr">
        <is>
          <t>KNIVSTA</t>
        </is>
      </c>
      <c r="G52" t="n">
        <v>4.3</v>
      </c>
      <c r="H52" t="n">
        <v>0</v>
      </c>
      <c r="I52" t="n">
        <v>0</v>
      </c>
      <c r="J52" t="n">
        <v>0</v>
      </c>
      <c r="K52" t="n">
        <v>0</v>
      </c>
      <c r="L52" t="n">
        <v>0</v>
      </c>
      <c r="M52" t="n">
        <v>0</v>
      </c>
      <c r="N52" t="n">
        <v>0</v>
      </c>
      <c r="O52" t="n">
        <v>0</v>
      </c>
      <c r="P52" t="n">
        <v>0</v>
      </c>
      <c r="Q52" t="n">
        <v>0</v>
      </c>
      <c r="R52" s="2" t="inlineStr"/>
    </row>
    <row r="53" ht="15" customHeight="1">
      <c r="A53" t="inlineStr">
        <is>
          <t>A 66284-2021</t>
        </is>
      </c>
      <c r="B53" s="1" t="n">
        <v>44518</v>
      </c>
      <c r="C53" s="1" t="n">
        <v>46038</v>
      </c>
      <c r="D53" t="inlineStr">
        <is>
          <t>UPPSALA LÄN</t>
        </is>
      </c>
      <c r="E53" t="inlineStr">
        <is>
          <t>KNIVSTA</t>
        </is>
      </c>
      <c r="G53" t="n">
        <v>6.9</v>
      </c>
      <c r="H53" t="n">
        <v>0</v>
      </c>
      <c r="I53" t="n">
        <v>0</v>
      </c>
      <c r="J53" t="n">
        <v>0</v>
      </c>
      <c r="K53" t="n">
        <v>0</v>
      </c>
      <c r="L53" t="n">
        <v>0</v>
      </c>
      <c r="M53" t="n">
        <v>0</v>
      </c>
      <c r="N53" t="n">
        <v>0</v>
      </c>
      <c r="O53" t="n">
        <v>0</v>
      </c>
      <c r="P53" t="n">
        <v>0</v>
      </c>
      <c r="Q53" t="n">
        <v>0</v>
      </c>
      <c r="R53" s="2" t="inlineStr"/>
    </row>
    <row r="54" ht="15" customHeight="1">
      <c r="A54" t="inlineStr">
        <is>
          <t>A 32975-2021</t>
        </is>
      </c>
      <c r="B54" s="1" t="n">
        <v>44376</v>
      </c>
      <c r="C54" s="1" t="n">
        <v>46038</v>
      </c>
      <c r="D54" t="inlineStr">
        <is>
          <t>UPPSALA LÄN</t>
        </is>
      </c>
      <c r="E54" t="inlineStr">
        <is>
          <t>KNIVSTA</t>
        </is>
      </c>
      <c r="G54" t="n">
        <v>6.1</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46038</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11847-2023</t>
        </is>
      </c>
      <c r="B56" s="1" t="n">
        <v>44995.33957175926</v>
      </c>
      <c r="C56" s="1" t="n">
        <v>46038</v>
      </c>
      <c r="D56" t="inlineStr">
        <is>
          <t>UPPSALA LÄN</t>
        </is>
      </c>
      <c r="E56" t="inlineStr">
        <is>
          <t>KNIVSTA</t>
        </is>
      </c>
      <c r="G56" t="n">
        <v>2.1</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46038</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44869-2025</t>
        </is>
      </c>
      <c r="B58" s="1" t="n">
        <v>45918.46758101852</v>
      </c>
      <c r="C58" s="1" t="n">
        <v>46038</v>
      </c>
      <c r="D58" t="inlineStr">
        <is>
          <t>UPPSALA LÄN</t>
        </is>
      </c>
      <c r="E58" t="inlineStr">
        <is>
          <t>KNIVSTA</t>
        </is>
      </c>
      <c r="G58" t="n">
        <v>17.1</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46038</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46038</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46038</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3191-2024</t>
        </is>
      </c>
      <c r="B62" s="1" t="n">
        <v>45316.67186342592</v>
      </c>
      <c r="C62" s="1" t="n">
        <v>46038</v>
      </c>
      <c r="D62" t="inlineStr">
        <is>
          <t>UPPSALA LÄN</t>
        </is>
      </c>
      <c r="E62" t="inlineStr">
        <is>
          <t>KNIVSTA</t>
        </is>
      </c>
      <c r="G62" t="n">
        <v>0.6</v>
      </c>
      <c r="H62" t="n">
        <v>0</v>
      </c>
      <c r="I62" t="n">
        <v>0</v>
      </c>
      <c r="J62" t="n">
        <v>0</v>
      </c>
      <c r="K62" t="n">
        <v>0</v>
      </c>
      <c r="L62" t="n">
        <v>0</v>
      </c>
      <c r="M62" t="n">
        <v>0</v>
      </c>
      <c r="N62" t="n">
        <v>0</v>
      </c>
      <c r="O62" t="n">
        <v>0</v>
      </c>
      <c r="P62" t="n">
        <v>0</v>
      </c>
      <c r="Q62" t="n">
        <v>0</v>
      </c>
      <c r="R62" s="2" t="inlineStr"/>
    </row>
    <row r="63" ht="15" customHeight="1">
      <c r="A63" t="inlineStr">
        <is>
          <t>A 31875-2022</t>
        </is>
      </c>
      <c r="B63" s="1" t="n">
        <v>44777</v>
      </c>
      <c r="C63" s="1" t="n">
        <v>46038</v>
      </c>
      <c r="D63" t="inlineStr">
        <is>
          <t>UPPSALA LÄN</t>
        </is>
      </c>
      <c r="E63" t="inlineStr">
        <is>
          <t>KNIVSTA</t>
        </is>
      </c>
      <c r="G63" t="n">
        <v>0.7</v>
      </c>
      <c r="H63" t="n">
        <v>0</v>
      </c>
      <c r="I63" t="n">
        <v>0</v>
      </c>
      <c r="J63" t="n">
        <v>0</v>
      </c>
      <c r="K63" t="n">
        <v>0</v>
      </c>
      <c r="L63" t="n">
        <v>0</v>
      </c>
      <c r="M63" t="n">
        <v>0</v>
      </c>
      <c r="N63" t="n">
        <v>0</v>
      </c>
      <c r="O63" t="n">
        <v>0</v>
      </c>
      <c r="P63" t="n">
        <v>0</v>
      </c>
      <c r="Q63" t="n">
        <v>0</v>
      </c>
      <c r="R63" s="2" t="inlineStr"/>
    </row>
    <row r="64" ht="15" customHeight="1">
      <c r="A64" t="inlineStr">
        <is>
          <t>A 47803-2025</t>
        </is>
      </c>
      <c r="B64" s="1" t="n">
        <v>45931</v>
      </c>
      <c r="C64" s="1" t="n">
        <v>46038</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51849-2023</t>
        </is>
      </c>
      <c r="B65" s="1" t="n">
        <v>45223.34391203704</v>
      </c>
      <c r="C65" s="1" t="n">
        <v>46038</v>
      </c>
      <c r="D65" t="inlineStr">
        <is>
          <t>UPPSALA LÄN</t>
        </is>
      </c>
      <c r="E65" t="inlineStr">
        <is>
          <t>KNIVSTA</t>
        </is>
      </c>
      <c r="G65" t="n">
        <v>16.3</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46038</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66293-2021</t>
        </is>
      </c>
      <c r="B67" s="1" t="n">
        <v>44518</v>
      </c>
      <c r="C67" s="1" t="n">
        <v>46038</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45916-2022</t>
        </is>
      </c>
      <c r="B68" s="1" t="n">
        <v>44846</v>
      </c>
      <c r="C68" s="1" t="n">
        <v>46038</v>
      </c>
      <c r="D68" t="inlineStr">
        <is>
          <t>UPPSALA LÄN</t>
        </is>
      </c>
      <c r="E68" t="inlineStr">
        <is>
          <t>KNIVSTA</t>
        </is>
      </c>
      <c r="G68" t="n">
        <v>3.8</v>
      </c>
      <c r="H68" t="n">
        <v>0</v>
      </c>
      <c r="I68" t="n">
        <v>0</v>
      </c>
      <c r="J68" t="n">
        <v>0</v>
      </c>
      <c r="K68" t="n">
        <v>0</v>
      </c>
      <c r="L68" t="n">
        <v>0</v>
      </c>
      <c r="M68" t="n">
        <v>0</v>
      </c>
      <c r="N68" t="n">
        <v>0</v>
      </c>
      <c r="O68" t="n">
        <v>0</v>
      </c>
      <c r="P68" t="n">
        <v>0</v>
      </c>
      <c r="Q68" t="n">
        <v>0</v>
      </c>
      <c r="R68" s="2" t="inlineStr"/>
    </row>
    <row r="69" ht="15" customHeight="1">
      <c r="A69" t="inlineStr">
        <is>
          <t>A 2629-2025</t>
        </is>
      </c>
      <c r="B69" s="1" t="n">
        <v>45675.6953587963</v>
      </c>
      <c r="C69" s="1" t="n">
        <v>46038</v>
      </c>
      <c r="D69" t="inlineStr">
        <is>
          <t>UPPSALA LÄN</t>
        </is>
      </c>
      <c r="E69" t="inlineStr">
        <is>
          <t>KNIVSTA</t>
        </is>
      </c>
      <c r="G69" t="n">
        <v>1.1</v>
      </c>
      <c r="H69" t="n">
        <v>0</v>
      </c>
      <c r="I69" t="n">
        <v>0</v>
      </c>
      <c r="J69" t="n">
        <v>0</v>
      </c>
      <c r="K69" t="n">
        <v>0</v>
      </c>
      <c r="L69" t="n">
        <v>0</v>
      </c>
      <c r="M69" t="n">
        <v>0</v>
      </c>
      <c r="N69" t="n">
        <v>0</v>
      </c>
      <c r="O69" t="n">
        <v>0</v>
      </c>
      <c r="P69" t="n">
        <v>0</v>
      </c>
      <c r="Q69" t="n">
        <v>0</v>
      </c>
      <c r="R69" s="2" t="inlineStr"/>
    </row>
    <row r="70" ht="15" customHeight="1">
      <c r="A70" t="inlineStr">
        <is>
          <t>A 5320-2023</t>
        </is>
      </c>
      <c r="B70" s="1" t="n">
        <v>44959</v>
      </c>
      <c r="C70" s="1" t="n">
        <v>46038</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46038</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46038</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46038</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11452-2023</t>
        </is>
      </c>
      <c r="B74" s="1" t="n">
        <v>44993</v>
      </c>
      <c r="C74" s="1" t="n">
        <v>46038</v>
      </c>
      <c r="D74" t="inlineStr">
        <is>
          <t>UPPSALA LÄN</t>
        </is>
      </c>
      <c r="E74" t="inlineStr">
        <is>
          <t>KNIVSTA</t>
        </is>
      </c>
      <c r="G74" t="n">
        <v>2.5</v>
      </c>
      <c r="H74" t="n">
        <v>0</v>
      </c>
      <c r="I74" t="n">
        <v>0</v>
      </c>
      <c r="J74" t="n">
        <v>0</v>
      </c>
      <c r="K74" t="n">
        <v>0</v>
      </c>
      <c r="L74" t="n">
        <v>0</v>
      </c>
      <c r="M74" t="n">
        <v>0</v>
      </c>
      <c r="N74" t="n">
        <v>0</v>
      </c>
      <c r="O74" t="n">
        <v>0</v>
      </c>
      <c r="P74" t="n">
        <v>0</v>
      </c>
      <c r="Q74" t="n">
        <v>0</v>
      </c>
      <c r="R74" s="2" t="inlineStr"/>
    </row>
    <row r="75" ht="15" customHeight="1">
      <c r="A75" t="inlineStr">
        <is>
          <t>A 30627-2023</t>
        </is>
      </c>
      <c r="B75" s="1" t="n">
        <v>45112</v>
      </c>
      <c r="C75" s="1" t="n">
        <v>46038</v>
      </c>
      <c r="D75" t="inlineStr">
        <is>
          <t>UPPSALA LÄN</t>
        </is>
      </c>
      <c r="E75" t="inlineStr">
        <is>
          <t>KNIVSTA</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43908-2023</t>
        </is>
      </c>
      <c r="B76" s="1" t="n">
        <v>45187</v>
      </c>
      <c r="C76" s="1" t="n">
        <v>46038</v>
      </c>
      <c r="D76" t="inlineStr">
        <is>
          <t>UPPSALA LÄN</t>
        </is>
      </c>
      <c r="E76" t="inlineStr">
        <is>
          <t>KNIVSTA</t>
        </is>
      </c>
      <c r="F76" t="inlineStr">
        <is>
          <t>Kyrkan</t>
        </is>
      </c>
      <c r="G76" t="n">
        <v>1.7</v>
      </c>
      <c r="H76" t="n">
        <v>0</v>
      </c>
      <c r="I76" t="n">
        <v>0</v>
      </c>
      <c r="J76" t="n">
        <v>0</v>
      </c>
      <c r="K76" t="n">
        <v>0</v>
      </c>
      <c r="L76" t="n">
        <v>0</v>
      </c>
      <c r="M76" t="n">
        <v>0</v>
      </c>
      <c r="N76" t="n">
        <v>0</v>
      </c>
      <c r="O76" t="n">
        <v>0</v>
      </c>
      <c r="P76" t="n">
        <v>0</v>
      </c>
      <c r="Q76" t="n">
        <v>0</v>
      </c>
      <c r="R76" s="2" t="inlineStr"/>
    </row>
    <row r="77" ht="15" customHeight="1">
      <c r="A77" t="inlineStr">
        <is>
          <t>A 8343-2024</t>
        </is>
      </c>
      <c r="B77" s="1" t="n">
        <v>45352</v>
      </c>
      <c r="C77" s="1" t="n">
        <v>46038</v>
      </c>
      <c r="D77" t="inlineStr">
        <is>
          <t>UPPSALA LÄN</t>
        </is>
      </c>
      <c r="E77" t="inlineStr">
        <is>
          <t>KNIVSTA</t>
        </is>
      </c>
      <c r="F77" t="inlineStr">
        <is>
          <t>Holmen skog AB</t>
        </is>
      </c>
      <c r="G77" t="n">
        <v>1.4</v>
      </c>
      <c r="H77" t="n">
        <v>0</v>
      </c>
      <c r="I77" t="n">
        <v>0</v>
      </c>
      <c r="J77" t="n">
        <v>0</v>
      </c>
      <c r="K77" t="n">
        <v>0</v>
      </c>
      <c r="L77" t="n">
        <v>0</v>
      </c>
      <c r="M77" t="n">
        <v>0</v>
      </c>
      <c r="N77" t="n">
        <v>0</v>
      </c>
      <c r="O77" t="n">
        <v>0</v>
      </c>
      <c r="P77" t="n">
        <v>0</v>
      </c>
      <c r="Q77" t="n">
        <v>0</v>
      </c>
      <c r="R77" s="2" t="inlineStr"/>
    </row>
    <row r="78" ht="15" customHeight="1">
      <c r="A78" t="inlineStr">
        <is>
          <t>A 57631-2025</t>
        </is>
      </c>
      <c r="B78" s="1" t="n">
        <v>45981.34748842593</v>
      </c>
      <c r="C78" s="1" t="n">
        <v>46038</v>
      </c>
      <c r="D78" t="inlineStr">
        <is>
          <t>UPPSALA LÄN</t>
        </is>
      </c>
      <c r="E78" t="inlineStr">
        <is>
          <t>KNIVSTA</t>
        </is>
      </c>
      <c r="G78" t="n">
        <v>3.4</v>
      </c>
      <c r="H78" t="n">
        <v>0</v>
      </c>
      <c r="I78" t="n">
        <v>0</v>
      </c>
      <c r="J78" t="n">
        <v>0</v>
      </c>
      <c r="K78" t="n">
        <v>0</v>
      </c>
      <c r="L78" t="n">
        <v>0</v>
      </c>
      <c r="M78" t="n">
        <v>0</v>
      </c>
      <c r="N78" t="n">
        <v>0</v>
      </c>
      <c r="O78" t="n">
        <v>0</v>
      </c>
      <c r="P78" t="n">
        <v>0</v>
      </c>
      <c r="Q78" t="n">
        <v>0</v>
      </c>
      <c r="R78" s="2" t="inlineStr"/>
    </row>
    <row r="79" ht="15" customHeight="1">
      <c r="A79" t="inlineStr">
        <is>
          <t>A 662-2026</t>
        </is>
      </c>
      <c r="B79" s="1" t="n">
        <v>46029.58549768518</v>
      </c>
      <c r="C79" s="1" t="n">
        <v>46038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666-2026</t>
        </is>
      </c>
      <c r="B80" s="1" t="n">
        <v>46029.58832175926</v>
      </c>
      <c r="C80" s="1" t="n">
        <v>46038</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60885-2021</t>
        </is>
      </c>
      <c r="B81" s="1" t="n">
        <v>44497</v>
      </c>
      <c r="C81" s="1" t="n">
        <v>46038</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53812-2025</t>
        </is>
      </c>
      <c r="B82" s="1" t="n">
        <v>45960</v>
      </c>
      <c r="C82" s="1" t="n">
        <v>46038</v>
      </c>
      <c r="D82" t="inlineStr">
        <is>
          <t>UPPSALA LÄN</t>
        </is>
      </c>
      <c r="E82" t="inlineStr">
        <is>
          <t>KNIVSTA</t>
        </is>
      </c>
      <c r="G82" t="n">
        <v>5.8</v>
      </c>
      <c r="H82" t="n">
        <v>0</v>
      </c>
      <c r="I82" t="n">
        <v>0</v>
      </c>
      <c r="J82" t="n">
        <v>0</v>
      </c>
      <c r="K82" t="n">
        <v>0</v>
      </c>
      <c r="L82" t="n">
        <v>0</v>
      </c>
      <c r="M82" t="n">
        <v>0</v>
      </c>
      <c r="N82" t="n">
        <v>0</v>
      </c>
      <c r="O82" t="n">
        <v>0</v>
      </c>
      <c r="P82" t="n">
        <v>0</v>
      </c>
      <c r="Q82" t="n">
        <v>0</v>
      </c>
      <c r="R82" s="2" t="inlineStr"/>
    </row>
    <row r="83" ht="15" customHeight="1">
      <c r="A83" t="inlineStr">
        <is>
          <t>A 19676-2025</t>
        </is>
      </c>
      <c r="B83" s="1" t="n">
        <v>45770</v>
      </c>
      <c r="C83" s="1" t="n">
        <v>46038</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14267-2025</t>
        </is>
      </c>
      <c r="B84" s="1" t="n">
        <v>45740.63686342593</v>
      </c>
      <c r="C84" s="1" t="n">
        <v>46038</v>
      </c>
      <c r="D84" t="inlineStr">
        <is>
          <t>UPPSALA LÄN</t>
        </is>
      </c>
      <c r="E84" t="inlineStr">
        <is>
          <t>KNIVSTA</t>
        </is>
      </c>
      <c r="G84" t="n">
        <v>3.9</v>
      </c>
      <c r="H84" t="n">
        <v>0</v>
      </c>
      <c r="I84" t="n">
        <v>0</v>
      </c>
      <c r="J84" t="n">
        <v>0</v>
      </c>
      <c r="K84" t="n">
        <v>0</v>
      </c>
      <c r="L84" t="n">
        <v>0</v>
      </c>
      <c r="M84" t="n">
        <v>0</v>
      </c>
      <c r="N84" t="n">
        <v>0</v>
      </c>
      <c r="O84" t="n">
        <v>0</v>
      </c>
      <c r="P84" t="n">
        <v>0</v>
      </c>
      <c r="Q84" t="n">
        <v>0</v>
      </c>
      <c r="R84" s="2" t="inlineStr"/>
    </row>
    <row r="85" ht="15" customHeight="1">
      <c r="A85" t="inlineStr">
        <is>
          <t>A 60243-2025</t>
        </is>
      </c>
      <c r="B85" s="1" t="n">
        <v>45994.58650462963</v>
      </c>
      <c r="C85" s="1" t="n">
        <v>46038</v>
      </c>
      <c r="D85" t="inlineStr">
        <is>
          <t>UPPSALA LÄN</t>
        </is>
      </c>
      <c r="E85" t="inlineStr">
        <is>
          <t>KNIVSTA</t>
        </is>
      </c>
      <c r="F85" t="inlineStr">
        <is>
          <t>Holmen skog AB</t>
        </is>
      </c>
      <c r="G85" t="n">
        <v>2.4</v>
      </c>
      <c r="H85" t="n">
        <v>0</v>
      </c>
      <c r="I85" t="n">
        <v>0</v>
      </c>
      <c r="J85" t="n">
        <v>0</v>
      </c>
      <c r="K85" t="n">
        <v>0</v>
      </c>
      <c r="L85" t="n">
        <v>0</v>
      </c>
      <c r="M85" t="n">
        <v>0</v>
      </c>
      <c r="N85" t="n">
        <v>0</v>
      </c>
      <c r="O85" t="n">
        <v>0</v>
      </c>
      <c r="P85" t="n">
        <v>0</v>
      </c>
      <c r="Q85" t="n">
        <v>0</v>
      </c>
      <c r="R85" s="2" t="inlineStr"/>
    </row>
    <row r="86" ht="15" customHeight="1">
      <c r="A86" t="inlineStr">
        <is>
          <t>A 13697-2024</t>
        </is>
      </c>
      <c r="B86" s="1" t="n">
        <v>45390</v>
      </c>
      <c r="C86" s="1" t="n">
        <v>46038</v>
      </c>
      <c r="D86" t="inlineStr">
        <is>
          <t>UPPSALA LÄN</t>
        </is>
      </c>
      <c r="E86" t="inlineStr">
        <is>
          <t>KNIVSTA</t>
        </is>
      </c>
      <c r="F86" t="inlineStr">
        <is>
          <t>Holmen skog AB</t>
        </is>
      </c>
      <c r="G86" t="n">
        <v>1.3</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46038</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1629-2024</t>
        </is>
      </c>
      <c r="B88" s="1" t="n">
        <v>45306</v>
      </c>
      <c r="C88" s="1" t="n">
        <v>46038</v>
      </c>
      <c r="D88" t="inlineStr">
        <is>
          <t>UPPSALA LÄN</t>
        </is>
      </c>
      <c r="E88" t="inlineStr">
        <is>
          <t>KNIVSTA</t>
        </is>
      </c>
      <c r="F88" t="inlineStr">
        <is>
          <t>Holmen skog AB</t>
        </is>
      </c>
      <c r="G88" t="n">
        <v>3.6</v>
      </c>
      <c r="H88" t="n">
        <v>0</v>
      </c>
      <c r="I88" t="n">
        <v>0</v>
      </c>
      <c r="J88" t="n">
        <v>0</v>
      </c>
      <c r="K88" t="n">
        <v>0</v>
      </c>
      <c r="L88" t="n">
        <v>0</v>
      </c>
      <c r="M88" t="n">
        <v>0</v>
      </c>
      <c r="N88" t="n">
        <v>0</v>
      </c>
      <c r="O88" t="n">
        <v>0</v>
      </c>
      <c r="P88" t="n">
        <v>0</v>
      </c>
      <c r="Q88" t="n">
        <v>0</v>
      </c>
      <c r="R88" s="2" t="inlineStr"/>
    </row>
    <row r="89" ht="15" customHeight="1">
      <c r="A89" t="inlineStr">
        <is>
          <t>A 30764-2023</t>
        </is>
      </c>
      <c r="B89" s="1" t="n">
        <v>45112</v>
      </c>
      <c r="C89" s="1" t="n">
        <v>46038</v>
      </c>
      <c r="D89" t="inlineStr">
        <is>
          <t>UPPSALA LÄN</t>
        </is>
      </c>
      <c r="E89" t="inlineStr">
        <is>
          <t>KNIVSTA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2171-2024</t>
        </is>
      </c>
      <c r="B90" s="1" t="n">
        <v>45309</v>
      </c>
      <c r="C90" s="1" t="n">
        <v>46038</v>
      </c>
      <c r="D90" t="inlineStr">
        <is>
          <t>UPPSALA LÄN</t>
        </is>
      </c>
      <c r="E90" t="inlineStr">
        <is>
          <t>KNIVSTA</t>
        </is>
      </c>
      <c r="F90" t="inlineStr">
        <is>
          <t>Holmen skog AB</t>
        </is>
      </c>
      <c r="G90" t="n">
        <v>3.3</v>
      </c>
      <c r="H90" t="n">
        <v>0</v>
      </c>
      <c r="I90" t="n">
        <v>0</v>
      </c>
      <c r="J90" t="n">
        <v>0</v>
      </c>
      <c r="K90" t="n">
        <v>0</v>
      </c>
      <c r="L90" t="n">
        <v>0</v>
      </c>
      <c r="M90" t="n">
        <v>0</v>
      </c>
      <c r="N90" t="n">
        <v>0</v>
      </c>
      <c r="O90" t="n">
        <v>0</v>
      </c>
      <c r="P90" t="n">
        <v>0</v>
      </c>
      <c r="Q90" t="n">
        <v>0</v>
      </c>
      <c r="R90" s="2" t="inlineStr"/>
    </row>
    <row r="91" ht="15" customHeight="1">
      <c r="A91" t="inlineStr">
        <is>
          <t>A 21130-2025</t>
        </is>
      </c>
      <c r="B91" s="1" t="n">
        <v>45778.35857638889</v>
      </c>
      <c r="C91" s="1" t="n">
        <v>46038</v>
      </c>
      <c r="D91" t="inlineStr">
        <is>
          <t>UPPSALA LÄN</t>
        </is>
      </c>
      <c r="E91" t="inlineStr">
        <is>
          <t>KNIVSTA</t>
        </is>
      </c>
      <c r="G91" t="n">
        <v>2.2</v>
      </c>
      <c r="H91" t="n">
        <v>0</v>
      </c>
      <c r="I91" t="n">
        <v>0</v>
      </c>
      <c r="J91" t="n">
        <v>0</v>
      </c>
      <c r="K91" t="n">
        <v>0</v>
      </c>
      <c r="L91" t="n">
        <v>0</v>
      </c>
      <c r="M91" t="n">
        <v>0</v>
      </c>
      <c r="N91" t="n">
        <v>0</v>
      </c>
      <c r="O91" t="n">
        <v>0</v>
      </c>
      <c r="P91" t="n">
        <v>0</v>
      </c>
      <c r="Q91" t="n">
        <v>0</v>
      </c>
      <c r="R91" s="2" t="inlineStr"/>
    </row>
    <row r="92" ht="15" customHeight="1">
      <c r="A92" t="inlineStr">
        <is>
          <t>A 794-2024</t>
        </is>
      </c>
      <c r="B92" s="1" t="n">
        <v>45300.58149305556</v>
      </c>
      <c r="C92" s="1" t="n">
        <v>46038</v>
      </c>
      <c r="D92" t="inlineStr">
        <is>
          <t>UPPSALA LÄN</t>
        </is>
      </c>
      <c r="E92" t="inlineStr">
        <is>
          <t>KNIVSTA</t>
        </is>
      </c>
      <c r="G92" t="n">
        <v>1.6</v>
      </c>
      <c r="H92" t="n">
        <v>0</v>
      </c>
      <c r="I92" t="n">
        <v>0</v>
      </c>
      <c r="J92" t="n">
        <v>0</v>
      </c>
      <c r="K92" t="n">
        <v>0</v>
      </c>
      <c r="L92" t="n">
        <v>0</v>
      </c>
      <c r="M92" t="n">
        <v>0</v>
      </c>
      <c r="N92" t="n">
        <v>0</v>
      </c>
      <c r="O92" t="n">
        <v>0</v>
      </c>
      <c r="P92" t="n">
        <v>0</v>
      </c>
      <c r="Q92" t="n">
        <v>0</v>
      </c>
      <c r="R92" s="2" t="inlineStr"/>
    </row>
    <row r="93" ht="15" customHeight="1">
      <c r="A93" t="inlineStr">
        <is>
          <t>A 20902-2024</t>
        </is>
      </c>
      <c r="B93" s="1" t="n">
        <v>45439.48104166667</v>
      </c>
      <c r="C93" s="1" t="n">
        <v>46038</v>
      </c>
      <c r="D93" t="inlineStr">
        <is>
          <t>UPPSALA LÄN</t>
        </is>
      </c>
      <c r="E93" t="inlineStr">
        <is>
          <t>KNIVSTA</t>
        </is>
      </c>
      <c r="G93" t="n">
        <v>1</v>
      </c>
      <c r="H93" t="n">
        <v>0</v>
      </c>
      <c r="I93" t="n">
        <v>0</v>
      </c>
      <c r="J93" t="n">
        <v>0</v>
      </c>
      <c r="K93" t="n">
        <v>0</v>
      </c>
      <c r="L93" t="n">
        <v>0</v>
      </c>
      <c r="M93" t="n">
        <v>0</v>
      </c>
      <c r="N93" t="n">
        <v>0</v>
      </c>
      <c r="O93" t="n">
        <v>0</v>
      </c>
      <c r="P93" t="n">
        <v>0</v>
      </c>
      <c r="Q93" t="n">
        <v>0</v>
      </c>
      <c r="R93" s="2" t="inlineStr"/>
    </row>
    <row r="94" ht="15" customHeight="1">
      <c r="A94" t="inlineStr">
        <is>
          <t>A 26226-2025</t>
        </is>
      </c>
      <c r="B94" s="1" t="n">
        <v>45805.55829861111</v>
      </c>
      <c r="C94" s="1" t="n">
        <v>46038</v>
      </c>
      <c r="D94" t="inlineStr">
        <is>
          <t>UPPSALA LÄN</t>
        </is>
      </c>
      <c r="E94" t="inlineStr">
        <is>
          <t>KNIVSTA</t>
        </is>
      </c>
      <c r="G94" t="n">
        <v>9.1</v>
      </c>
      <c r="H94" t="n">
        <v>0</v>
      </c>
      <c r="I94" t="n">
        <v>0</v>
      </c>
      <c r="J94" t="n">
        <v>0</v>
      </c>
      <c r="K94" t="n">
        <v>0</v>
      </c>
      <c r="L94" t="n">
        <v>0</v>
      </c>
      <c r="M94" t="n">
        <v>0</v>
      </c>
      <c r="N94" t="n">
        <v>0</v>
      </c>
      <c r="O94" t="n">
        <v>0</v>
      </c>
      <c r="P94" t="n">
        <v>0</v>
      </c>
      <c r="Q94" t="n">
        <v>0</v>
      </c>
      <c r="R94" s="2" t="inlineStr"/>
    </row>
    <row r="95" ht="15" customHeight="1">
      <c r="A95" t="inlineStr">
        <is>
          <t>A 28189-2025</t>
        </is>
      </c>
      <c r="B95" s="1" t="n">
        <v>45818.41357638889</v>
      </c>
      <c r="C95" s="1" t="n">
        <v>46038</v>
      </c>
      <c r="D95" t="inlineStr">
        <is>
          <t>UPPSALA LÄN</t>
        </is>
      </c>
      <c r="E95" t="inlineStr">
        <is>
          <t>KNIVSTA</t>
        </is>
      </c>
      <c r="G95" t="n">
        <v>7.6</v>
      </c>
      <c r="H95" t="n">
        <v>0</v>
      </c>
      <c r="I95" t="n">
        <v>0</v>
      </c>
      <c r="J95" t="n">
        <v>0</v>
      </c>
      <c r="K95" t="n">
        <v>0</v>
      </c>
      <c r="L95" t="n">
        <v>0</v>
      </c>
      <c r="M95" t="n">
        <v>0</v>
      </c>
      <c r="N95" t="n">
        <v>0</v>
      </c>
      <c r="O95" t="n">
        <v>0</v>
      </c>
      <c r="P95" t="n">
        <v>0</v>
      </c>
      <c r="Q95" t="n">
        <v>0</v>
      </c>
      <c r="R95" s="2" t="inlineStr"/>
    </row>
    <row r="96" ht="15" customHeight="1">
      <c r="A96" t="inlineStr">
        <is>
          <t>A 33976-2025</t>
        </is>
      </c>
      <c r="B96" s="1" t="n">
        <v>45843</v>
      </c>
      <c r="C96" s="1" t="n">
        <v>46038</v>
      </c>
      <c r="D96" t="inlineStr">
        <is>
          <t>UPPSALA LÄN</t>
        </is>
      </c>
      <c r="E96" t="inlineStr">
        <is>
          <t>KNIVSTA</t>
        </is>
      </c>
      <c r="G96" t="n">
        <v>6.1</v>
      </c>
      <c r="H96" t="n">
        <v>0</v>
      </c>
      <c r="I96" t="n">
        <v>0</v>
      </c>
      <c r="J96" t="n">
        <v>0</v>
      </c>
      <c r="K96" t="n">
        <v>0</v>
      </c>
      <c r="L96" t="n">
        <v>0</v>
      </c>
      <c r="M96" t="n">
        <v>0</v>
      </c>
      <c r="N96" t="n">
        <v>0</v>
      </c>
      <c r="O96" t="n">
        <v>0</v>
      </c>
      <c r="P96" t="n">
        <v>0</v>
      </c>
      <c r="Q96" t="n">
        <v>0</v>
      </c>
      <c r="R96" s="2" t="inlineStr"/>
    </row>
    <row r="97" ht="15" customHeight="1">
      <c r="A97" t="inlineStr">
        <is>
          <t>A 33974-2025</t>
        </is>
      </c>
      <c r="B97" s="1" t="n">
        <v>45843.305625</v>
      </c>
      <c r="C97" s="1" t="n">
        <v>46038</v>
      </c>
      <c r="D97" t="inlineStr">
        <is>
          <t>UPPSALA LÄN</t>
        </is>
      </c>
      <c r="E97" t="inlineStr">
        <is>
          <t>KNIVSTA</t>
        </is>
      </c>
      <c r="G97" t="n">
        <v>2.6</v>
      </c>
      <c r="H97" t="n">
        <v>0</v>
      </c>
      <c r="I97" t="n">
        <v>0</v>
      </c>
      <c r="J97" t="n">
        <v>0</v>
      </c>
      <c r="K97" t="n">
        <v>0</v>
      </c>
      <c r="L97" t="n">
        <v>0</v>
      </c>
      <c r="M97" t="n">
        <v>0</v>
      </c>
      <c r="N97" t="n">
        <v>0</v>
      </c>
      <c r="O97" t="n">
        <v>0</v>
      </c>
      <c r="P97" t="n">
        <v>0</v>
      </c>
      <c r="Q97" t="n">
        <v>0</v>
      </c>
      <c r="R97" s="2" t="inlineStr"/>
    </row>
    <row r="98" ht="15" customHeight="1">
      <c r="A98" t="inlineStr">
        <is>
          <t>A 33975-2025</t>
        </is>
      </c>
      <c r="B98" s="1" t="n">
        <v>45843.30805555556</v>
      </c>
      <c r="C98" s="1" t="n">
        <v>46038</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34859-2025</t>
        </is>
      </c>
      <c r="B99" s="1" t="n">
        <v>45849.43511574074</v>
      </c>
      <c r="C99" s="1" t="n">
        <v>46038</v>
      </c>
      <c r="D99" t="inlineStr">
        <is>
          <t>UPPSALA LÄN</t>
        </is>
      </c>
      <c r="E99" t="inlineStr">
        <is>
          <t>KNIVSTA</t>
        </is>
      </c>
      <c r="F99" t="inlineStr">
        <is>
          <t>Holmen skog AB</t>
        </is>
      </c>
      <c r="G99" t="n">
        <v>6.1</v>
      </c>
      <c r="H99" t="n">
        <v>0</v>
      </c>
      <c r="I99" t="n">
        <v>0</v>
      </c>
      <c r="J99" t="n">
        <v>0</v>
      </c>
      <c r="K99" t="n">
        <v>0</v>
      </c>
      <c r="L99" t="n">
        <v>0</v>
      </c>
      <c r="M99" t="n">
        <v>0</v>
      </c>
      <c r="N99" t="n">
        <v>0</v>
      </c>
      <c r="O99" t="n">
        <v>0</v>
      </c>
      <c r="P99" t="n">
        <v>0</v>
      </c>
      <c r="Q99" t="n">
        <v>0</v>
      </c>
      <c r="R99" s="2" t="inlineStr"/>
    </row>
    <row r="100" ht="15" customHeight="1">
      <c r="A100" t="inlineStr">
        <is>
          <t>A 34864-2025</t>
        </is>
      </c>
      <c r="B100" s="1" t="n">
        <v>45849.44028935185</v>
      </c>
      <c r="C100" s="1" t="n">
        <v>46038</v>
      </c>
      <c r="D100" t="inlineStr">
        <is>
          <t>UPPSALA LÄN</t>
        </is>
      </c>
      <c r="E100" t="inlineStr">
        <is>
          <t>KNIVSTA</t>
        </is>
      </c>
      <c r="F100" t="inlineStr">
        <is>
          <t>Holmen skog AB</t>
        </is>
      </c>
      <c r="G100" t="n">
        <v>1.3</v>
      </c>
      <c r="H100" t="n">
        <v>0</v>
      </c>
      <c r="I100" t="n">
        <v>0</v>
      </c>
      <c r="J100" t="n">
        <v>0</v>
      </c>
      <c r="K100" t="n">
        <v>0</v>
      </c>
      <c r="L100" t="n">
        <v>0</v>
      </c>
      <c r="M100" t="n">
        <v>0</v>
      </c>
      <c r="N100" t="n">
        <v>0</v>
      </c>
      <c r="O100" t="n">
        <v>0</v>
      </c>
      <c r="P100" t="n">
        <v>0</v>
      </c>
      <c r="Q100" t="n">
        <v>0</v>
      </c>
      <c r="R100" s="2" t="inlineStr"/>
    </row>
    <row r="101" ht="15" customHeight="1">
      <c r="A101" t="inlineStr">
        <is>
          <t>A 35318-2025</t>
        </is>
      </c>
      <c r="B101" s="1" t="n">
        <v>45854.47917824074</v>
      </c>
      <c r="C101" s="1" t="n">
        <v>46038</v>
      </c>
      <c r="D101" t="inlineStr">
        <is>
          <t>UPPSALA LÄN</t>
        </is>
      </c>
      <c r="E101" t="inlineStr">
        <is>
          <t>KNIVSTA</t>
        </is>
      </c>
      <c r="F101" t="inlineStr">
        <is>
          <t>Holmen skog AB</t>
        </is>
      </c>
      <c r="G101" t="n">
        <v>2.2</v>
      </c>
      <c r="H101" t="n">
        <v>0</v>
      </c>
      <c r="I101" t="n">
        <v>0</v>
      </c>
      <c r="J101" t="n">
        <v>0</v>
      </c>
      <c r="K101" t="n">
        <v>0</v>
      </c>
      <c r="L101" t="n">
        <v>0</v>
      </c>
      <c r="M101" t="n">
        <v>0</v>
      </c>
      <c r="N101" t="n">
        <v>0</v>
      </c>
      <c r="O101" t="n">
        <v>0</v>
      </c>
      <c r="P101" t="n">
        <v>0</v>
      </c>
      <c r="Q101" t="n">
        <v>0</v>
      </c>
      <c r="R101" s="2" t="inlineStr"/>
    </row>
    <row r="102" ht="15" customHeight="1">
      <c r="A102" t="inlineStr">
        <is>
          <t>A 36472-2025</t>
        </is>
      </c>
      <c r="B102" s="1" t="n">
        <v>45869.48162037037</v>
      </c>
      <c r="C102" s="1" t="n">
        <v>46038</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ht="15" customHeight="1">
      <c r="A103" t="inlineStr">
        <is>
          <t>A 36473-2025</t>
        </is>
      </c>
      <c r="B103" s="1" t="n">
        <v>45869.48333333333</v>
      </c>
      <c r="C103" s="1" t="n">
        <v>46038</v>
      </c>
      <c r="D103" t="inlineStr">
        <is>
          <t>UPPSALA LÄN</t>
        </is>
      </c>
      <c r="E103" t="inlineStr">
        <is>
          <t>KNIVSTA</t>
        </is>
      </c>
      <c r="G103" t="n">
        <v>1.4</v>
      </c>
      <c r="H103" t="n">
        <v>0</v>
      </c>
      <c r="I103" t="n">
        <v>0</v>
      </c>
      <c r="J103" t="n">
        <v>0</v>
      </c>
      <c r="K103" t="n">
        <v>0</v>
      </c>
      <c r="L103" t="n">
        <v>0</v>
      </c>
      <c r="M103" t="n">
        <v>0</v>
      </c>
      <c r="N103" t="n">
        <v>0</v>
      </c>
      <c r="O103" t="n">
        <v>0</v>
      </c>
      <c r="P103" t="n">
        <v>0</v>
      </c>
      <c r="Q103" t="n">
        <v>0</v>
      </c>
      <c r="R103" s="2" t="inlineStr"/>
    </row>
    <row r="104">
      <c r="A104" t="inlineStr">
        <is>
          <t>A 36470-2025</t>
        </is>
      </c>
      <c r="B104" s="1" t="n">
        <v>45869.47915509259</v>
      </c>
      <c r="C104" s="1" t="n">
        <v>46038</v>
      </c>
      <c r="D104" t="inlineStr">
        <is>
          <t>UPPSALA LÄN</t>
        </is>
      </c>
      <c r="E104" t="inlineStr">
        <is>
          <t>KNIVSTA</t>
        </is>
      </c>
      <c r="G104" t="n">
        <v>3.6</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2026-01-16T11:02:02Z</dcterms:created>
  <dcterms:modified xmlns:dcterms="http://purl.org/dc/terms/" xmlns:xsi="http://www.w3.org/2001/XMLSchema-instance" xsi:type="dcterms:W3CDTF">2026-01-16T11:02:02Z</dcterms:modified>
</cp:coreProperties>
</file>