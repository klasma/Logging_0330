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46188</v>
      </c>
      <c r="D2" t="inlineStr">
        <is>
          <t>UPPSALA LÄN</t>
        </is>
      </c>
      <c r="E2" t="inlineStr">
        <is>
          <t>KNIVSTA</t>
        </is>
      </c>
      <c r="G2" t="n">
        <v>14.4</v>
      </c>
      <c r="H2" t="n">
        <v>7</v>
      </c>
      <c r="I2" t="n">
        <v>13</v>
      </c>
      <c r="J2" t="n">
        <v>15</v>
      </c>
      <c r="K2" t="n">
        <v>4</v>
      </c>
      <c r="L2" t="n">
        <v>0</v>
      </c>
      <c r="M2" t="n">
        <v>0</v>
      </c>
      <c r="N2" t="n">
        <v>0</v>
      </c>
      <c r="O2" t="n">
        <v>19</v>
      </c>
      <c r="P2" t="n">
        <v>4</v>
      </c>
      <c r="Q2" t="n">
        <v>35</v>
      </c>
      <c r="R2"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46188</v>
      </c>
      <c r="D3" t="inlineStr">
        <is>
          <t>UPPSALA LÄN</t>
        </is>
      </c>
      <c r="E3" t="inlineStr">
        <is>
          <t>KNIVSTA</t>
        </is>
      </c>
      <c r="G3" t="n">
        <v>17.1</v>
      </c>
      <c r="H3" t="n">
        <v>3</v>
      </c>
      <c r="I3" t="n">
        <v>18</v>
      </c>
      <c r="J3" t="n">
        <v>9</v>
      </c>
      <c r="K3" t="n">
        <v>2</v>
      </c>
      <c r="L3" t="n">
        <v>0</v>
      </c>
      <c r="M3" t="n">
        <v>0</v>
      </c>
      <c r="N3" t="n">
        <v>0</v>
      </c>
      <c r="O3" t="n">
        <v>11</v>
      </c>
      <c r="P3" t="n">
        <v>2</v>
      </c>
      <c r="Q3" t="n">
        <v>30</v>
      </c>
      <c r="R3"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46302-2025</t>
        </is>
      </c>
      <c r="B4" s="1" t="n">
        <v>45925</v>
      </c>
      <c r="C4" s="1" t="n">
        <v>46188</v>
      </c>
      <c r="D4" t="inlineStr">
        <is>
          <t>UPPSALA LÄN</t>
        </is>
      </c>
      <c r="E4" t="inlineStr">
        <is>
          <t>KNIVSTA</t>
        </is>
      </c>
      <c r="G4" t="n">
        <v>5</v>
      </c>
      <c r="H4" t="n">
        <v>5</v>
      </c>
      <c r="I4" t="n">
        <v>12</v>
      </c>
      <c r="J4" t="n">
        <v>6</v>
      </c>
      <c r="K4" t="n">
        <v>4</v>
      </c>
      <c r="L4" t="n">
        <v>0</v>
      </c>
      <c r="M4" t="n">
        <v>0</v>
      </c>
      <c r="N4" t="n">
        <v>0</v>
      </c>
      <c r="O4" t="n">
        <v>10</v>
      </c>
      <c r="P4" t="n">
        <v>4</v>
      </c>
      <c r="Q4" t="n">
        <v>24</v>
      </c>
      <c r="R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4">
        <f>HYPERLINK("https://klasma.github.io/Logging_0330/artfynd/A 46302-2025 artfynd.xlsx", "A 46302-2025")</f>
        <v/>
      </c>
      <c r="T4">
        <f>HYPERLINK("https://klasma.github.io/Logging_0330/kartor/A 46302-2025 karta.png", "A 46302-2025")</f>
        <v/>
      </c>
      <c r="U4">
        <f>HYPERLINK("https://klasma.github.io/Logging_0330/knärot/A 46302-2025 karta knärot.png", "A 46302-2025")</f>
        <v/>
      </c>
      <c r="V4">
        <f>HYPERLINK("https://klasma.github.io/Logging_0330/klagomål/A 46302-2025 FSC-klagomål.docx", "A 46302-2025")</f>
        <v/>
      </c>
      <c r="W4">
        <f>HYPERLINK("https://klasma.github.io/Logging_0330/klagomålsmail/A 46302-2025 FSC-klagomål mail.docx", "A 46302-2025")</f>
        <v/>
      </c>
      <c r="X4">
        <f>HYPERLINK("https://klasma.github.io/Logging_0330/tillsyn/A 46302-2025 tillsynsbegäran.docx", "A 46302-2025")</f>
        <v/>
      </c>
      <c r="Y4">
        <f>HYPERLINK("https://klasma.github.io/Logging_0330/tillsynsmail/A 46302-2025 tillsynsbegäran mail.docx", "A 46302-2025")</f>
        <v/>
      </c>
      <c r="Z4">
        <f>HYPERLINK("https://klasma.github.io/Logging_0330/fåglar/A 46302-2025 prioriterade fågelarter.docx", "A 46302-2025")</f>
        <v/>
      </c>
    </row>
    <row r="5" ht="15" customHeight="1">
      <c r="A5" t="inlineStr">
        <is>
          <t>A 49894-2023</t>
        </is>
      </c>
      <c r="B5" s="1" t="n">
        <v>45213</v>
      </c>
      <c r="C5" s="1" t="n">
        <v>46188</v>
      </c>
      <c r="D5" t="inlineStr">
        <is>
          <t>UPPSALA LÄN</t>
        </is>
      </c>
      <c r="E5" t="inlineStr">
        <is>
          <t>KNIVSTA</t>
        </is>
      </c>
      <c r="G5" t="n">
        <v>17.8</v>
      </c>
      <c r="H5" t="n">
        <v>11</v>
      </c>
      <c r="I5" t="n">
        <v>4</v>
      </c>
      <c r="J5" t="n">
        <v>7</v>
      </c>
      <c r="K5" t="n">
        <v>0</v>
      </c>
      <c r="L5" t="n">
        <v>1</v>
      </c>
      <c r="M5" t="n">
        <v>0</v>
      </c>
      <c r="N5" t="n">
        <v>0</v>
      </c>
      <c r="O5" t="n">
        <v>8</v>
      </c>
      <c r="P5" t="n">
        <v>1</v>
      </c>
      <c r="Q5" t="n">
        <v>16</v>
      </c>
      <c r="R5" s="2" t="inlineStr">
        <is>
          <t>Grönfink
Granticka
Grönsångare
Gulsparv
Havsörn
Rödvingetrast
Spillkråka
Ullticka
Granbarkgnagare
Grön sköldmossa
Mindre märgborre
Vedticka
Grönsiska
Järnsparv
Kungsfågel
Blåsippa</t>
        </is>
      </c>
      <c r="S5">
        <f>HYPERLINK("https://klasma.github.io/Logging_0330/artfynd/A 49894-2023 artfynd.xlsx", "A 49894-2023")</f>
        <v/>
      </c>
      <c r="T5">
        <f>HYPERLINK("https://klasma.github.io/Logging_0330/kartor/A 49894-2023 karta.png", "A 49894-2023")</f>
        <v/>
      </c>
      <c r="U5">
        <f>HYPERLINK("https://klasma.github.io/Logging_0330/knärot/A 49894-2023 karta knärot.png",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22258-2022</t>
        </is>
      </c>
      <c r="B6" s="1" t="n">
        <v>44712</v>
      </c>
      <c r="C6" s="1" t="n">
        <v>46188</v>
      </c>
      <c r="D6" t="inlineStr">
        <is>
          <t>UPPSALA LÄN</t>
        </is>
      </c>
      <c r="E6" t="inlineStr">
        <is>
          <t>KNIVSTA</t>
        </is>
      </c>
      <c r="G6" t="n">
        <v>1.4</v>
      </c>
      <c r="H6" t="n">
        <v>4</v>
      </c>
      <c r="I6" t="n">
        <v>6</v>
      </c>
      <c r="J6" t="n">
        <v>2</v>
      </c>
      <c r="K6" t="n">
        <v>2</v>
      </c>
      <c r="L6" t="n">
        <v>0</v>
      </c>
      <c r="M6" t="n">
        <v>0</v>
      </c>
      <c r="N6" t="n">
        <v>0</v>
      </c>
      <c r="O6" t="n">
        <v>4</v>
      </c>
      <c r="P6" t="n">
        <v>2</v>
      </c>
      <c r="Q6" t="n">
        <v>11</v>
      </c>
      <c r="R6" s="2" t="inlineStr">
        <is>
          <t>Bombmurkla
Knärot
Spillkråka
Ullticka
Granbarkgnagare
Grov fjädermossa
Grönpyrola
Kamjordstjärna
Platt fjädermossa
Svart trolldruva
Blåsippa</t>
        </is>
      </c>
      <c r="S6">
        <f>HYPERLINK("https://klasma.github.io/Logging_0330/artfynd/A 22258-2022 artfynd.xlsx", "A 22258-2022")</f>
        <v/>
      </c>
      <c r="T6">
        <f>HYPERLINK("https://klasma.github.io/Logging_0330/kartor/A 22258-2022 karta.png", "A 22258-2022")</f>
        <v/>
      </c>
      <c r="U6">
        <f>HYPERLINK("https://klasma.github.io/Logging_0330/knärot/A 22258-2022 karta knärot.png", "A 22258-2022")</f>
        <v/>
      </c>
      <c r="V6">
        <f>HYPERLINK("https://klasma.github.io/Logging_0330/klagomål/A 22258-2022 FSC-klagomål.docx", "A 22258-2022")</f>
        <v/>
      </c>
      <c r="W6">
        <f>HYPERLINK("https://klasma.github.io/Logging_0330/klagomålsmail/A 22258-2022 FSC-klagomål mail.docx", "A 22258-2022")</f>
        <v/>
      </c>
      <c r="X6">
        <f>HYPERLINK("https://klasma.github.io/Logging_0330/tillsyn/A 22258-2022 tillsynsbegäran.docx", "A 22258-2022")</f>
        <v/>
      </c>
      <c r="Y6">
        <f>HYPERLINK("https://klasma.github.io/Logging_0330/tillsynsmail/A 22258-2022 tillsynsbegäran mail.docx", "A 22258-2022")</f>
        <v/>
      </c>
      <c r="Z6">
        <f>HYPERLINK("https://klasma.github.io/Logging_0330/fåglar/A 22258-2022 prioriterade fågelarter.docx", "A 22258-2022")</f>
        <v/>
      </c>
    </row>
    <row r="7" ht="15" customHeight="1">
      <c r="A7" t="inlineStr">
        <is>
          <t>A 44867-2023</t>
        </is>
      </c>
      <c r="B7" s="1" t="n">
        <v>45190</v>
      </c>
      <c r="C7" s="1" t="n">
        <v>46188</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7444-2023</t>
        </is>
      </c>
      <c r="B8" s="1" t="n">
        <v>44971</v>
      </c>
      <c r="C8" s="1" t="n">
        <v>46188</v>
      </c>
      <c r="D8" t="inlineStr">
        <is>
          <t>UPPSALA LÄN</t>
        </is>
      </c>
      <c r="E8" t="inlineStr">
        <is>
          <t>KNIVSTA</t>
        </is>
      </c>
      <c r="G8" t="n">
        <v>0.7</v>
      </c>
      <c r="H8" t="n">
        <v>0</v>
      </c>
      <c r="I8" t="n">
        <v>4</v>
      </c>
      <c r="J8" t="n">
        <v>2</v>
      </c>
      <c r="K8" t="n">
        <v>3</v>
      </c>
      <c r="L8" t="n">
        <v>0</v>
      </c>
      <c r="M8" t="n">
        <v>0</v>
      </c>
      <c r="N8" t="n">
        <v>0</v>
      </c>
      <c r="O8" t="n">
        <v>5</v>
      </c>
      <c r="P8" t="n">
        <v>3</v>
      </c>
      <c r="Q8" t="n">
        <v>9</v>
      </c>
      <c r="R8" s="2" t="inlineStr">
        <is>
          <t>Apelticka
Blastenia relicta
Kärnticka
Kandelabersvamp
Lunglav
Granbarkgnagare
Platt fjädermossa
Stekelbock
Thomsons trägnagare</t>
        </is>
      </c>
      <c r="S8">
        <f>HYPERLINK("https://klasma.github.io/Logging_0330/artfynd/A 7444-2023 artfynd.xlsx", "A 7444-2023")</f>
        <v/>
      </c>
      <c r="T8">
        <f>HYPERLINK("https://klasma.github.io/Logging_0330/kartor/A 7444-2023 karta.png", "A 7444-2023")</f>
        <v/>
      </c>
      <c r="V8">
        <f>HYPERLINK("https://klasma.github.io/Logging_0330/klagomål/A 7444-2023 FSC-klagomål.docx", "A 7444-2023")</f>
        <v/>
      </c>
      <c r="W8">
        <f>HYPERLINK("https://klasma.github.io/Logging_0330/klagomålsmail/A 7444-2023 FSC-klagomål mail.docx", "A 7444-2023")</f>
        <v/>
      </c>
      <c r="X8">
        <f>HYPERLINK("https://klasma.github.io/Logging_0330/tillsyn/A 7444-2023 tillsynsbegäran.docx", "A 7444-2023")</f>
        <v/>
      </c>
      <c r="Y8">
        <f>HYPERLINK("https://klasma.github.io/Logging_0330/tillsynsmail/A 7444-2023 tillsynsbegäran mail.docx", "A 7444-2023")</f>
        <v/>
      </c>
    </row>
    <row r="9" ht="15" customHeight="1">
      <c r="A9" t="inlineStr">
        <is>
          <t>A 12958-2026</t>
        </is>
      </c>
      <c r="B9" s="1" t="n">
        <v>46092.63871527778</v>
      </c>
      <c r="C9" s="1" t="n">
        <v>46188</v>
      </c>
      <c r="D9" t="inlineStr">
        <is>
          <t>UPPSALA LÄN</t>
        </is>
      </c>
      <c r="E9" t="inlineStr">
        <is>
          <t>KNIVSTA</t>
        </is>
      </c>
      <c r="F9" t="inlineStr">
        <is>
          <t>Holmen skog AB</t>
        </is>
      </c>
      <c r="G9" t="n">
        <v>3.8</v>
      </c>
      <c r="H9" t="n">
        <v>1</v>
      </c>
      <c r="I9" t="n">
        <v>2</v>
      </c>
      <c r="J9" t="n">
        <v>2</v>
      </c>
      <c r="K9" t="n">
        <v>0</v>
      </c>
      <c r="L9" t="n">
        <v>0</v>
      </c>
      <c r="M9" t="n">
        <v>0</v>
      </c>
      <c r="N9" t="n">
        <v>0</v>
      </c>
      <c r="O9" t="n">
        <v>2</v>
      </c>
      <c r="P9" t="n">
        <v>0</v>
      </c>
      <c r="Q9" t="n">
        <v>5</v>
      </c>
      <c r="R9" s="2" t="inlineStr">
        <is>
          <t>Tallkötticka
Ullticka
Blodticka
Vågbandad barkbock
Tjäder</t>
        </is>
      </c>
      <c r="S9">
        <f>HYPERLINK("https://klasma.github.io/Logging_0330/artfynd/A 12958-2026 artfynd.xlsx", "A 12958-2026")</f>
        <v/>
      </c>
      <c r="T9">
        <f>HYPERLINK("https://klasma.github.io/Logging_0330/kartor/A 12958-2026 karta.png", "A 12958-2026")</f>
        <v/>
      </c>
      <c r="V9">
        <f>HYPERLINK("https://klasma.github.io/Logging_0330/klagomål/A 12958-2026 FSC-klagomål.docx", "A 12958-2026")</f>
        <v/>
      </c>
      <c r="W9">
        <f>HYPERLINK("https://klasma.github.io/Logging_0330/klagomålsmail/A 12958-2026 FSC-klagomål mail.docx", "A 12958-2026")</f>
        <v/>
      </c>
      <c r="X9">
        <f>HYPERLINK("https://klasma.github.io/Logging_0330/tillsyn/A 12958-2026 tillsynsbegäran.docx", "A 12958-2026")</f>
        <v/>
      </c>
      <c r="Y9">
        <f>HYPERLINK("https://klasma.github.io/Logging_0330/tillsynsmail/A 12958-2026 tillsynsbegäran mail.docx", "A 12958-2026")</f>
        <v/>
      </c>
      <c r="Z9">
        <f>HYPERLINK("https://klasma.github.io/Logging_0330/fåglar/A 12958-2026 prioriterade fågelarter.docx", "A 12958-2026")</f>
        <v/>
      </c>
    </row>
    <row r="10" ht="15" customHeight="1">
      <c r="A10" t="inlineStr">
        <is>
          <t>A 2214-2026</t>
        </is>
      </c>
      <c r="B10" s="1" t="n">
        <v>46036</v>
      </c>
      <c r="C10" s="1" t="n">
        <v>46188</v>
      </c>
      <c r="D10" t="inlineStr">
        <is>
          <t>UPPSALA LÄN</t>
        </is>
      </c>
      <c r="E10" t="inlineStr">
        <is>
          <t>KNIVSTA</t>
        </is>
      </c>
      <c r="G10" t="n">
        <v>4.4</v>
      </c>
      <c r="H10" t="n">
        <v>0</v>
      </c>
      <c r="I10" t="n">
        <v>0</v>
      </c>
      <c r="J10" t="n">
        <v>3</v>
      </c>
      <c r="K10" t="n">
        <v>0</v>
      </c>
      <c r="L10" t="n">
        <v>0</v>
      </c>
      <c r="M10" t="n">
        <v>0</v>
      </c>
      <c r="N10" t="n">
        <v>0</v>
      </c>
      <c r="O10" t="n">
        <v>3</v>
      </c>
      <c r="P10" t="n">
        <v>0</v>
      </c>
      <c r="Q10" t="n">
        <v>3</v>
      </c>
      <c r="R10" s="2" t="inlineStr">
        <is>
          <t>Tallticka
Ullticka
Vintertagging</t>
        </is>
      </c>
      <c r="S10">
        <f>HYPERLINK("https://klasma.github.io/Logging_0330/artfynd/A 2214-2026 artfynd.xlsx", "A 2214-2026")</f>
        <v/>
      </c>
      <c r="T10">
        <f>HYPERLINK("https://klasma.github.io/Logging_0330/kartor/A 2214-2026 karta.png", "A 2214-2026")</f>
        <v/>
      </c>
      <c r="U10">
        <f>HYPERLINK("https://klasma.github.io/Logging_0330/knärot/A 2214-2026 karta knärot.png", "A 2214-2026")</f>
        <v/>
      </c>
      <c r="V10">
        <f>HYPERLINK("https://klasma.github.io/Logging_0330/klagomål/A 2214-2026 FSC-klagomål.docx", "A 2214-2026")</f>
        <v/>
      </c>
      <c r="W10">
        <f>HYPERLINK("https://klasma.github.io/Logging_0330/klagomålsmail/A 2214-2026 FSC-klagomål mail.docx", "A 2214-2026")</f>
        <v/>
      </c>
      <c r="X10">
        <f>HYPERLINK("https://klasma.github.io/Logging_0330/tillsyn/A 2214-2026 tillsynsbegäran.docx", "A 2214-2026")</f>
        <v/>
      </c>
      <c r="Y10">
        <f>HYPERLINK("https://klasma.github.io/Logging_0330/tillsynsmail/A 2214-2026 tillsynsbegäran mail.docx", "A 2214-2026")</f>
        <v/>
      </c>
    </row>
    <row r="11" ht="15" customHeight="1">
      <c r="A11" t="inlineStr">
        <is>
          <t>A 17101-2023</t>
        </is>
      </c>
      <c r="B11" s="1" t="n">
        <v>45034</v>
      </c>
      <c r="C11" s="1" t="n">
        <v>46188</v>
      </c>
      <c r="D11" t="inlineStr">
        <is>
          <t>UPPSALA LÄN</t>
        </is>
      </c>
      <c r="E11" t="inlineStr">
        <is>
          <t>KNIVSTA</t>
        </is>
      </c>
      <c r="G11" t="n">
        <v>4.2</v>
      </c>
      <c r="H11" t="n">
        <v>2</v>
      </c>
      <c r="I11" t="n">
        <v>0</v>
      </c>
      <c r="J11" t="n">
        <v>2</v>
      </c>
      <c r="K11" t="n">
        <v>0</v>
      </c>
      <c r="L11" t="n">
        <v>0</v>
      </c>
      <c r="M11" t="n">
        <v>0</v>
      </c>
      <c r="N11" t="n">
        <v>0</v>
      </c>
      <c r="O11" t="n">
        <v>2</v>
      </c>
      <c r="P11" t="n">
        <v>0</v>
      </c>
      <c r="Q11" t="n">
        <v>2</v>
      </c>
      <c r="R11" s="2" t="inlineStr">
        <is>
          <t>Entita
Mindre hackspett</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61768-2025</t>
        </is>
      </c>
      <c r="B12" s="1" t="n">
        <v>46002.63940972222</v>
      </c>
      <c r="C12" s="1" t="n">
        <v>46188</v>
      </c>
      <c r="D12" t="inlineStr">
        <is>
          <t>UPPSALA LÄN</t>
        </is>
      </c>
      <c r="E12" t="inlineStr">
        <is>
          <t>KNIVSTA</t>
        </is>
      </c>
      <c r="G12" t="n">
        <v>3</v>
      </c>
      <c r="H12" t="n">
        <v>0</v>
      </c>
      <c r="I12" t="n">
        <v>1</v>
      </c>
      <c r="J12" t="n">
        <v>0</v>
      </c>
      <c r="K12" t="n">
        <v>0</v>
      </c>
      <c r="L12" t="n">
        <v>0</v>
      </c>
      <c r="M12" t="n">
        <v>0</v>
      </c>
      <c r="N12" t="n">
        <v>0</v>
      </c>
      <c r="O12" t="n">
        <v>0</v>
      </c>
      <c r="P12" t="n">
        <v>0</v>
      </c>
      <c r="Q12" t="n">
        <v>1</v>
      </c>
      <c r="R12" s="2" t="inlineStr">
        <is>
          <t>Kamjordstjärna</t>
        </is>
      </c>
      <c r="S12">
        <f>HYPERLINK("https://klasma.github.io/Logging_0330/artfynd/A 61768-2025 artfynd.xlsx", "A 61768-2025")</f>
        <v/>
      </c>
      <c r="T12">
        <f>HYPERLINK("https://klasma.github.io/Logging_0330/kartor/A 61768-2025 karta.png", "A 61768-2025")</f>
        <v/>
      </c>
      <c r="V12">
        <f>HYPERLINK("https://klasma.github.io/Logging_0330/klagomål/A 61768-2025 FSC-klagomål.docx", "A 61768-2025")</f>
        <v/>
      </c>
      <c r="W12">
        <f>HYPERLINK("https://klasma.github.io/Logging_0330/klagomålsmail/A 61768-2025 FSC-klagomål mail.docx", "A 61768-2025")</f>
        <v/>
      </c>
      <c r="X12">
        <f>HYPERLINK("https://klasma.github.io/Logging_0330/tillsyn/A 61768-2025 tillsynsbegäran.docx", "A 61768-2025")</f>
        <v/>
      </c>
      <c r="Y12">
        <f>HYPERLINK("https://klasma.github.io/Logging_0330/tillsynsmail/A 61768-2025 tillsynsbegäran mail.docx", "A 61768-2025")</f>
        <v/>
      </c>
    </row>
    <row r="13" ht="15" customHeight="1">
      <c r="A13" t="inlineStr">
        <is>
          <t>A 9561-2026</t>
        </is>
      </c>
      <c r="B13" s="1" t="n">
        <v>46071.64916666667</v>
      </c>
      <c r="C13" s="1" t="n">
        <v>46188</v>
      </c>
      <c r="D13" t="inlineStr">
        <is>
          <t>UPPSALA LÄN</t>
        </is>
      </c>
      <c r="E13" t="inlineStr">
        <is>
          <t>KNIVSTA</t>
        </is>
      </c>
      <c r="F13" t="inlineStr">
        <is>
          <t>Övriga statliga verk och myndigheter</t>
        </is>
      </c>
      <c r="G13" t="n">
        <v>2.6</v>
      </c>
      <c r="H13" t="n">
        <v>0</v>
      </c>
      <c r="I13" t="n">
        <v>0</v>
      </c>
      <c r="J13" t="n">
        <v>1</v>
      </c>
      <c r="K13" t="n">
        <v>0</v>
      </c>
      <c r="L13" t="n">
        <v>0</v>
      </c>
      <c r="M13" t="n">
        <v>0</v>
      </c>
      <c r="N13" t="n">
        <v>0</v>
      </c>
      <c r="O13" t="n">
        <v>1</v>
      </c>
      <c r="P13" t="n">
        <v>0</v>
      </c>
      <c r="Q13" t="n">
        <v>1</v>
      </c>
      <c r="R13" s="2" t="inlineStr">
        <is>
          <t>Svartöra</t>
        </is>
      </c>
      <c r="S13">
        <f>HYPERLINK("https://klasma.github.io/Logging_0330/artfynd/A 9561-2026 artfynd.xlsx", "A 9561-2026")</f>
        <v/>
      </c>
      <c r="T13">
        <f>HYPERLINK("https://klasma.github.io/Logging_0330/kartor/A 9561-2026 karta.png", "A 9561-2026")</f>
        <v/>
      </c>
      <c r="V13">
        <f>HYPERLINK("https://klasma.github.io/Logging_0330/klagomål/A 9561-2026 FSC-klagomål.docx", "A 9561-2026")</f>
        <v/>
      </c>
      <c r="W13">
        <f>HYPERLINK("https://klasma.github.io/Logging_0330/klagomålsmail/A 9561-2026 FSC-klagomål mail.docx", "A 9561-2026")</f>
        <v/>
      </c>
      <c r="X13">
        <f>HYPERLINK("https://klasma.github.io/Logging_0330/tillsyn/A 9561-2026 tillsynsbegäran.docx", "A 9561-2026")</f>
        <v/>
      </c>
      <c r="Y13">
        <f>HYPERLINK("https://klasma.github.io/Logging_0330/tillsynsmail/A 9561-2026 tillsynsbegäran mail.docx", "A 9561-2026")</f>
        <v/>
      </c>
    </row>
    <row r="14" ht="15" customHeight="1">
      <c r="A14" t="inlineStr">
        <is>
          <t>A 13002-2026</t>
        </is>
      </c>
      <c r="B14" s="1" t="n">
        <v>46092.68854166667</v>
      </c>
      <c r="C14" s="1" t="n">
        <v>46188</v>
      </c>
      <c r="D14" t="inlineStr">
        <is>
          <t>UPPSALA LÄN</t>
        </is>
      </c>
      <c r="E14" t="inlineStr">
        <is>
          <t>KNIVSTA</t>
        </is>
      </c>
      <c r="F14" t="inlineStr">
        <is>
          <t>Holmen skog AB</t>
        </is>
      </c>
      <c r="G14" t="n">
        <v>0.7</v>
      </c>
      <c r="H14" t="n">
        <v>1</v>
      </c>
      <c r="I14" t="n">
        <v>0</v>
      </c>
      <c r="J14" t="n">
        <v>0</v>
      </c>
      <c r="K14" t="n">
        <v>1</v>
      </c>
      <c r="L14" t="n">
        <v>0</v>
      </c>
      <c r="M14" t="n">
        <v>0</v>
      </c>
      <c r="N14" t="n">
        <v>0</v>
      </c>
      <c r="O14" t="n">
        <v>1</v>
      </c>
      <c r="P14" t="n">
        <v>1</v>
      </c>
      <c r="Q14" t="n">
        <v>1</v>
      </c>
      <c r="R14" s="2" t="inlineStr">
        <is>
          <t>Knärot</t>
        </is>
      </c>
      <c r="S14">
        <f>HYPERLINK("https://klasma.github.io/Logging_0330/artfynd/A 13002-2026 artfynd.xlsx", "A 13002-2026")</f>
        <v/>
      </c>
      <c r="T14">
        <f>HYPERLINK("https://klasma.github.io/Logging_0330/kartor/A 13002-2026 karta.png", "A 13002-2026")</f>
        <v/>
      </c>
      <c r="U14">
        <f>HYPERLINK("https://klasma.github.io/Logging_0330/knärot/A 13002-2026 karta knärot.png", "A 13002-2026")</f>
        <v/>
      </c>
      <c r="V14">
        <f>HYPERLINK("https://klasma.github.io/Logging_0330/klagomål/A 13002-2026 FSC-klagomål.docx", "A 13002-2026")</f>
        <v/>
      </c>
      <c r="W14">
        <f>HYPERLINK("https://klasma.github.io/Logging_0330/klagomålsmail/A 13002-2026 FSC-klagomål mail.docx", "A 13002-2026")</f>
        <v/>
      </c>
      <c r="X14">
        <f>HYPERLINK("https://klasma.github.io/Logging_0330/tillsyn/A 13002-2026 tillsynsbegäran.docx", "A 13002-2026")</f>
        <v/>
      </c>
      <c r="Y14">
        <f>HYPERLINK("https://klasma.github.io/Logging_0330/tillsynsmail/A 13002-2026 tillsynsbegäran mail.docx", "A 13002-2026")</f>
        <v/>
      </c>
    </row>
    <row r="15" ht="15" customHeight="1">
      <c r="A15" t="inlineStr">
        <is>
          <t>A 13004-2026</t>
        </is>
      </c>
      <c r="B15" s="1" t="n">
        <v>46092.68935185186</v>
      </c>
      <c r="C15" s="1" t="n">
        <v>46188</v>
      </c>
      <c r="D15" t="inlineStr">
        <is>
          <t>UPPSALA LÄN</t>
        </is>
      </c>
      <c r="E15" t="inlineStr">
        <is>
          <t>KNIVSTA</t>
        </is>
      </c>
      <c r="F15" t="inlineStr">
        <is>
          <t>Holmen skog AB</t>
        </is>
      </c>
      <c r="G15" t="n">
        <v>7.8</v>
      </c>
      <c r="H15" t="n">
        <v>1</v>
      </c>
      <c r="I15" t="n">
        <v>0</v>
      </c>
      <c r="J15" t="n">
        <v>1</v>
      </c>
      <c r="K15" t="n">
        <v>0</v>
      </c>
      <c r="L15" t="n">
        <v>0</v>
      </c>
      <c r="M15" t="n">
        <v>0</v>
      </c>
      <c r="N15" t="n">
        <v>0</v>
      </c>
      <c r="O15" t="n">
        <v>1</v>
      </c>
      <c r="P15" t="n">
        <v>0</v>
      </c>
      <c r="Q15" t="n">
        <v>1</v>
      </c>
      <c r="R15" s="2" t="inlineStr">
        <is>
          <t>Spillkråka</t>
        </is>
      </c>
      <c r="S15">
        <f>HYPERLINK("https://klasma.github.io/Logging_0330/artfynd/A 13004-2026 artfynd.xlsx", "A 13004-2026")</f>
        <v/>
      </c>
      <c r="T15">
        <f>HYPERLINK("https://klasma.github.io/Logging_0330/kartor/A 13004-2026 karta.png", "A 13004-2026")</f>
        <v/>
      </c>
      <c r="U15">
        <f>HYPERLINK("https://klasma.github.io/Logging_0330/knärot/A 13004-2026 karta knärot.png", "A 13004-2026")</f>
        <v/>
      </c>
      <c r="V15">
        <f>HYPERLINK("https://klasma.github.io/Logging_0330/klagomål/A 13004-2026 FSC-klagomål.docx", "A 13004-2026")</f>
        <v/>
      </c>
      <c r="W15">
        <f>HYPERLINK("https://klasma.github.io/Logging_0330/klagomålsmail/A 13004-2026 FSC-klagomål mail.docx", "A 13004-2026")</f>
        <v/>
      </c>
      <c r="X15">
        <f>HYPERLINK("https://klasma.github.io/Logging_0330/tillsyn/A 13004-2026 tillsynsbegäran.docx", "A 13004-2026")</f>
        <v/>
      </c>
      <c r="Y15">
        <f>HYPERLINK("https://klasma.github.io/Logging_0330/tillsynsmail/A 13004-2026 tillsynsbegäran mail.docx", "A 13004-2026")</f>
        <v/>
      </c>
      <c r="Z15">
        <f>HYPERLINK("https://klasma.github.io/Logging_0330/fåglar/A 13004-2026 prioriterade fågelarter.docx", "A 13004-2026")</f>
        <v/>
      </c>
    </row>
    <row r="16" ht="15" customHeight="1">
      <c r="A16" t="inlineStr">
        <is>
          <t>A 13380-2026</t>
        </is>
      </c>
      <c r="B16" s="1" t="n">
        <v>46094.42555555556</v>
      </c>
      <c r="C16" s="1" t="n">
        <v>46188</v>
      </c>
      <c r="D16" t="inlineStr">
        <is>
          <t>UPPSALA LÄN</t>
        </is>
      </c>
      <c r="E16" t="inlineStr">
        <is>
          <t>KNIVSTA</t>
        </is>
      </c>
      <c r="G16" t="n">
        <v>1.7</v>
      </c>
      <c r="H16" t="n">
        <v>1</v>
      </c>
      <c r="I16" t="n">
        <v>0</v>
      </c>
      <c r="J16" t="n">
        <v>1</v>
      </c>
      <c r="K16" t="n">
        <v>0</v>
      </c>
      <c r="L16" t="n">
        <v>0</v>
      </c>
      <c r="M16" t="n">
        <v>0</v>
      </c>
      <c r="N16" t="n">
        <v>0</v>
      </c>
      <c r="O16" t="n">
        <v>1</v>
      </c>
      <c r="P16" t="n">
        <v>0</v>
      </c>
      <c r="Q16" t="n">
        <v>1</v>
      </c>
      <c r="R16" s="2" t="inlineStr">
        <is>
          <t>Spillkråka</t>
        </is>
      </c>
      <c r="S16">
        <f>HYPERLINK("https://klasma.github.io/Logging_0330/artfynd/A 13380-2026 artfynd.xlsx", "A 13380-2026")</f>
        <v/>
      </c>
      <c r="T16">
        <f>HYPERLINK("https://klasma.github.io/Logging_0330/kartor/A 13380-2026 karta.png", "A 13380-2026")</f>
        <v/>
      </c>
      <c r="V16">
        <f>HYPERLINK("https://klasma.github.io/Logging_0330/klagomål/A 13380-2026 FSC-klagomål.docx", "A 13380-2026")</f>
        <v/>
      </c>
      <c r="W16">
        <f>HYPERLINK("https://klasma.github.io/Logging_0330/klagomålsmail/A 13380-2026 FSC-klagomål mail.docx", "A 13380-2026")</f>
        <v/>
      </c>
      <c r="X16">
        <f>HYPERLINK("https://klasma.github.io/Logging_0330/tillsyn/A 13380-2026 tillsynsbegäran.docx", "A 13380-2026")</f>
        <v/>
      </c>
      <c r="Y16">
        <f>HYPERLINK("https://klasma.github.io/Logging_0330/tillsynsmail/A 13380-2026 tillsynsbegäran mail.docx", "A 13380-2026")</f>
        <v/>
      </c>
      <c r="Z16">
        <f>HYPERLINK("https://klasma.github.io/Logging_0330/fåglar/A 13380-2026 prioriterade fågelarter.docx", "A 13380-2026")</f>
        <v/>
      </c>
    </row>
    <row r="17" ht="15" customHeight="1">
      <c r="A17" t="inlineStr">
        <is>
          <t>A 18576-2026</t>
        </is>
      </c>
      <c r="B17" s="1" t="n">
        <v>46127.60626157407</v>
      </c>
      <c r="C17" s="1" t="n">
        <v>46188</v>
      </c>
      <c r="D17" t="inlineStr">
        <is>
          <t>UPPSALA LÄN</t>
        </is>
      </c>
      <c r="E17" t="inlineStr">
        <is>
          <t>KNIVSTA</t>
        </is>
      </c>
      <c r="G17" t="n">
        <v>4.8</v>
      </c>
      <c r="H17" t="n">
        <v>1</v>
      </c>
      <c r="I17" t="n">
        <v>0</v>
      </c>
      <c r="J17" t="n">
        <v>0</v>
      </c>
      <c r="K17" t="n">
        <v>0</v>
      </c>
      <c r="L17" t="n">
        <v>0</v>
      </c>
      <c r="M17" t="n">
        <v>0</v>
      </c>
      <c r="N17" t="n">
        <v>0</v>
      </c>
      <c r="O17" t="n">
        <v>0</v>
      </c>
      <c r="P17" t="n">
        <v>0</v>
      </c>
      <c r="Q17" t="n">
        <v>1</v>
      </c>
      <c r="R17" s="2" t="inlineStr">
        <is>
          <t>Blåsippa</t>
        </is>
      </c>
      <c r="S17">
        <f>HYPERLINK("https://klasma.github.io/Logging_0330/artfynd/A 18576-2026 artfynd.xlsx", "A 18576-2026")</f>
        <v/>
      </c>
      <c r="T17">
        <f>HYPERLINK("https://klasma.github.io/Logging_0330/kartor/A 18576-2026 karta.png", "A 18576-2026")</f>
        <v/>
      </c>
      <c r="V17">
        <f>HYPERLINK("https://klasma.github.io/Logging_0330/klagomål/A 18576-2026 FSC-klagomål.docx", "A 18576-2026")</f>
        <v/>
      </c>
      <c r="W17">
        <f>HYPERLINK("https://klasma.github.io/Logging_0330/klagomålsmail/A 18576-2026 FSC-klagomål mail.docx", "A 18576-2026")</f>
        <v/>
      </c>
      <c r="X17">
        <f>HYPERLINK("https://klasma.github.io/Logging_0330/tillsyn/A 18576-2026 tillsynsbegäran.docx", "A 18576-2026")</f>
        <v/>
      </c>
      <c r="Y17">
        <f>HYPERLINK("https://klasma.github.io/Logging_0330/tillsynsmail/A 18576-2026 tillsynsbegäran mail.docx", "A 18576-2026")</f>
        <v/>
      </c>
    </row>
    <row r="18" ht="15" customHeight="1">
      <c r="A18" t="inlineStr">
        <is>
          <t>A 33770-2023</t>
        </is>
      </c>
      <c r="B18" s="1" t="n">
        <v>45133</v>
      </c>
      <c r="C18" s="1" t="n">
        <v>46188</v>
      </c>
      <c r="D18" t="inlineStr">
        <is>
          <t>UPPSALA LÄN</t>
        </is>
      </c>
      <c r="E18" t="inlineStr">
        <is>
          <t>KNIVSTA</t>
        </is>
      </c>
      <c r="F18" t="inlineStr">
        <is>
          <t>Holmen skog AB</t>
        </is>
      </c>
      <c r="G18" t="n">
        <v>4</v>
      </c>
      <c r="H18" t="n">
        <v>1</v>
      </c>
      <c r="I18" t="n">
        <v>0</v>
      </c>
      <c r="J18" t="n">
        <v>1</v>
      </c>
      <c r="K18" t="n">
        <v>0</v>
      </c>
      <c r="L18" t="n">
        <v>0</v>
      </c>
      <c r="M18" t="n">
        <v>0</v>
      </c>
      <c r="N18" t="n">
        <v>0</v>
      </c>
      <c r="O18" t="n">
        <v>1</v>
      </c>
      <c r="P18" t="n">
        <v>0</v>
      </c>
      <c r="Q18" t="n">
        <v>1</v>
      </c>
      <c r="R18" s="2" t="inlineStr">
        <is>
          <t>Slaguggla</t>
        </is>
      </c>
      <c r="S18">
        <f>HYPERLINK("https://klasma.github.io/Logging_0330/artfynd/A 33770-2023 artfynd.xlsx", "A 33770-2023")</f>
        <v/>
      </c>
      <c r="T18">
        <f>HYPERLINK("https://klasma.github.io/Logging_0330/kartor/A 33770-2023 karta.png", "A 33770-2023")</f>
        <v/>
      </c>
      <c r="V18">
        <f>HYPERLINK("https://klasma.github.io/Logging_0330/klagomål/A 33770-2023 FSC-klagomål.docx", "A 33770-2023")</f>
        <v/>
      </c>
      <c r="W18">
        <f>HYPERLINK("https://klasma.github.io/Logging_0330/klagomålsmail/A 33770-2023 FSC-klagomål mail.docx", "A 33770-2023")</f>
        <v/>
      </c>
      <c r="X18">
        <f>HYPERLINK("https://klasma.github.io/Logging_0330/tillsyn/A 33770-2023 tillsynsbegäran.docx", "A 33770-2023")</f>
        <v/>
      </c>
      <c r="Y18">
        <f>HYPERLINK("https://klasma.github.io/Logging_0330/tillsynsmail/A 33770-2023 tillsynsbegäran mail.docx", "A 33770-2023")</f>
        <v/>
      </c>
      <c r="Z18">
        <f>HYPERLINK("https://klasma.github.io/Logging_0330/fåglar/A 33770-2023 prioriterade fågelarter.docx", "A 33770-2023")</f>
        <v/>
      </c>
    </row>
    <row r="19" ht="15" customHeight="1">
      <c r="A19" t="inlineStr">
        <is>
          <t>A 9553-2025</t>
        </is>
      </c>
      <c r="B19" s="1" t="n">
        <v>45715</v>
      </c>
      <c r="C19" s="1" t="n">
        <v>46188</v>
      </c>
      <c r="D19" t="inlineStr">
        <is>
          <t>UPPSALA LÄN</t>
        </is>
      </c>
      <c r="E19" t="inlineStr">
        <is>
          <t>KNIVSTA</t>
        </is>
      </c>
      <c r="G19" t="n">
        <v>3.5</v>
      </c>
      <c r="H19" t="n">
        <v>1</v>
      </c>
      <c r="I19" t="n">
        <v>0</v>
      </c>
      <c r="J19" t="n">
        <v>0</v>
      </c>
      <c r="K19" t="n">
        <v>0</v>
      </c>
      <c r="L19" t="n">
        <v>0</v>
      </c>
      <c r="M19" t="n">
        <v>0</v>
      </c>
      <c r="N19" t="n">
        <v>0</v>
      </c>
      <c r="O19" t="n">
        <v>0</v>
      </c>
      <c r="P19" t="n">
        <v>0</v>
      </c>
      <c r="Q19" t="n">
        <v>1</v>
      </c>
      <c r="R19" s="2" t="inlineStr">
        <is>
          <t>Nattviol</t>
        </is>
      </c>
      <c r="S19">
        <f>HYPERLINK("https://klasma.github.io/Logging_0330/artfynd/A 9553-2025 artfynd.xlsx", "A 9553-2025")</f>
        <v/>
      </c>
      <c r="T19">
        <f>HYPERLINK("https://klasma.github.io/Logging_0330/kartor/A 9553-2025 karta.png", "A 9553-2025")</f>
        <v/>
      </c>
      <c r="V19">
        <f>HYPERLINK("https://klasma.github.io/Logging_0330/klagomål/A 9553-2025 FSC-klagomål.docx", "A 9553-2025")</f>
        <v/>
      </c>
      <c r="W19">
        <f>HYPERLINK("https://klasma.github.io/Logging_0330/klagomålsmail/A 9553-2025 FSC-klagomål mail.docx", "A 9553-2025")</f>
        <v/>
      </c>
      <c r="X19">
        <f>HYPERLINK("https://klasma.github.io/Logging_0330/tillsyn/A 9553-2025 tillsynsbegäran.docx", "A 9553-2025")</f>
        <v/>
      </c>
      <c r="Y19">
        <f>HYPERLINK("https://klasma.github.io/Logging_0330/tillsynsmail/A 9553-2025 tillsynsbegäran mail.docx", "A 9553-2025")</f>
        <v/>
      </c>
    </row>
    <row r="20" ht="15" customHeight="1">
      <c r="A20" t="inlineStr">
        <is>
          <t>A 11405-2025</t>
        </is>
      </c>
      <c r="B20" s="1" t="n">
        <v>45726</v>
      </c>
      <c r="C20" s="1" t="n">
        <v>46188</v>
      </c>
      <c r="D20" t="inlineStr">
        <is>
          <t>UPPSALA LÄN</t>
        </is>
      </c>
      <c r="E20" t="inlineStr">
        <is>
          <t>KNIVSTA</t>
        </is>
      </c>
      <c r="G20" t="n">
        <v>1.6</v>
      </c>
      <c r="H20" t="n">
        <v>0</v>
      </c>
      <c r="I20" t="n">
        <v>0</v>
      </c>
      <c r="J20" t="n">
        <v>0</v>
      </c>
      <c r="K20" t="n">
        <v>0</v>
      </c>
      <c r="L20" t="n">
        <v>1</v>
      </c>
      <c r="M20" t="n">
        <v>0</v>
      </c>
      <c r="N20" t="n">
        <v>0</v>
      </c>
      <c r="O20" t="n">
        <v>1</v>
      </c>
      <c r="P20" t="n">
        <v>1</v>
      </c>
      <c r="Q20" t="n">
        <v>1</v>
      </c>
      <c r="R20" s="2" t="inlineStr">
        <is>
          <t>Fältgentiana</t>
        </is>
      </c>
      <c r="S20">
        <f>HYPERLINK("https://klasma.github.io/Logging_0330/artfynd/A 11405-2025 artfynd.xlsx", "A 11405-2025")</f>
        <v/>
      </c>
      <c r="T20">
        <f>HYPERLINK("https://klasma.github.io/Logging_0330/kartor/A 11405-2025 karta.png", "A 11405-2025")</f>
        <v/>
      </c>
      <c r="V20">
        <f>HYPERLINK("https://klasma.github.io/Logging_0330/klagomål/A 11405-2025 FSC-klagomål.docx", "A 11405-2025")</f>
        <v/>
      </c>
      <c r="W20">
        <f>HYPERLINK("https://klasma.github.io/Logging_0330/klagomålsmail/A 11405-2025 FSC-klagomål mail.docx", "A 11405-2025")</f>
        <v/>
      </c>
      <c r="X20">
        <f>HYPERLINK("https://klasma.github.io/Logging_0330/tillsyn/A 11405-2025 tillsynsbegäran.docx", "A 11405-2025")</f>
        <v/>
      </c>
      <c r="Y20">
        <f>HYPERLINK("https://klasma.github.io/Logging_0330/tillsynsmail/A 11405-2025 tillsynsbegäran mail.docx", "A 11405-2025")</f>
        <v/>
      </c>
    </row>
    <row r="21" ht="15" customHeight="1">
      <c r="A21" t="inlineStr">
        <is>
          <t>A 66298-2021</t>
        </is>
      </c>
      <c r="B21" s="1" t="n">
        <v>44518</v>
      </c>
      <c r="C21" s="1" t="n">
        <v>46188</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46188</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46188</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46188</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46188</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35232-2021</t>
        </is>
      </c>
      <c r="B26" s="1" t="n">
        <v>44384</v>
      </c>
      <c r="C26" s="1" t="n">
        <v>46188</v>
      </c>
      <c r="D26" t="inlineStr">
        <is>
          <t>UPPSALA LÄN</t>
        </is>
      </c>
      <c r="E26" t="inlineStr">
        <is>
          <t>KNIVSTA</t>
        </is>
      </c>
      <c r="G26" t="n">
        <v>1.1</v>
      </c>
      <c r="H26" t="n">
        <v>0</v>
      </c>
      <c r="I26" t="n">
        <v>0</v>
      </c>
      <c r="J26" t="n">
        <v>0</v>
      </c>
      <c r="K26" t="n">
        <v>0</v>
      </c>
      <c r="L26" t="n">
        <v>0</v>
      </c>
      <c r="M26" t="n">
        <v>0</v>
      </c>
      <c r="N26" t="n">
        <v>0</v>
      </c>
      <c r="O26" t="n">
        <v>0</v>
      </c>
      <c r="P26" t="n">
        <v>0</v>
      </c>
      <c r="Q26" t="n">
        <v>0</v>
      </c>
      <c r="R26" s="2" t="inlineStr"/>
    </row>
    <row r="27" ht="15" customHeight="1">
      <c r="A27" t="inlineStr">
        <is>
          <t>A 62451-2021</t>
        </is>
      </c>
      <c r="B27" s="1" t="n">
        <v>44509</v>
      </c>
      <c r="C27" s="1" t="n">
        <v>46188</v>
      </c>
      <c r="D27" t="inlineStr">
        <is>
          <t>UPPSALA LÄN</t>
        </is>
      </c>
      <c r="E27" t="inlineStr">
        <is>
          <t>KNIVSTA</t>
        </is>
      </c>
      <c r="G27" t="n">
        <v>2.5</v>
      </c>
      <c r="H27" t="n">
        <v>0</v>
      </c>
      <c r="I27" t="n">
        <v>0</v>
      </c>
      <c r="J27" t="n">
        <v>0</v>
      </c>
      <c r="K27" t="n">
        <v>0</v>
      </c>
      <c r="L27" t="n">
        <v>0</v>
      </c>
      <c r="M27" t="n">
        <v>0</v>
      </c>
      <c r="N27" t="n">
        <v>0</v>
      </c>
      <c r="O27" t="n">
        <v>0</v>
      </c>
      <c r="P27" t="n">
        <v>0</v>
      </c>
      <c r="Q27" t="n">
        <v>0</v>
      </c>
      <c r="R27" s="2" t="inlineStr"/>
    </row>
    <row r="28" ht="15" customHeight="1">
      <c r="A28" t="inlineStr">
        <is>
          <t>A 64044-2021</t>
        </is>
      </c>
      <c r="B28" s="1" t="n">
        <v>44510</v>
      </c>
      <c r="C28" s="1" t="n">
        <v>46188</v>
      </c>
      <c r="D28" t="inlineStr">
        <is>
          <t>UPPSALA LÄN</t>
        </is>
      </c>
      <c r="E28" t="inlineStr">
        <is>
          <t>KNIVSTA</t>
        </is>
      </c>
      <c r="G28" t="n">
        <v>0.5</v>
      </c>
      <c r="H28" t="n">
        <v>0</v>
      </c>
      <c r="I28" t="n">
        <v>0</v>
      </c>
      <c r="J28" t="n">
        <v>0</v>
      </c>
      <c r="K28" t="n">
        <v>0</v>
      </c>
      <c r="L28" t="n">
        <v>0</v>
      </c>
      <c r="M28" t="n">
        <v>0</v>
      </c>
      <c r="N28" t="n">
        <v>0</v>
      </c>
      <c r="O28" t="n">
        <v>0</v>
      </c>
      <c r="P28" t="n">
        <v>0</v>
      </c>
      <c r="Q28" t="n">
        <v>0</v>
      </c>
      <c r="R28" s="2" t="inlineStr"/>
    </row>
    <row r="29" ht="15" customHeight="1">
      <c r="A29" t="inlineStr">
        <is>
          <t>A 47652-2021</t>
        </is>
      </c>
      <c r="B29" s="1" t="n">
        <v>44448</v>
      </c>
      <c r="C29" s="1" t="n">
        <v>46188</v>
      </c>
      <c r="D29" t="inlineStr">
        <is>
          <t>UPPSALA LÄN</t>
        </is>
      </c>
      <c r="E29" t="inlineStr">
        <is>
          <t>KNIVSTA</t>
        </is>
      </c>
      <c r="G29" t="n">
        <v>2.7</v>
      </c>
      <c r="H29" t="n">
        <v>0</v>
      </c>
      <c r="I29" t="n">
        <v>0</v>
      </c>
      <c r="J29" t="n">
        <v>0</v>
      </c>
      <c r="K29" t="n">
        <v>0</v>
      </c>
      <c r="L29" t="n">
        <v>0</v>
      </c>
      <c r="M29" t="n">
        <v>0</v>
      </c>
      <c r="N29" t="n">
        <v>0</v>
      </c>
      <c r="O29" t="n">
        <v>0</v>
      </c>
      <c r="P29" t="n">
        <v>0</v>
      </c>
      <c r="Q29" t="n">
        <v>0</v>
      </c>
      <c r="R29" s="2" t="inlineStr"/>
    </row>
    <row r="30" ht="15" customHeight="1">
      <c r="A30" t="inlineStr">
        <is>
          <t>A 47654-2021</t>
        </is>
      </c>
      <c r="B30" s="1" t="n">
        <v>44448</v>
      </c>
      <c r="C30" s="1" t="n">
        <v>46188</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70275-2021</t>
        </is>
      </c>
      <c r="B31" s="1" t="n">
        <v>44536</v>
      </c>
      <c r="C31" s="1" t="n">
        <v>46188</v>
      </c>
      <c r="D31" t="inlineStr">
        <is>
          <t>UPPSALA LÄN</t>
        </is>
      </c>
      <c r="E31" t="inlineStr">
        <is>
          <t>KNIVSTA</t>
        </is>
      </c>
      <c r="F31" t="inlineStr">
        <is>
          <t>Holmen skog AB</t>
        </is>
      </c>
      <c r="G31" t="n">
        <v>0.7</v>
      </c>
      <c r="H31" t="n">
        <v>0</v>
      </c>
      <c r="I31" t="n">
        <v>0</v>
      </c>
      <c r="J31" t="n">
        <v>0</v>
      </c>
      <c r="K31" t="n">
        <v>0</v>
      </c>
      <c r="L31" t="n">
        <v>0</v>
      </c>
      <c r="M31" t="n">
        <v>0</v>
      </c>
      <c r="N31" t="n">
        <v>0</v>
      </c>
      <c r="O31" t="n">
        <v>0</v>
      </c>
      <c r="P31" t="n">
        <v>0</v>
      </c>
      <c r="Q31" t="n">
        <v>0</v>
      </c>
      <c r="R31" s="2" t="inlineStr"/>
    </row>
    <row r="32" ht="15" customHeight="1">
      <c r="A32" t="inlineStr">
        <is>
          <t>A 66256-2021</t>
        </is>
      </c>
      <c r="B32" s="1" t="n">
        <v>44518</v>
      </c>
      <c r="C32" s="1" t="n">
        <v>46188</v>
      </c>
      <c r="D32" t="inlineStr">
        <is>
          <t>UPPSALA LÄN</t>
        </is>
      </c>
      <c r="E32" t="inlineStr">
        <is>
          <t>KNIVSTA</t>
        </is>
      </c>
      <c r="G32" t="n">
        <v>0.3</v>
      </c>
      <c r="H32" t="n">
        <v>0</v>
      </c>
      <c r="I32" t="n">
        <v>0</v>
      </c>
      <c r="J32" t="n">
        <v>0</v>
      </c>
      <c r="K32" t="n">
        <v>0</v>
      </c>
      <c r="L32" t="n">
        <v>0</v>
      </c>
      <c r="M32" t="n">
        <v>0</v>
      </c>
      <c r="N32" t="n">
        <v>0</v>
      </c>
      <c r="O32" t="n">
        <v>0</v>
      </c>
      <c r="P32" t="n">
        <v>0</v>
      </c>
      <c r="Q32" t="n">
        <v>0</v>
      </c>
      <c r="R32" s="2" t="inlineStr"/>
    </row>
    <row r="33" ht="15" customHeight="1">
      <c r="A33" t="inlineStr">
        <is>
          <t>A 18820-2022</t>
        </is>
      </c>
      <c r="B33" s="1" t="n">
        <v>44690.39451388889</v>
      </c>
      <c r="C33" s="1" t="n">
        <v>46188</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62441-2021</t>
        </is>
      </c>
      <c r="B34" s="1" t="n">
        <v>44503</v>
      </c>
      <c r="C34" s="1" t="n">
        <v>46188</v>
      </c>
      <c r="D34" t="inlineStr">
        <is>
          <t>UPPSALA LÄN</t>
        </is>
      </c>
      <c r="E34" t="inlineStr">
        <is>
          <t>KNIVSTA</t>
        </is>
      </c>
      <c r="G34" t="n">
        <v>1.9</v>
      </c>
      <c r="H34" t="n">
        <v>0</v>
      </c>
      <c r="I34" t="n">
        <v>0</v>
      </c>
      <c r="J34" t="n">
        <v>0</v>
      </c>
      <c r="K34" t="n">
        <v>0</v>
      </c>
      <c r="L34" t="n">
        <v>0</v>
      </c>
      <c r="M34" t="n">
        <v>0</v>
      </c>
      <c r="N34" t="n">
        <v>0</v>
      </c>
      <c r="O34" t="n">
        <v>0</v>
      </c>
      <c r="P34" t="n">
        <v>0</v>
      </c>
      <c r="Q34" t="n">
        <v>0</v>
      </c>
      <c r="R34" s="2" t="inlineStr"/>
    </row>
    <row r="35" ht="15" customHeight="1">
      <c r="A35" t="inlineStr">
        <is>
          <t>A 72966-2021</t>
        </is>
      </c>
      <c r="B35" s="1" t="n">
        <v>44548.57709490741</v>
      </c>
      <c r="C35" s="1" t="n">
        <v>46188</v>
      </c>
      <c r="D35" t="inlineStr">
        <is>
          <t>UPPSALA LÄN</t>
        </is>
      </c>
      <c r="E35" t="inlineStr">
        <is>
          <t>KNIVSTA</t>
        </is>
      </c>
      <c r="G35" t="n">
        <v>2</v>
      </c>
      <c r="H35" t="n">
        <v>0</v>
      </c>
      <c r="I35" t="n">
        <v>0</v>
      </c>
      <c r="J35" t="n">
        <v>0</v>
      </c>
      <c r="K35" t="n">
        <v>0</v>
      </c>
      <c r="L35" t="n">
        <v>0</v>
      </c>
      <c r="M35" t="n">
        <v>0</v>
      </c>
      <c r="N35" t="n">
        <v>0</v>
      </c>
      <c r="O35" t="n">
        <v>0</v>
      </c>
      <c r="P35" t="n">
        <v>0</v>
      </c>
      <c r="Q35" t="n">
        <v>0</v>
      </c>
      <c r="R35" s="2" t="inlineStr"/>
    </row>
    <row r="36" ht="15" customHeight="1">
      <c r="A36" t="inlineStr">
        <is>
          <t>A 72967-2021</t>
        </is>
      </c>
      <c r="B36" s="1" t="n">
        <v>44548.58148148148</v>
      </c>
      <c r="C36" s="1" t="n">
        <v>46188</v>
      </c>
      <c r="D36" t="inlineStr">
        <is>
          <t>UPPSALA LÄN</t>
        </is>
      </c>
      <c r="E36" t="inlineStr">
        <is>
          <t>KNIVSTA</t>
        </is>
      </c>
      <c r="G36" t="n">
        <v>1.1</v>
      </c>
      <c r="H36" t="n">
        <v>0</v>
      </c>
      <c r="I36" t="n">
        <v>0</v>
      </c>
      <c r="J36" t="n">
        <v>0</v>
      </c>
      <c r="K36" t="n">
        <v>0</v>
      </c>
      <c r="L36" t="n">
        <v>0</v>
      </c>
      <c r="M36" t="n">
        <v>0</v>
      </c>
      <c r="N36" t="n">
        <v>0</v>
      </c>
      <c r="O36" t="n">
        <v>0</v>
      </c>
      <c r="P36" t="n">
        <v>0</v>
      </c>
      <c r="Q36" t="n">
        <v>0</v>
      </c>
      <c r="R36" s="2" t="inlineStr"/>
    </row>
    <row r="37" ht="15" customHeight="1">
      <c r="A37" t="inlineStr">
        <is>
          <t>A 34078-2022</t>
        </is>
      </c>
      <c r="B37" s="1" t="n">
        <v>44791</v>
      </c>
      <c r="C37" s="1" t="n">
        <v>46188</v>
      </c>
      <c r="D37" t="inlineStr">
        <is>
          <t>UPPSALA LÄN</t>
        </is>
      </c>
      <c r="E37" t="inlineStr">
        <is>
          <t>KNIVSTA</t>
        </is>
      </c>
      <c r="F37" t="inlineStr">
        <is>
          <t>Övriga statliga verk och myndigheter</t>
        </is>
      </c>
      <c r="G37" t="n">
        <v>1.8</v>
      </c>
      <c r="H37" t="n">
        <v>0</v>
      </c>
      <c r="I37" t="n">
        <v>0</v>
      </c>
      <c r="J37" t="n">
        <v>0</v>
      </c>
      <c r="K37" t="n">
        <v>0</v>
      </c>
      <c r="L37" t="n">
        <v>0</v>
      </c>
      <c r="M37" t="n">
        <v>0</v>
      </c>
      <c r="N37" t="n">
        <v>0</v>
      </c>
      <c r="O37" t="n">
        <v>0</v>
      </c>
      <c r="P37" t="n">
        <v>0</v>
      </c>
      <c r="Q37" t="n">
        <v>0</v>
      </c>
      <c r="R37" s="2" t="inlineStr"/>
    </row>
    <row r="38" ht="15" customHeight="1">
      <c r="A38" t="inlineStr">
        <is>
          <t>A 49090-2025</t>
        </is>
      </c>
      <c r="B38" s="1" t="n">
        <v>45937</v>
      </c>
      <c r="C38" s="1" t="n">
        <v>46188</v>
      </c>
      <c r="D38" t="inlineStr">
        <is>
          <t>UPPSALA LÄN</t>
        </is>
      </c>
      <c r="E38" t="inlineStr">
        <is>
          <t>KNIVSTA</t>
        </is>
      </c>
      <c r="G38" t="n">
        <v>4.1</v>
      </c>
      <c r="H38" t="n">
        <v>0</v>
      </c>
      <c r="I38" t="n">
        <v>0</v>
      </c>
      <c r="J38" t="n">
        <v>0</v>
      </c>
      <c r="K38" t="n">
        <v>0</v>
      </c>
      <c r="L38" t="n">
        <v>0</v>
      </c>
      <c r="M38" t="n">
        <v>0</v>
      </c>
      <c r="N38" t="n">
        <v>0</v>
      </c>
      <c r="O38" t="n">
        <v>0</v>
      </c>
      <c r="P38" t="n">
        <v>0</v>
      </c>
      <c r="Q38" t="n">
        <v>0</v>
      </c>
      <c r="R38" s="2" t="inlineStr"/>
    </row>
    <row r="39" ht="15" customHeight="1">
      <c r="A39" t="inlineStr">
        <is>
          <t>A 2171-2024</t>
        </is>
      </c>
      <c r="B39" s="1" t="n">
        <v>45309</v>
      </c>
      <c r="C39" s="1" t="n">
        <v>46188</v>
      </c>
      <c r="D39" t="inlineStr">
        <is>
          <t>UPPSALA LÄN</t>
        </is>
      </c>
      <c r="E39" t="inlineStr">
        <is>
          <t>KNIVSTA</t>
        </is>
      </c>
      <c r="F39" t="inlineStr">
        <is>
          <t>Holmen skog AB</t>
        </is>
      </c>
      <c r="G39" t="n">
        <v>3.3</v>
      </c>
      <c r="H39" t="n">
        <v>0</v>
      </c>
      <c r="I39" t="n">
        <v>0</v>
      </c>
      <c r="J39" t="n">
        <v>0</v>
      </c>
      <c r="K39" t="n">
        <v>0</v>
      </c>
      <c r="L39" t="n">
        <v>0</v>
      </c>
      <c r="M39" t="n">
        <v>0</v>
      </c>
      <c r="N39" t="n">
        <v>0</v>
      </c>
      <c r="O39" t="n">
        <v>0</v>
      </c>
      <c r="P39" t="n">
        <v>0</v>
      </c>
      <c r="Q39" t="n">
        <v>0</v>
      </c>
      <c r="R39" s="2" t="inlineStr"/>
    </row>
    <row r="40" ht="15" customHeight="1">
      <c r="A40" t="inlineStr">
        <is>
          <t>A 17091-2023</t>
        </is>
      </c>
      <c r="B40" s="1" t="n">
        <v>45034.53554398148</v>
      </c>
      <c r="C40" s="1" t="n">
        <v>46188</v>
      </c>
      <c r="D40" t="inlineStr">
        <is>
          <t>UPPSALA LÄN</t>
        </is>
      </c>
      <c r="E40" t="inlineStr">
        <is>
          <t>KNIVSTA</t>
        </is>
      </c>
      <c r="G40" t="n">
        <v>0.8</v>
      </c>
      <c r="H40" t="n">
        <v>0</v>
      </c>
      <c r="I40" t="n">
        <v>0</v>
      </c>
      <c r="J40" t="n">
        <v>0</v>
      </c>
      <c r="K40" t="n">
        <v>0</v>
      </c>
      <c r="L40" t="n">
        <v>0</v>
      </c>
      <c r="M40" t="n">
        <v>0</v>
      </c>
      <c r="N40" t="n">
        <v>0</v>
      </c>
      <c r="O40" t="n">
        <v>0</v>
      </c>
      <c r="P40" t="n">
        <v>0</v>
      </c>
      <c r="Q40" t="n">
        <v>0</v>
      </c>
      <c r="R40" s="2" t="inlineStr"/>
    </row>
    <row r="41" ht="15" customHeight="1">
      <c r="A41" t="inlineStr">
        <is>
          <t>A 26182-2022</t>
        </is>
      </c>
      <c r="B41" s="1" t="n">
        <v>44735</v>
      </c>
      <c r="C41" s="1" t="n">
        <v>46188</v>
      </c>
      <c r="D41" t="inlineStr">
        <is>
          <t>UPPSALA LÄN</t>
        </is>
      </c>
      <c r="E41" t="inlineStr">
        <is>
          <t>KNIVSTA</t>
        </is>
      </c>
      <c r="G41" t="n">
        <v>3.8</v>
      </c>
      <c r="H41" t="n">
        <v>0</v>
      </c>
      <c r="I41" t="n">
        <v>0</v>
      </c>
      <c r="J41" t="n">
        <v>0</v>
      </c>
      <c r="K41" t="n">
        <v>0</v>
      </c>
      <c r="L41" t="n">
        <v>0</v>
      </c>
      <c r="M41" t="n">
        <v>0</v>
      </c>
      <c r="N41" t="n">
        <v>0</v>
      </c>
      <c r="O41" t="n">
        <v>0</v>
      </c>
      <c r="P41" t="n">
        <v>0</v>
      </c>
      <c r="Q41" t="n">
        <v>0</v>
      </c>
      <c r="R41" s="2" t="inlineStr"/>
    </row>
    <row r="42" ht="15" customHeight="1">
      <c r="A42" t="inlineStr">
        <is>
          <t>A 2628-2025</t>
        </is>
      </c>
      <c r="B42" s="1" t="n">
        <v>45675.68435185185</v>
      </c>
      <c r="C42" s="1" t="n">
        <v>46188</v>
      </c>
      <c r="D42" t="inlineStr">
        <is>
          <t>UPPSALA LÄN</t>
        </is>
      </c>
      <c r="E42" t="inlineStr">
        <is>
          <t>KNIVSTA</t>
        </is>
      </c>
      <c r="G42" t="n">
        <v>2.9</v>
      </c>
      <c r="H42" t="n">
        <v>0</v>
      </c>
      <c r="I42" t="n">
        <v>0</v>
      </c>
      <c r="J42" t="n">
        <v>0</v>
      </c>
      <c r="K42" t="n">
        <v>0</v>
      </c>
      <c r="L42" t="n">
        <v>0</v>
      </c>
      <c r="M42" t="n">
        <v>0</v>
      </c>
      <c r="N42" t="n">
        <v>0</v>
      </c>
      <c r="O42" t="n">
        <v>0</v>
      </c>
      <c r="P42" t="n">
        <v>0</v>
      </c>
      <c r="Q42" t="n">
        <v>0</v>
      </c>
      <c r="R42" s="2" t="inlineStr"/>
    </row>
    <row r="43" ht="15" customHeight="1">
      <c r="A43" t="inlineStr">
        <is>
          <t>A 17333-2024</t>
        </is>
      </c>
      <c r="B43" s="1" t="n">
        <v>45414.5625462963</v>
      </c>
      <c r="C43" s="1" t="n">
        <v>46188</v>
      </c>
      <c r="D43" t="inlineStr">
        <is>
          <t>UPPSALA LÄN</t>
        </is>
      </c>
      <c r="E43" t="inlineStr">
        <is>
          <t>KNIVSTA</t>
        </is>
      </c>
      <c r="G43" t="n">
        <v>0.9</v>
      </c>
      <c r="H43" t="n">
        <v>0</v>
      </c>
      <c r="I43" t="n">
        <v>0</v>
      </c>
      <c r="J43" t="n">
        <v>0</v>
      </c>
      <c r="K43" t="n">
        <v>0</v>
      </c>
      <c r="L43" t="n">
        <v>0</v>
      </c>
      <c r="M43" t="n">
        <v>0</v>
      </c>
      <c r="N43" t="n">
        <v>0</v>
      </c>
      <c r="O43" t="n">
        <v>0</v>
      </c>
      <c r="P43" t="n">
        <v>0</v>
      </c>
      <c r="Q43" t="n">
        <v>0</v>
      </c>
      <c r="R43" s="2" t="inlineStr"/>
    </row>
    <row r="44" ht="15" customHeight="1">
      <c r="A44" t="inlineStr">
        <is>
          <t>A 794-2024</t>
        </is>
      </c>
      <c r="B44" s="1" t="n">
        <v>45300.58149305556</v>
      </c>
      <c r="C44" s="1" t="n">
        <v>46188</v>
      </c>
      <c r="D44" t="inlineStr">
        <is>
          <t>UPPSALA LÄN</t>
        </is>
      </c>
      <c r="E44" t="inlineStr">
        <is>
          <t>KNIVSTA</t>
        </is>
      </c>
      <c r="G44" t="n">
        <v>1.6</v>
      </c>
      <c r="H44" t="n">
        <v>0</v>
      </c>
      <c r="I44" t="n">
        <v>0</v>
      </c>
      <c r="J44" t="n">
        <v>0</v>
      </c>
      <c r="K44" t="n">
        <v>0</v>
      </c>
      <c r="L44" t="n">
        <v>0</v>
      </c>
      <c r="M44" t="n">
        <v>0</v>
      </c>
      <c r="N44" t="n">
        <v>0</v>
      </c>
      <c r="O44" t="n">
        <v>0</v>
      </c>
      <c r="P44" t="n">
        <v>0</v>
      </c>
      <c r="Q44" t="n">
        <v>0</v>
      </c>
      <c r="R44" s="2" t="inlineStr"/>
    </row>
    <row r="45" ht="15" customHeight="1">
      <c r="A45" t="inlineStr">
        <is>
          <t>A 11841-2023</t>
        </is>
      </c>
      <c r="B45" s="1" t="n">
        <v>44995.3221412037</v>
      </c>
      <c r="C45" s="1" t="n">
        <v>46188</v>
      </c>
      <c r="D45" t="inlineStr">
        <is>
          <t>UPPSALA LÄN</t>
        </is>
      </c>
      <c r="E45" t="inlineStr">
        <is>
          <t>KNIVSTA</t>
        </is>
      </c>
      <c r="G45" t="n">
        <v>3.9</v>
      </c>
      <c r="H45" t="n">
        <v>0</v>
      </c>
      <c r="I45" t="n">
        <v>0</v>
      </c>
      <c r="J45" t="n">
        <v>0</v>
      </c>
      <c r="K45" t="n">
        <v>0</v>
      </c>
      <c r="L45" t="n">
        <v>0</v>
      </c>
      <c r="M45" t="n">
        <v>0</v>
      </c>
      <c r="N45" t="n">
        <v>0</v>
      </c>
      <c r="O45" t="n">
        <v>0</v>
      </c>
      <c r="P45" t="n">
        <v>0</v>
      </c>
      <c r="Q45" t="n">
        <v>0</v>
      </c>
      <c r="R45" s="2" t="inlineStr"/>
    </row>
    <row r="46" ht="15" customHeight="1">
      <c r="A46" t="inlineStr">
        <is>
          <t>A 45453-2025</t>
        </is>
      </c>
      <c r="B46" s="1" t="n">
        <v>45922.48702546296</v>
      </c>
      <c r="C46" s="1" t="n">
        <v>46188</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11450-2023</t>
        </is>
      </c>
      <c r="B47" s="1" t="n">
        <v>44993</v>
      </c>
      <c r="C47" s="1" t="n">
        <v>46188</v>
      </c>
      <c r="D47" t="inlineStr">
        <is>
          <t>UPPSALA LÄN</t>
        </is>
      </c>
      <c r="E47" t="inlineStr">
        <is>
          <t>KNIVSTA</t>
        </is>
      </c>
      <c r="G47" t="n">
        <v>1.4</v>
      </c>
      <c r="H47" t="n">
        <v>0</v>
      </c>
      <c r="I47" t="n">
        <v>0</v>
      </c>
      <c r="J47" t="n">
        <v>0</v>
      </c>
      <c r="K47" t="n">
        <v>0</v>
      </c>
      <c r="L47" t="n">
        <v>0</v>
      </c>
      <c r="M47" t="n">
        <v>0</v>
      </c>
      <c r="N47" t="n">
        <v>0</v>
      </c>
      <c r="O47" t="n">
        <v>0</v>
      </c>
      <c r="P47" t="n">
        <v>0</v>
      </c>
      <c r="Q47" t="n">
        <v>0</v>
      </c>
      <c r="R47" s="2" t="inlineStr"/>
    </row>
    <row r="48" ht="15" customHeight="1">
      <c r="A48" t="inlineStr">
        <is>
          <t>A 60243-2025</t>
        </is>
      </c>
      <c r="B48" s="1" t="n">
        <v>45994.58650462963</v>
      </c>
      <c r="C48" s="1" t="n">
        <v>46188</v>
      </c>
      <c r="D48" t="inlineStr">
        <is>
          <t>UPPSALA LÄN</t>
        </is>
      </c>
      <c r="E48" t="inlineStr">
        <is>
          <t>KNIVSTA</t>
        </is>
      </c>
      <c r="F48" t="inlineStr">
        <is>
          <t>Holmen skog AB</t>
        </is>
      </c>
      <c r="G48" t="n">
        <v>2.4</v>
      </c>
      <c r="H48" t="n">
        <v>0</v>
      </c>
      <c r="I48" t="n">
        <v>0</v>
      </c>
      <c r="J48" t="n">
        <v>0</v>
      </c>
      <c r="K48" t="n">
        <v>0</v>
      </c>
      <c r="L48" t="n">
        <v>0</v>
      </c>
      <c r="M48" t="n">
        <v>0</v>
      </c>
      <c r="N48" t="n">
        <v>0</v>
      </c>
      <c r="O48" t="n">
        <v>0</v>
      </c>
      <c r="P48" t="n">
        <v>0</v>
      </c>
      <c r="Q48" t="n">
        <v>0</v>
      </c>
      <c r="R48" s="2" t="inlineStr"/>
    </row>
    <row r="49" ht="15" customHeight="1">
      <c r="A49" t="inlineStr">
        <is>
          <t>A 45525-2023</t>
        </is>
      </c>
      <c r="B49" s="1" t="n">
        <v>45194</v>
      </c>
      <c r="C49" s="1" t="n">
        <v>46188</v>
      </c>
      <c r="D49" t="inlineStr">
        <is>
          <t>UPPSALA LÄN</t>
        </is>
      </c>
      <c r="E49" t="inlineStr">
        <is>
          <t>KNIVSTA</t>
        </is>
      </c>
      <c r="G49" t="n">
        <v>0.7</v>
      </c>
      <c r="H49" t="n">
        <v>0</v>
      </c>
      <c r="I49" t="n">
        <v>0</v>
      </c>
      <c r="J49" t="n">
        <v>0</v>
      </c>
      <c r="K49" t="n">
        <v>0</v>
      </c>
      <c r="L49" t="n">
        <v>0</v>
      </c>
      <c r="M49" t="n">
        <v>0</v>
      </c>
      <c r="N49" t="n">
        <v>0</v>
      </c>
      <c r="O49" t="n">
        <v>0</v>
      </c>
      <c r="P49" t="n">
        <v>0</v>
      </c>
      <c r="Q49" t="n">
        <v>0</v>
      </c>
      <c r="R49" s="2" t="inlineStr"/>
    </row>
    <row r="50" ht="15" customHeight="1">
      <c r="A50" t="inlineStr">
        <is>
          <t>A 47803-2025</t>
        </is>
      </c>
      <c r="B50" s="1" t="n">
        <v>45931</v>
      </c>
      <c r="C50" s="1" t="n">
        <v>46188</v>
      </c>
      <c r="D50" t="inlineStr">
        <is>
          <t>UPPSALA LÄN</t>
        </is>
      </c>
      <c r="E50" t="inlineStr">
        <is>
          <t>KNIVSTA</t>
        </is>
      </c>
      <c r="G50" t="n">
        <v>2.9</v>
      </c>
      <c r="H50" t="n">
        <v>0</v>
      </c>
      <c r="I50" t="n">
        <v>0</v>
      </c>
      <c r="J50" t="n">
        <v>0</v>
      </c>
      <c r="K50" t="n">
        <v>0</v>
      </c>
      <c r="L50" t="n">
        <v>0</v>
      </c>
      <c r="M50" t="n">
        <v>0</v>
      </c>
      <c r="N50" t="n">
        <v>0</v>
      </c>
      <c r="O50" t="n">
        <v>0</v>
      </c>
      <c r="P50" t="n">
        <v>0</v>
      </c>
      <c r="Q50" t="n">
        <v>0</v>
      </c>
      <c r="R50" s="2" t="inlineStr"/>
    </row>
    <row r="51" ht="15" customHeight="1">
      <c r="A51" t="inlineStr">
        <is>
          <t>A 5402-2023</t>
        </is>
      </c>
      <c r="B51" s="1" t="n">
        <v>44959</v>
      </c>
      <c r="C51" s="1" t="n">
        <v>46188</v>
      </c>
      <c r="D51" t="inlineStr">
        <is>
          <t>UPPSALA LÄN</t>
        </is>
      </c>
      <c r="E51" t="inlineStr">
        <is>
          <t>KNIVSTA</t>
        </is>
      </c>
      <c r="G51" t="n">
        <v>4.3</v>
      </c>
      <c r="H51" t="n">
        <v>0</v>
      </c>
      <c r="I51" t="n">
        <v>0</v>
      </c>
      <c r="J51" t="n">
        <v>0</v>
      </c>
      <c r="K51" t="n">
        <v>0</v>
      </c>
      <c r="L51" t="n">
        <v>0</v>
      </c>
      <c r="M51" t="n">
        <v>0</v>
      </c>
      <c r="N51" t="n">
        <v>0</v>
      </c>
      <c r="O51" t="n">
        <v>0</v>
      </c>
      <c r="P51" t="n">
        <v>0</v>
      </c>
      <c r="Q51" t="n">
        <v>0</v>
      </c>
      <c r="R51" s="2" t="inlineStr"/>
    </row>
    <row r="52" ht="15" customHeight="1">
      <c r="A52" t="inlineStr">
        <is>
          <t>A 666-2026</t>
        </is>
      </c>
      <c r="B52" s="1" t="n">
        <v>46029.58832175926</v>
      </c>
      <c r="C52" s="1" t="n">
        <v>46188</v>
      </c>
      <c r="D52" t="inlineStr">
        <is>
          <t>UPPSALA LÄN</t>
        </is>
      </c>
      <c r="E52" t="inlineStr">
        <is>
          <t>KNIVSTA</t>
        </is>
      </c>
      <c r="G52" t="n">
        <v>1.8</v>
      </c>
      <c r="H52" t="n">
        <v>0</v>
      </c>
      <c r="I52" t="n">
        <v>0</v>
      </c>
      <c r="J52" t="n">
        <v>0</v>
      </c>
      <c r="K52" t="n">
        <v>0</v>
      </c>
      <c r="L52" t="n">
        <v>0</v>
      </c>
      <c r="M52" t="n">
        <v>0</v>
      </c>
      <c r="N52" t="n">
        <v>0</v>
      </c>
      <c r="O52" t="n">
        <v>0</v>
      </c>
      <c r="P52" t="n">
        <v>0</v>
      </c>
      <c r="Q52" t="n">
        <v>0</v>
      </c>
      <c r="R52" s="2" t="inlineStr"/>
    </row>
    <row r="53" ht="15" customHeight="1">
      <c r="A53" t="inlineStr">
        <is>
          <t>A 662-2026</t>
        </is>
      </c>
      <c r="B53" s="1" t="n">
        <v>46029.58549768518</v>
      </c>
      <c r="C53" s="1" t="n">
        <v>46188</v>
      </c>
      <c r="D53" t="inlineStr">
        <is>
          <t>UPPSALA LÄN</t>
        </is>
      </c>
      <c r="E53" t="inlineStr">
        <is>
          <t>KNIVSTA</t>
        </is>
      </c>
      <c r="G53" t="n">
        <v>1.4</v>
      </c>
      <c r="H53" t="n">
        <v>0</v>
      </c>
      <c r="I53" t="n">
        <v>0</v>
      </c>
      <c r="J53" t="n">
        <v>0</v>
      </c>
      <c r="K53" t="n">
        <v>0</v>
      </c>
      <c r="L53" t="n">
        <v>0</v>
      </c>
      <c r="M53" t="n">
        <v>0</v>
      </c>
      <c r="N53" t="n">
        <v>0</v>
      </c>
      <c r="O53" t="n">
        <v>0</v>
      </c>
      <c r="P53" t="n">
        <v>0</v>
      </c>
      <c r="Q53" t="n">
        <v>0</v>
      </c>
      <c r="R53" s="2" t="inlineStr"/>
    </row>
    <row r="54" ht="15" customHeight="1">
      <c r="A54" t="inlineStr">
        <is>
          <t>A 16773-2022</t>
        </is>
      </c>
      <c r="B54" s="1" t="n">
        <v>44673</v>
      </c>
      <c r="C54" s="1" t="n">
        <v>46188</v>
      </c>
      <c r="D54" t="inlineStr">
        <is>
          <t>UPPSALA LÄN</t>
        </is>
      </c>
      <c r="E54" t="inlineStr">
        <is>
          <t>KNIVSTA</t>
        </is>
      </c>
      <c r="G54" t="n">
        <v>1.9</v>
      </c>
      <c r="H54" t="n">
        <v>0</v>
      </c>
      <c r="I54" t="n">
        <v>0</v>
      </c>
      <c r="J54" t="n">
        <v>0</v>
      </c>
      <c r="K54" t="n">
        <v>0</v>
      </c>
      <c r="L54" t="n">
        <v>0</v>
      </c>
      <c r="M54" t="n">
        <v>0</v>
      </c>
      <c r="N54" t="n">
        <v>0</v>
      </c>
      <c r="O54" t="n">
        <v>0</v>
      </c>
      <c r="P54" t="n">
        <v>0</v>
      </c>
      <c r="Q54" t="n">
        <v>0</v>
      </c>
      <c r="R54" s="2" t="inlineStr"/>
    </row>
    <row r="55" ht="15" customHeight="1">
      <c r="A55" t="inlineStr">
        <is>
          <t>A 20902-2024</t>
        </is>
      </c>
      <c r="B55" s="1" t="n">
        <v>45439.48104166667</v>
      </c>
      <c r="C55" s="1" t="n">
        <v>46188</v>
      </c>
      <c r="D55" t="inlineStr">
        <is>
          <t>UPPSALA LÄN</t>
        </is>
      </c>
      <c r="E55" t="inlineStr">
        <is>
          <t>KNIVSTA</t>
        </is>
      </c>
      <c r="G55" t="n">
        <v>1</v>
      </c>
      <c r="H55" t="n">
        <v>0</v>
      </c>
      <c r="I55" t="n">
        <v>0</v>
      </c>
      <c r="J55" t="n">
        <v>0</v>
      </c>
      <c r="K55" t="n">
        <v>0</v>
      </c>
      <c r="L55" t="n">
        <v>0</v>
      </c>
      <c r="M55" t="n">
        <v>0</v>
      </c>
      <c r="N55" t="n">
        <v>0</v>
      </c>
      <c r="O55" t="n">
        <v>0</v>
      </c>
      <c r="P55" t="n">
        <v>0</v>
      </c>
      <c r="Q55" t="n">
        <v>0</v>
      </c>
      <c r="R55" s="2" t="inlineStr"/>
    </row>
    <row r="56" ht="15" customHeight="1">
      <c r="A56" t="inlineStr">
        <is>
          <t>A 5276-2026</t>
        </is>
      </c>
      <c r="B56" s="1" t="n">
        <v>46037</v>
      </c>
      <c r="C56" s="1" t="n">
        <v>46188</v>
      </c>
      <c r="D56" t="inlineStr">
        <is>
          <t>UPPSALA LÄN</t>
        </is>
      </c>
      <c r="E56" t="inlineStr">
        <is>
          <t>KNIVSTA</t>
        </is>
      </c>
      <c r="G56" t="n">
        <v>1.9</v>
      </c>
      <c r="H56" t="n">
        <v>0</v>
      </c>
      <c r="I56" t="n">
        <v>0</v>
      </c>
      <c r="J56" t="n">
        <v>0</v>
      </c>
      <c r="K56" t="n">
        <v>0</v>
      </c>
      <c r="L56" t="n">
        <v>0</v>
      </c>
      <c r="M56" t="n">
        <v>0</v>
      </c>
      <c r="N56" t="n">
        <v>0</v>
      </c>
      <c r="O56" t="n">
        <v>0</v>
      </c>
      <c r="P56" t="n">
        <v>0</v>
      </c>
      <c r="Q56" t="n">
        <v>0</v>
      </c>
      <c r="R56" s="2" t="inlineStr"/>
    </row>
    <row r="57" ht="15" customHeight="1">
      <c r="A57" t="inlineStr">
        <is>
          <t>A 60018-2024</t>
        </is>
      </c>
      <c r="B57" s="1" t="n">
        <v>45642</v>
      </c>
      <c r="C57" s="1" t="n">
        <v>46188</v>
      </c>
      <c r="D57" t="inlineStr">
        <is>
          <t>UPPSALA LÄN</t>
        </is>
      </c>
      <c r="E57" t="inlineStr">
        <is>
          <t>KNIVSTA</t>
        </is>
      </c>
      <c r="G57" t="n">
        <v>4.1</v>
      </c>
      <c r="H57" t="n">
        <v>0</v>
      </c>
      <c r="I57" t="n">
        <v>0</v>
      </c>
      <c r="J57" t="n">
        <v>0</v>
      </c>
      <c r="K57" t="n">
        <v>0</v>
      </c>
      <c r="L57" t="n">
        <v>0</v>
      </c>
      <c r="M57" t="n">
        <v>0</v>
      </c>
      <c r="N57" t="n">
        <v>0</v>
      </c>
      <c r="O57" t="n">
        <v>0</v>
      </c>
      <c r="P57" t="n">
        <v>0</v>
      </c>
      <c r="Q57" t="n">
        <v>0</v>
      </c>
      <c r="R57" s="2" t="inlineStr"/>
    </row>
    <row r="58" ht="15" customHeight="1">
      <c r="A58" t="inlineStr">
        <is>
          <t>A 3824-2026</t>
        </is>
      </c>
      <c r="B58" s="1" t="n">
        <v>46043.58570601852</v>
      </c>
      <c r="C58" s="1" t="n">
        <v>46188</v>
      </c>
      <c r="D58" t="inlineStr">
        <is>
          <t>UPPSALA LÄN</t>
        </is>
      </c>
      <c r="E58" t="inlineStr">
        <is>
          <t>KNIVSTA</t>
        </is>
      </c>
      <c r="G58" t="n">
        <v>1.9</v>
      </c>
      <c r="H58" t="n">
        <v>0</v>
      </c>
      <c r="I58" t="n">
        <v>0</v>
      </c>
      <c r="J58" t="n">
        <v>0</v>
      </c>
      <c r="K58" t="n">
        <v>0</v>
      </c>
      <c r="L58" t="n">
        <v>0</v>
      </c>
      <c r="M58" t="n">
        <v>0</v>
      </c>
      <c r="N58" t="n">
        <v>0</v>
      </c>
      <c r="O58" t="n">
        <v>0</v>
      </c>
      <c r="P58" t="n">
        <v>0</v>
      </c>
      <c r="Q58" t="n">
        <v>0</v>
      </c>
      <c r="R58" s="2" t="inlineStr"/>
    </row>
    <row r="59" ht="15" customHeight="1">
      <c r="A59" t="inlineStr">
        <is>
          <t>A 3836-2026</t>
        </is>
      </c>
      <c r="B59" s="1" t="n">
        <v>46043.5925</v>
      </c>
      <c r="C59" s="1" t="n">
        <v>46188</v>
      </c>
      <c r="D59" t="inlineStr">
        <is>
          <t>UPPSALA LÄN</t>
        </is>
      </c>
      <c r="E59" t="inlineStr">
        <is>
          <t>KNIVSTA</t>
        </is>
      </c>
      <c r="G59" t="n">
        <v>3.7</v>
      </c>
      <c r="H59" t="n">
        <v>0</v>
      </c>
      <c r="I59" t="n">
        <v>0</v>
      </c>
      <c r="J59" t="n">
        <v>0</v>
      </c>
      <c r="K59" t="n">
        <v>0</v>
      </c>
      <c r="L59" t="n">
        <v>0</v>
      </c>
      <c r="M59" t="n">
        <v>0</v>
      </c>
      <c r="N59" t="n">
        <v>0</v>
      </c>
      <c r="O59" t="n">
        <v>0</v>
      </c>
      <c r="P59" t="n">
        <v>0</v>
      </c>
      <c r="Q59" t="n">
        <v>0</v>
      </c>
      <c r="R59" s="2" t="inlineStr"/>
    </row>
    <row r="60" ht="15" customHeight="1">
      <c r="A60" t="inlineStr">
        <is>
          <t>A 3375-2026</t>
        </is>
      </c>
      <c r="B60" s="1" t="n">
        <v>46042</v>
      </c>
      <c r="C60" s="1" t="n">
        <v>46188</v>
      </c>
      <c r="D60" t="inlineStr">
        <is>
          <t>UPPSALA LÄN</t>
        </is>
      </c>
      <c r="E60" t="inlineStr">
        <is>
          <t>KNIVSTA</t>
        </is>
      </c>
      <c r="G60" t="n">
        <v>1.9</v>
      </c>
      <c r="H60" t="n">
        <v>0</v>
      </c>
      <c r="I60" t="n">
        <v>0</v>
      </c>
      <c r="J60" t="n">
        <v>0</v>
      </c>
      <c r="K60" t="n">
        <v>0</v>
      </c>
      <c r="L60" t="n">
        <v>0</v>
      </c>
      <c r="M60" t="n">
        <v>0</v>
      </c>
      <c r="N60" t="n">
        <v>0</v>
      </c>
      <c r="O60" t="n">
        <v>0</v>
      </c>
      <c r="P60" t="n">
        <v>0</v>
      </c>
      <c r="Q60" t="n">
        <v>0</v>
      </c>
      <c r="R60" s="2" t="inlineStr"/>
    </row>
    <row r="61" ht="15" customHeight="1">
      <c r="A61" t="inlineStr">
        <is>
          <t>A 5908-2026</t>
        </is>
      </c>
      <c r="B61" s="1" t="n">
        <v>46052.44399305555</v>
      </c>
      <c r="C61" s="1" t="n">
        <v>46188</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5910-2026</t>
        </is>
      </c>
      <c r="B62" s="1" t="n">
        <v>46052.44677083333</v>
      </c>
      <c r="C62" s="1" t="n">
        <v>46188</v>
      </c>
      <c r="D62" t="inlineStr">
        <is>
          <t>UPPSALA LÄN</t>
        </is>
      </c>
      <c r="E62" t="inlineStr">
        <is>
          <t>KNIVSTA</t>
        </is>
      </c>
      <c r="G62" t="n">
        <v>0.6</v>
      </c>
      <c r="H62" t="n">
        <v>0</v>
      </c>
      <c r="I62" t="n">
        <v>0</v>
      </c>
      <c r="J62" t="n">
        <v>0</v>
      </c>
      <c r="K62" t="n">
        <v>0</v>
      </c>
      <c r="L62" t="n">
        <v>0</v>
      </c>
      <c r="M62" t="n">
        <v>0</v>
      </c>
      <c r="N62" t="n">
        <v>0</v>
      </c>
      <c r="O62" t="n">
        <v>0</v>
      </c>
      <c r="P62" t="n">
        <v>0</v>
      </c>
      <c r="Q62" t="n">
        <v>0</v>
      </c>
      <c r="R62" s="2" t="inlineStr"/>
    </row>
    <row r="63" ht="15" customHeight="1">
      <c r="A63" t="inlineStr">
        <is>
          <t>A 1791-2024</t>
        </is>
      </c>
      <c r="B63" s="1" t="n">
        <v>45307.574375</v>
      </c>
      <c r="C63" s="1" t="n">
        <v>46188</v>
      </c>
      <c r="D63" t="inlineStr">
        <is>
          <t>UPPSALA LÄN</t>
        </is>
      </c>
      <c r="E63" t="inlineStr">
        <is>
          <t>KNIVSTA</t>
        </is>
      </c>
      <c r="G63" t="n">
        <v>1.4</v>
      </c>
      <c r="H63" t="n">
        <v>0</v>
      </c>
      <c r="I63" t="n">
        <v>0</v>
      </c>
      <c r="J63" t="n">
        <v>0</v>
      </c>
      <c r="K63" t="n">
        <v>0</v>
      </c>
      <c r="L63" t="n">
        <v>0</v>
      </c>
      <c r="M63" t="n">
        <v>0</v>
      </c>
      <c r="N63" t="n">
        <v>0</v>
      </c>
      <c r="O63" t="n">
        <v>0</v>
      </c>
      <c r="P63" t="n">
        <v>0</v>
      </c>
      <c r="Q63" t="n">
        <v>0</v>
      </c>
      <c r="R63" s="2" t="inlineStr"/>
    </row>
    <row r="64" ht="15" customHeight="1">
      <c r="A64" t="inlineStr">
        <is>
          <t>A 9744-2026</t>
        </is>
      </c>
      <c r="B64" s="1" t="n">
        <v>46072.51857638889</v>
      </c>
      <c r="C64" s="1" t="n">
        <v>46188</v>
      </c>
      <c r="D64" t="inlineStr">
        <is>
          <t>UPPSALA LÄN</t>
        </is>
      </c>
      <c r="E64" t="inlineStr">
        <is>
          <t>KNIVSTA</t>
        </is>
      </c>
      <c r="G64" t="n">
        <v>2.4</v>
      </c>
      <c r="H64" t="n">
        <v>0</v>
      </c>
      <c r="I64" t="n">
        <v>0</v>
      </c>
      <c r="J64" t="n">
        <v>0</v>
      </c>
      <c r="K64" t="n">
        <v>0</v>
      </c>
      <c r="L64" t="n">
        <v>0</v>
      </c>
      <c r="M64" t="n">
        <v>0</v>
      </c>
      <c r="N64" t="n">
        <v>0</v>
      </c>
      <c r="O64" t="n">
        <v>0</v>
      </c>
      <c r="P64" t="n">
        <v>0</v>
      </c>
      <c r="Q64" t="n">
        <v>0</v>
      </c>
      <c r="R64" s="2" t="inlineStr"/>
    </row>
    <row r="65" ht="15" customHeight="1">
      <c r="A65" t="inlineStr">
        <is>
          <t>A 12027-2026</t>
        </is>
      </c>
      <c r="B65" s="1" t="n">
        <v>46085.84549768519</v>
      </c>
      <c r="C65" s="1" t="n">
        <v>46188</v>
      </c>
      <c r="D65" t="inlineStr">
        <is>
          <t>UPPSALA LÄN</t>
        </is>
      </c>
      <c r="E65" t="inlineStr">
        <is>
          <t>KNIVSTA</t>
        </is>
      </c>
      <c r="G65" t="n">
        <v>0.6</v>
      </c>
      <c r="H65" t="n">
        <v>0</v>
      </c>
      <c r="I65" t="n">
        <v>0</v>
      </c>
      <c r="J65" t="n">
        <v>0</v>
      </c>
      <c r="K65" t="n">
        <v>0</v>
      </c>
      <c r="L65" t="n">
        <v>0</v>
      </c>
      <c r="M65" t="n">
        <v>0</v>
      </c>
      <c r="N65" t="n">
        <v>0</v>
      </c>
      <c r="O65" t="n">
        <v>0</v>
      </c>
      <c r="P65" t="n">
        <v>0</v>
      </c>
      <c r="Q65" t="n">
        <v>0</v>
      </c>
      <c r="R65" s="2" t="inlineStr"/>
    </row>
    <row r="66" ht="15" customHeight="1">
      <c r="A66" t="inlineStr">
        <is>
          <t>A 33976-2025</t>
        </is>
      </c>
      <c r="B66" s="1" t="n">
        <v>45843</v>
      </c>
      <c r="C66" s="1" t="n">
        <v>46188</v>
      </c>
      <c r="D66" t="inlineStr">
        <is>
          <t>UPPSALA LÄN</t>
        </is>
      </c>
      <c r="E66" t="inlineStr">
        <is>
          <t>KNIVSTA</t>
        </is>
      </c>
      <c r="G66" t="n">
        <v>6.1</v>
      </c>
      <c r="H66" t="n">
        <v>0</v>
      </c>
      <c r="I66" t="n">
        <v>0</v>
      </c>
      <c r="J66" t="n">
        <v>0</v>
      </c>
      <c r="K66" t="n">
        <v>0</v>
      </c>
      <c r="L66" t="n">
        <v>0</v>
      </c>
      <c r="M66" t="n">
        <v>0</v>
      </c>
      <c r="N66" t="n">
        <v>0</v>
      </c>
      <c r="O66" t="n">
        <v>0</v>
      </c>
      <c r="P66" t="n">
        <v>0</v>
      </c>
      <c r="Q66" t="n">
        <v>0</v>
      </c>
      <c r="R66" s="2" t="inlineStr"/>
    </row>
    <row r="67" ht="15" customHeight="1">
      <c r="A67" t="inlineStr">
        <is>
          <t>A 12774-2026</t>
        </is>
      </c>
      <c r="B67" s="1" t="n">
        <v>46091.70140046296</v>
      </c>
      <c r="C67" s="1" t="n">
        <v>46188</v>
      </c>
      <c r="D67" t="inlineStr">
        <is>
          <t>UPPSALA LÄN</t>
        </is>
      </c>
      <c r="E67" t="inlineStr">
        <is>
          <t>KNIVSTA</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23239-2023</t>
        </is>
      </c>
      <c r="B68" s="1" t="n">
        <v>45075</v>
      </c>
      <c r="C68" s="1" t="n">
        <v>46188</v>
      </c>
      <c r="D68" t="inlineStr">
        <is>
          <t>UPPSALA LÄN</t>
        </is>
      </c>
      <c r="E68" t="inlineStr">
        <is>
          <t>KNIVSTA</t>
        </is>
      </c>
      <c r="G68" t="n">
        <v>1.8</v>
      </c>
      <c r="H68" t="n">
        <v>0</v>
      </c>
      <c r="I68" t="n">
        <v>0</v>
      </c>
      <c r="J68" t="n">
        <v>0</v>
      </c>
      <c r="K68" t="n">
        <v>0</v>
      </c>
      <c r="L68" t="n">
        <v>0</v>
      </c>
      <c r="M68" t="n">
        <v>0</v>
      </c>
      <c r="N68" t="n">
        <v>0</v>
      </c>
      <c r="O68" t="n">
        <v>0</v>
      </c>
      <c r="P68" t="n">
        <v>0</v>
      </c>
      <c r="Q68" t="n">
        <v>0</v>
      </c>
      <c r="R68" s="2" t="inlineStr"/>
    </row>
    <row r="69" ht="15" customHeight="1">
      <c r="A69" t="inlineStr">
        <is>
          <t>A 13011-2026</t>
        </is>
      </c>
      <c r="B69" s="1" t="n">
        <v>46092.71887731482</v>
      </c>
      <c r="C69" s="1" t="n">
        <v>46188</v>
      </c>
      <c r="D69" t="inlineStr">
        <is>
          <t>UPPSALA LÄN</t>
        </is>
      </c>
      <c r="E69" t="inlineStr">
        <is>
          <t>KNIVSTA</t>
        </is>
      </c>
      <c r="F69" t="inlineStr">
        <is>
          <t>Holmen skog AB</t>
        </is>
      </c>
      <c r="G69" t="n">
        <v>1.9</v>
      </c>
      <c r="H69" t="n">
        <v>0</v>
      </c>
      <c r="I69" t="n">
        <v>0</v>
      </c>
      <c r="J69" t="n">
        <v>0</v>
      </c>
      <c r="K69" t="n">
        <v>0</v>
      </c>
      <c r="L69" t="n">
        <v>0</v>
      </c>
      <c r="M69" t="n">
        <v>0</v>
      </c>
      <c r="N69" t="n">
        <v>0</v>
      </c>
      <c r="O69" t="n">
        <v>0</v>
      </c>
      <c r="P69" t="n">
        <v>0</v>
      </c>
      <c r="Q69" t="n">
        <v>0</v>
      </c>
      <c r="R69" s="2" t="inlineStr"/>
      <c r="U69">
        <f>HYPERLINK("https://klasma.github.io/Logging_0330/knärot/A 13011-2026 karta knärot.png", "A 13011-2026")</f>
        <v/>
      </c>
      <c r="V69">
        <f>HYPERLINK("https://klasma.github.io/Logging_0330/klagomål/A 13011-2026 FSC-klagomål.docx", "A 13011-2026")</f>
        <v/>
      </c>
      <c r="W69">
        <f>HYPERLINK("https://klasma.github.io/Logging_0330/klagomålsmail/A 13011-2026 FSC-klagomål mail.docx", "A 13011-2026")</f>
        <v/>
      </c>
      <c r="X69">
        <f>HYPERLINK("https://klasma.github.io/Logging_0330/tillsyn/A 13011-2026 tillsynsbegäran.docx", "A 13011-2026")</f>
        <v/>
      </c>
      <c r="Y69">
        <f>HYPERLINK("https://klasma.github.io/Logging_0330/tillsynsmail/A 13011-2026 tillsynsbegäran mail.docx", "A 13011-2026")</f>
        <v/>
      </c>
    </row>
    <row r="70" ht="15" customHeight="1">
      <c r="A70" t="inlineStr">
        <is>
          <t>A 13013-2026</t>
        </is>
      </c>
      <c r="B70" s="1" t="n">
        <v>46092.7271412037</v>
      </c>
      <c r="C70" s="1" t="n">
        <v>46188</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34859-2025</t>
        </is>
      </c>
      <c r="B71" s="1" t="n">
        <v>45849.43511574074</v>
      </c>
      <c r="C71" s="1" t="n">
        <v>46188</v>
      </c>
      <c r="D71" t="inlineStr">
        <is>
          <t>UPPSALA LÄN</t>
        </is>
      </c>
      <c r="E71" t="inlineStr">
        <is>
          <t>KNIVSTA</t>
        </is>
      </c>
      <c r="F71" t="inlineStr">
        <is>
          <t>Holmen skog AB</t>
        </is>
      </c>
      <c r="G71" t="n">
        <v>6.1</v>
      </c>
      <c r="H71" t="n">
        <v>0</v>
      </c>
      <c r="I71" t="n">
        <v>0</v>
      </c>
      <c r="J71" t="n">
        <v>0</v>
      </c>
      <c r="K71" t="n">
        <v>0</v>
      </c>
      <c r="L71" t="n">
        <v>0</v>
      </c>
      <c r="M71" t="n">
        <v>0</v>
      </c>
      <c r="N71" t="n">
        <v>0</v>
      </c>
      <c r="O71" t="n">
        <v>0</v>
      </c>
      <c r="P71" t="n">
        <v>0</v>
      </c>
      <c r="Q71" t="n">
        <v>0</v>
      </c>
      <c r="R71" s="2" t="inlineStr"/>
    </row>
    <row r="72" ht="15" customHeight="1">
      <c r="A72" t="inlineStr">
        <is>
          <t>A 34864-2025</t>
        </is>
      </c>
      <c r="B72" s="1" t="n">
        <v>45849.44028935185</v>
      </c>
      <c r="C72" s="1" t="n">
        <v>46188</v>
      </c>
      <c r="D72" t="inlineStr">
        <is>
          <t>UPPSALA LÄN</t>
        </is>
      </c>
      <c r="E72" t="inlineStr">
        <is>
          <t>KNIVSTA</t>
        </is>
      </c>
      <c r="F72" t="inlineStr">
        <is>
          <t>Holmen skog AB</t>
        </is>
      </c>
      <c r="G72" t="n">
        <v>1.3</v>
      </c>
      <c r="H72" t="n">
        <v>0</v>
      </c>
      <c r="I72" t="n">
        <v>0</v>
      </c>
      <c r="J72" t="n">
        <v>0</v>
      </c>
      <c r="K72" t="n">
        <v>0</v>
      </c>
      <c r="L72" t="n">
        <v>0</v>
      </c>
      <c r="M72" t="n">
        <v>0</v>
      </c>
      <c r="N72" t="n">
        <v>0</v>
      </c>
      <c r="O72" t="n">
        <v>0</v>
      </c>
      <c r="P72" t="n">
        <v>0</v>
      </c>
      <c r="Q72" t="n">
        <v>0</v>
      </c>
      <c r="R72" s="2" t="inlineStr"/>
    </row>
    <row r="73" ht="15" customHeight="1">
      <c r="A73" t="inlineStr">
        <is>
          <t>A 13001-2026</t>
        </is>
      </c>
      <c r="B73" s="1" t="n">
        <v>46092.68502314815</v>
      </c>
      <c r="C73" s="1" t="n">
        <v>46188</v>
      </c>
      <c r="D73" t="inlineStr">
        <is>
          <t>UPPSALA LÄN</t>
        </is>
      </c>
      <c r="E73" t="inlineStr">
        <is>
          <t>KNIVSTA</t>
        </is>
      </c>
      <c r="F73" t="inlineStr">
        <is>
          <t>Holmen skog AB</t>
        </is>
      </c>
      <c r="G73" t="n">
        <v>2.9</v>
      </c>
      <c r="H73" t="n">
        <v>0</v>
      </c>
      <c r="I73" t="n">
        <v>0</v>
      </c>
      <c r="J73" t="n">
        <v>0</v>
      </c>
      <c r="K73" t="n">
        <v>0</v>
      </c>
      <c r="L73" t="n">
        <v>0</v>
      </c>
      <c r="M73" t="n">
        <v>0</v>
      </c>
      <c r="N73" t="n">
        <v>0</v>
      </c>
      <c r="O73" t="n">
        <v>0</v>
      </c>
      <c r="P73" t="n">
        <v>0</v>
      </c>
      <c r="Q73" t="n">
        <v>0</v>
      </c>
      <c r="R73" s="2" t="inlineStr"/>
    </row>
    <row r="74" ht="15" customHeight="1">
      <c r="A74" t="inlineStr">
        <is>
          <t>A 12991-2026</t>
        </is>
      </c>
      <c r="B74" s="1" t="n">
        <v>46092.66820601852</v>
      </c>
      <c r="C74" s="1" t="n">
        <v>46188</v>
      </c>
      <c r="D74" t="inlineStr">
        <is>
          <t>UPPSALA LÄN</t>
        </is>
      </c>
      <c r="E74" t="inlineStr">
        <is>
          <t>KNIVSTA</t>
        </is>
      </c>
      <c r="F74" t="inlineStr">
        <is>
          <t>Holmen skog AB</t>
        </is>
      </c>
      <c r="G74" t="n">
        <v>4.6</v>
      </c>
      <c r="H74" t="n">
        <v>0</v>
      </c>
      <c r="I74" t="n">
        <v>0</v>
      </c>
      <c r="J74" t="n">
        <v>0</v>
      </c>
      <c r="K74" t="n">
        <v>0</v>
      </c>
      <c r="L74" t="n">
        <v>0</v>
      </c>
      <c r="M74" t="n">
        <v>0</v>
      </c>
      <c r="N74" t="n">
        <v>0</v>
      </c>
      <c r="O74" t="n">
        <v>0</v>
      </c>
      <c r="P74" t="n">
        <v>0</v>
      </c>
      <c r="Q74" t="n">
        <v>0</v>
      </c>
      <c r="R74" s="2" t="inlineStr"/>
    </row>
    <row r="75" ht="15" customHeight="1">
      <c r="A75" t="inlineStr">
        <is>
          <t>A 13005-2026</t>
        </is>
      </c>
      <c r="B75" s="1" t="n">
        <v>46092.69429398148</v>
      </c>
      <c r="C75" s="1" t="n">
        <v>46188</v>
      </c>
      <c r="D75" t="inlineStr">
        <is>
          <t>UPPSALA LÄN</t>
        </is>
      </c>
      <c r="E75" t="inlineStr">
        <is>
          <t>KNIVSTA</t>
        </is>
      </c>
      <c r="F75" t="inlineStr">
        <is>
          <t>Holmen skog AB</t>
        </is>
      </c>
      <c r="G75" t="n">
        <v>3</v>
      </c>
      <c r="H75" t="n">
        <v>0</v>
      </c>
      <c r="I75" t="n">
        <v>0</v>
      </c>
      <c r="J75" t="n">
        <v>0</v>
      </c>
      <c r="K75" t="n">
        <v>0</v>
      </c>
      <c r="L75" t="n">
        <v>0</v>
      </c>
      <c r="M75" t="n">
        <v>0</v>
      </c>
      <c r="N75" t="n">
        <v>0</v>
      </c>
      <c r="O75" t="n">
        <v>0</v>
      </c>
      <c r="P75" t="n">
        <v>0</v>
      </c>
      <c r="Q75" t="n">
        <v>0</v>
      </c>
      <c r="R75" s="2" t="inlineStr"/>
    </row>
    <row r="76" ht="15" customHeight="1">
      <c r="A76" t="inlineStr">
        <is>
          <t>A 13016-2026</t>
        </is>
      </c>
      <c r="B76" s="1" t="n">
        <v>46092.73381944445</v>
      </c>
      <c r="C76" s="1" t="n">
        <v>46188</v>
      </c>
      <c r="D76" t="inlineStr">
        <is>
          <t>UPPSALA LÄN</t>
        </is>
      </c>
      <c r="E76" t="inlineStr">
        <is>
          <t>KNIVSTA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66284-2021</t>
        </is>
      </c>
      <c r="B77" s="1" t="n">
        <v>44518</v>
      </c>
      <c r="C77" s="1" t="n">
        <v>46188</v>
      </c>
      <c r="D77" t="inlineStr">
        <is>
          <t>UPPSALA LÄN</t>
        </is>
      </c>
      <c r="E77" t="inlineStr">
        <is>
          <t>KNIVSTA</t>
        </is>
      </c>
      <c r="G77" t="n">
        <v>6.9</v>
      </c>
      <c r="H77" t="n">
        <v>0</v>
      </c>
      <c r="I77" t="n">
        <v>0</v>
      </c>
      <c r="J77" t="n">
        <v>0</v>
      </c>
      <c r="K77" t="n">
        <v>0</v>
      </c>
      <c r="L77" t="n">
        <v>0</v>
      </c>
      <c r="M77" t="n">
        <v>0</v>
      </c>
      <c r="N77" t="n">
        <v>0</v>
      </c>
      <c r="O77" t="n">
        <v>0</v>
      </c>
      <c r="P77" t="n">
        <v>0</v>
      </c>
      <c r="Q77" t="n">
        <v>0</v>
      </c>
      <c r="R77" s="2" t="inlineStr"/>
    </row>
    <row r="78" ht="15" customHeight="1">
      <c r="A78" t="inlineStr">
        <is>
          <t>A 35318-2025</t>
        </is>
      </c>
      <c r="B78" s="1" t="n">
        <v>45854.47917824074</v>
      </c>
      <c r="C78" s="1" t="n">
        <v>46188</v>
      </c>
      <c r="D78" t="inlineStr">
        <is>
          <t>UPPSALA LÄN</t>
        </is>
      </c>
      <c r="E78" t="inlineStr">
        <is>
          <t>KNIVSTA</t>
        </is>
      </c>
      <c r="F78" t="inlineStr">
        <is>
          <t>Holmen skog AB</t>
        </is>
      </c>
      <c r="G78" t="n">
        <v>2.2</v>
      </c>
      <c r="H78" t="n">
        <v>0</v>
      </c>
      <c r="I78" t="n">
        <v>0</v>
      </c>
      <c r="J78" t="n">
        <v>0</v>
      </c>
      <c r="K78" t="n">
        <v>0</v>
      </c>
      <c r="L78" t="n">
        <v>0</v>
      </c>
      <c r="M78" t="n">
        <v>0</v>
      </c>
      <c r="N78" t="n">
        <v>0</v>
      </c>
      <c r="O78" t="n">
        <v>0</v>
      </c>
      <c r="P78" t="n">
        <v>0</v>
      </c>
      <c r="Q78" t="n">
        <v>0</v>
      </c>
      <c r="R78" s="2" t="inlineStr"/>
    </row>
    <row r="79" ht="15" customHeight="1">
      <c r="A79" t="inlineStr">
        <is>
          <t>A 32975-2021</t>
        </is>
      </c>
      <c r="B79" s="1" t="n">
        <v>44376</v>
      </c>
      <c r="C79" s="1" t="n">
        <v>46188</v>
      </c>
      <c r="D79" t="inlineStr">
        <is>
          <t>UPPSALA LÄN</t>
        </is>
      </c>
      <c r="E79" t="inlineStr">
        <is>
          <t>KNIVSTA</t>
        </is>
      </c>
      <c r="G79" t="n">
        <v>6.1</v>
      </c>
      <c r="H79" t="n">
        <v>0</v>
      </c>
      <c r="I79" t="n">
        <v>0</v>
      </c>
      <c r="J79" t="n">
        <v>0</v>
      </c>
      <c r="K79" t="n">
        <v>0</v>
      </c>
      <c r="L79" t="n">
        <v>0</v>
      </c>
      <c r="M79" t="n">
        <v>0</v>
      </c>
      <c r="N79" t="n">
        <v>0</v>
      </c>
      <c r="O79" t="n">
        <v>0</v>
      </c>
      <c r="P79" t="n">
        <v>0</v>
      </c>
      <c r="Q79" t="n">
        <v>0</v>
      </c>
      <c r="R79" s="2" t="inlineStr"/>
    </row>
    <row r="80" ht="15" customHeight="1">
      <c r="A80" t="inlineStr">
        <is>
          <t>A 36473-2025</t>
        </is>
      </c>
      <c r="B80" s="1" t="n">
        <v>45869.48333333333</v>
      </c>
      <c r="C80" s="1" t="n">
        <v>46188</v>
      </c>
      <c r="D80" t="inlineStr">
        <is>
          <t>UPPSALA LÄN</t>
        </is>
      </c>
      <c r="E80" t="inlineStr">
        <is>
          <t>KNIVSTA</t>
        </is>
      </c>
      <c r="G80" t="n">
        <v>1.4</v>
      </c>
      <c r="H80" t="n">
        <v>0</v>
      </c>
      <c r="I80" t="n">
        <v>0</v>
      </c>
      <c r="J80" t="n">
        <v>0</v>
      </c>
      <c r="K80" t="n">
        <v>0</v>
      </c>
      <c r="L80" t="n">
        <v>0</v>
      </c>
      <c r="M80" t="n">
        <v>0</v>
      </c>
      <c r="N80" t="n">
        <v>0</v>
      </c>
      <c r="O80" t="n">
        <v>0</v>
      </c>
      <c r="P80" t="n">
        <v>0</v>
      </c>
      <c r="Q80" t="n">
        <v>0</v>
      </c>
      <c r="R80" s="2" t="inlineStr"/>
    </row>
    <row r="81" ht="15" customHeight="1">
      <c r="A81" t="inlineStr">
        <is>
          <t>A 11847-2023</t>
        </is>
      </c>
      <c r="B81" s="1" t="n">
        <v>44995.33957175926</v>
      </c>
      <c r="C81" s="1" t="n">
        <v>46188</v>
      </c>
      <c r="D81" t="inlineStr">
        <is>
          <t>UPPSALA LÄN</t>
        </is>
      </c>
      <c r="E81" t="inlineStr">
        <is>
          <t>KNIVSTA</t>
        </is>
      </c>
      <c r="G81" t="n">
        <v>2.1</v>
      </c>
      <c r="H81" t="n">
        <v>0</v>
      </c>
      <c r="I81" t="n">
        <v>0</v>
      </c>
      <c r="J81" t="n">
        <v>0</v>
      </c>
      <c r="K81" t="n">
        <v>0</v>
      </c>
      <c r="L81" t="n">
        <v>0</v>
      </c>
      <c r="M81" t="n">
        <v>0</v>
      </c>
      <c r="N81" t="n">
        <v>0</v>
      </c>
      <c r="O81" t="n">
        <v>0</v>
      </c>
      <c r="P81" t="n">
        <v>0</v>
      </c>
      <c r="Q81" t="n">
        <v>0</v>
      </c>
      <c r="R81" s="2" t="inlineStr"/>
    </row>
    <row r="82" ht="15" customHeight="1">
      <c r="A82" t="inlineStr">
        <is>
          <t>A 23969-2026</t>
        </is>
      </c>
      <c r="B82" s="1" t="n">
        <v>46167.58450231481</v>
      </c>
      <c r="C82" s="1" t="n">
        <v>46188</v>
      </c>
      <c r="D82" t="inlineStr">
        <is>
          <t>UPPSALA LÄN</t>
        </is>
      </c>
      <c r="E82" t="inlineStr">
        <is>
          <t>KNIVSTA</t>
        </is>
      </c>
      <c r="G82" t="n">
        <v>2.1</v>
      </c>
      <c r="H82" t="n">
        <v>0</v>
      </c>
      <c r="I82" t="n">
        <v>0</v>
      </c>
      <c r="J82" t="n">
        <v>0</v>
      </c>
      <c r="K82" t="n">
        <v>0</v>
      </c>
      <c r="L82" t="n">
        <v>0</v>
      </c>
      <c r="M82" t="n">
        <v>0</v>
      </c>
      <c r="N82" t="n">
        <v>0</v>
      </c>
      <c r="O82" t="n">
        <v>0</v>
      </c>
      <c r="P82" t="n">
        <v>0</v>
      </c>
      <c r="Q82" t="n">
        <v>0</v>
      </c>
      <c r="R82" s="2" t="inlineStr"/>
    </row>
    <row r="83" ht="15" customHeight="1">
      <c r="A83" t="inlineStr">
        <is>
          <t>A 19774-2026</t>
        </is>
      </c>
      <c r="B83" s="1" t="n">
        <v>46135.43638888889</v>
      </c>
      <c r="C83" s="1" t="n">
        <v>46188</v>
      </c>
      <c r="D83" t="inlineStr">
        <is>
          <t>UPPSALA LÄN</t>
        </is>
      </c>
      <c r="E83" t="inlineStr">
        <is>
          <t>KNIVSTA</t>
        </is>
      </c>
      <c r="G83" t="n">
        <v>4.2</v>
      </c>
      <c r="H83" t="n">
        <v>0</v>
      </c>
      <c r="I83" t="n">
        <v>0</v>
      </c>
      <c r="J83" t="n">
        <v>0</v>
      </c>
      <c r="K83" t="n">
        <v>0</v>
      </c>
      <c r="L83" t="n">
        <v>0</v>
      </c>
      <c r="M83" t="n">
        <v>0</v>
      </c>
      <c r="N83" t="n">
        <v>0</v>
      </c>
      <c r="O83" t="n">
        <v>0</v>
      </c>
      <c r="P83" t="n">
        <v>0</v>
      </c>
      <c r="Q83" t="n">
        <v>0</v>
      </c>
      <c r="R83" s="2" t="inlineStr"/>
    </row>
    <row r="84" ht="15" customHeight="1">
      <c r="A84" t="inlineStr">
        <is>
          <t>A 30351-2022</t>
        </is>
      </c>
      <c r="B84" s="1" t="n">
        <v>44757</v>
      </c>
      <c r="C84" s="1" t="n">
        <v>46188</v>
      </c>
      <c r="D84" t="inlineStr">
        <is>
          <t>UPPSALA LÄN</t>
        </is>
      </c>
      <c r="E84" t="inlineStr">
        <is>
          <t>KNIVSTA</t>
        </is>
      </c>
      <c r="G84" t="n">
        <v>5.7</v>
      </c>
      <c r="H84" t="n">
        <v>0</v>
      </c>
      <c r="I84" t="n">
        <v>0</v>
      </c>
      <c r="J84" t="n">
        <v>0</v>
      </c>
      <c r="K84" t="n">
        <v>0</v>
      </c>
      <c r="L84" t="n">
        <v>0</v>
      </c>
      <c r="M84" t="n">
        <v>0</v>
      </c>
      <c r="N84" t="n">
        <v>0</v>
      </c>
      <c r="O84" t="n">
        <v>0</v>
      </c>
      <c r="P84" t="n">
        <v>0</v>
      </c>
      <c r="Q84" t="n">
        <v>0</v>
      </c>
      <c r="R84" s="2" t="inlineStr"/>
    </row>
    <row r="85" ht="15" customHeight="1">
      <c r="A85" t="inlineStr">
        <is>
          <t>A 31875-2022</t>
        </is>
      </c>
      <c r="B85" s="1" t="n">
        <v>44777</v>
      </c>
      <c r="C85" s="1" t="n">
        <v>46188</v>
      </c>
      <c r="D85" t="inlineStr">
        <is>
          <t>UPPSALA LÄN</t>
        </is>
      </c>
      <c r="E85" t="inlineStr">
        <is>
          <t>KNIVSTA</t>
        </is>
      </c>
      <c r="G85" t="n">
        <v>0.7</v>
      </c>
      <c r="H85" t="n">
        <v>0</v>
      </c>
      <c r="I85" t="n">
        <v>0</v>
      </c>
      <c r="J85" t="n">
        <v>0</v>
      </c>
      <c r="K85" t="n">
        <v>0</v>
      </c>
      <c r="L85" t="n">
        <v>0</v>
      </c>
      <c r="M85" t="n">
        <v>0</v>
      </c>
      <c r="N85" t="n">
        <v>0</v>
      </c>
      <c r="O85" t="n">
        <v>0</v>
      </c>
      <c r="P85" t="n">
        <v>0</v>
      </c>
      <c r="Q85" t="n">
        <v>0</v>
      </c>
      <c r="R85" s="2" t="inlineStr"/>
    </row>
    <row r="86" ht="15" customHeight="1">
      <c r="A86" t="inlineStr">
        <is>
          <t>A 51849-2023</t>
        </is>
      </c>
      <c r="B86" s="1" t="n">
        <v>45223.34391203704</v>
      </c>
      <c r="C86" s="1" t="n">
        <v>46188</v>
      </c>
      <c r="D86" t="inlineStr">
        <is>
          <t>UPPSALA LÄN</t>
        </is>
      </c>
      <c r="E86" t="inlineStr">
        <is>
          <t>KNIVSTA</t>
        </is>
      </c>
      <c r="G86" t="n">
        <v>16.3</v>
      </c>
      <c r="H86" t="n">
        <v>0</v>
      </c>
      <c r="I86" t="n">
        <v>0</v>
      </c>
      <c r="J86" t="n">
        <v>0</v>
      </c>
      <c r="K86" t="n">
        <v>0</v>
      </c>
      <c r="L86" t="n">
        <v>0</v>
      </c>
      <c r="M86" t="n">
        <v>0</v>
      </c>
      <c r="N86" t="n">
        <v>0</v>
      </c>
      <c r="O86" t="n">
        <v>0</v>
      </c>
      <c r="P86" t="n">
        <v>0</v>
      </c>
      <c r="Q86" t="n">
        <v>0</v>
      </c>
      <c r="R86" s="2" t="inlineStr"/>
    </row>
    <row r="87" ht="15" customHeight="1">
      <c r="A87" t="inlineStr">
        <is>
          <t>A 52666-2025</t>
        </is>
      </c>
      <c r="B87" s="1" t="n">
        <v>45955.74299768519</v>
      </c>
      <c r="C87" s="1" t="n">
        <v>46188</v>
      </c>
      <c r="D87" t="inlineStr">
        <is>
          <t>UPPSALA LÄN</t>
        </is>
      </c>
      <c r="E87" t="inlineStr">
        <is>
          <t>KNIVSTA</t>
        </is>
      </c>
      <c r="G87" t="n">
        <v>2.1</v>
      </c>
      <c r="H87" t="n">
        <v>0</v>
      </c>
      <c r="I87" t="n">
        <v>0</v>
      </c>
      <c r="J87" t="n">
        <v>0</v>
      </c>
      <c r="K87" t="n">
        <v>0</v>
      </c>
      <c r="L87" t="n">
        <v>0</v>
      </c>
      <c r="M87" t="n">
        <v>0</v>
      </c>
      <c r="N87" t="n">
        <v>0</v>
      </c>
      <c r="O87" t="n">
        <v>0</v>
      </c>
      <c r="P87" t="n">
        <v>0</v>
      </c>
      <c r="Q87" t="n">
        <v>0</v>
      </c>
      <c r="R87" s="2" t="inlineStr"/>
    </row>
    <row r="88" ht="15" customHeight="1">
      <c r="A88" t="inlineStr">
        <is>
          <t>A 66293-2021</t>
        </is>
      </c>
      <c r="B88" s="1" t="n">
        <v>44518</v>
      </c>
      <c r="C88" s="1" t="n">
        <v>46188</v>
      </c>
      <c r="D88" t="inlineStr">
        <is>
          <t>UPPSALA LÄN</t>
        </is>
      </c>
      <c r="E88" t="inlineStr">
        <is>
          <t>KNIVSTA</t>
        </is>
      </c>
      <c r="G88" t="n">
        <v>2.6</v>
      </c>
      <c r="H88" t="n">
        <v>0</v>
      </c>
      <c r="I88" t="n">
        <v>0</v>
      </c>
      <c r="J88" t="n">
        <v>0</v>
      </c>
      <c r="K88" t="n">
        <v>0</v>
      </c>
      <c r="L88" t="n">
        <v>0</v>
      </c>
      <c r="M88" t="n">
        <v>0</v>
      </c>
      <c r="N88" t="n">
        <v>0</v>
      </c>
      <c r="O88" t="n">
        <v>0</v>
      </c>
      <c r="P88" t="n">
        <v>0</v>
      </c>
      <c r="Q88" t="n">
        <v>0</v>
      </c>
      <c r="R88" s="2" t="inlineStr"/>
    </row>
    <row r="89" ht="15" customHeight="1">
      <c r="A89" t="inlineStr">
        <is>
          <t>A 45916-2022</t>
        </is>
      </c>
      <c r="B89" s="1" t="n">
        <v>44846</v>
      </c>
      <c r="C89" s="1" t="n">
        <v>46188</v>
      </c>
      <c r="D89" t="inlineStr">
        <is>
          <t>UPPSALA LÄN</t>
        </is>
      </c>
      <c r="E89" t="inlineStr">
        <is>
          <t>KNIVSTA</t>
        </is>
      </c>
      <c r="G89" t="n">
        <v>3.8</v>
      </c>
      <c r="H89" t="n">
        <v>0</v>
      </c>
      <c r="I89" t="n">
        <v>0</v>
      </c>
      <c r="J89" t="n">
        <v>0</v>
      </c>
      <c r="K89" t="n">
        <v>0</v>
      </c>
      <c r="L89" t="n">
        <v>0</v>
      </c>
      <c r="M89" t="n">
        <v>0</v>
      </c>
      <c r="N89" t="n">
        <v>0</v>
      </c>
      <c r="O89" t="n">
        <v>0</v>
      </c>
      <c r="P89" t="n">
        <v>0</v>
      </c>
      <c r="Q89" t="n">
        <v>0</v>
      </c>
      <c r="R89" s="2" t="inlineStr"/>
    </row>
    <row r="90" ht="15" customHeight="1">
      <c r="A90" t="inlineStr">
        <is>
          <t>A 2629-2025</t>
        </is>
      </c>
      <c r="B90" s="1" t="n">
        <v>45675.6953587963</v>
      </c>
      <c r="C90" s="1" t="n">
        <v>46188</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5320-2023</t>
        </is>
      </c>
      <c r="B91" s="1" t="n">
        <v>44959</v>
      </c>
      <c r="C91" s="1" t="n">
        <v>46188</v>
      </c>
      <c r="D91" t="inlineStr">
        <is>
          <t>UPPSALA LÄN</t>
        </is>
      </c>
      <c r="E91" t="inlineStr">
        <is>
          <t>KNIVSTA</t>
        </is>
      </c>
      <c r="G91" t="n">
        <v>1.5</v>
      </c>
      <c r="H91" t="n">
        <v>0</v>
      </c>
      <c r="I91" t="n">
        <v>0</v>
      </c>
      <c r="J91" t="n">
        <v>0</v>
      </c>
      <c r="K91" t="n">
        <v>0</v>
      </c>
      <c r="L91" t="n">
        <v>0</v>
      </c>
      <c r="M91" t="n">
        <v>0</v>
      </c>
      <c r="N91" t="n">
        <v>0</v>
      </c>
      <c r="O91" t="n">
        <v>0</v>
      </c>
      <c r="P91" t="n">
        <v>0</v>
      </c>
      <c r="Q91" t="n">
        <v>0</v>
      </c>
      <c r="R91" s="2" t="inlineStr"/>
    </row>
    <row r="92" ht="15" customHeight="1">
      <c r="A92" t="inlineStr">
        <is>
          <t>A 33974-2025</t>
        </is>
      </c>
      <c r="B92" s="1" t="n">
        <v>45843.305625</v>
      </c>
      <c r="C92" s="1" t="n">
        <v>46188</v>
      </c>
      <c r="D92" t="inlineStr">
        <is>
          <t>UPPSALA LÄN</t>
        </is>
      </c>
      <c r="E92" t="inlineStr">
        <is>
          <t>KNIVSTA</t>
        </is>
      </c>
      <c r="G92" t="n">
        <v>2.6</v>
      </c>
      <c r="H92" t="n">
        <v>0</v>
      </c>
      <c r="I92" t="n">
        <v>0</v>
      </c>
      <c r="J92" t="n">
        <v>0</v>
      </c>
      <c r="K92" t="n">
        <v>0</v>
      </c>
      <c r="L92" t="n">
        <v>0</v>
      </c>
      <c r="M92" t="n">
        <v>0</v>
      </c>
      <c r="N92" t="n">
        <v>0</v>
      </c>
      <c r="O92" t="n">
        <v>0</v>
      </c>
      <c r="P92" t="n">
        <v>0</v>
      </c>
      <c r="Q92" t="n">
        <v>0</v>
      </c>
      <c r="R92" s="2" t="inlineStr"/>
    </row>
    <row r="93" ht="15" customHeight="1">
      <c r="A93" t="inlineStr">
        <is>
          <t>A 20528-2026</t>
        </is>
      </c>
      <c r="B93" s="1" t="n">
        <v>46140.5575</v>
      </c>
      <c r="C93" s="1" t="n">
        <v>46188</v>
      </c>
      <c r="D93" t="inlineStr">
        <is>
          <t>UPPSALA LÄN</t>
        </is>
      </c>
      <c r="E93" t="inlineStr">
        <is>
          <t>KNIVSTA</t>
        </is>
      </c>
      <c r="G93" t="n">
        <v>5.7</v>
      </c>
      <c r="H93" t="n">
        <v>0</v>
      </c>
      <c r="I93" t="n">
        <v>0</v>
      </c>
      <c r="J93" t="n">
        <v>0</v>
      </c>
      <c r="K93" t="n">
        <v>0</v>
      </c>
      <c r="L93" t="n">
        <v>0</v>
      </c>
      <c r="M93" t="n">
        <v>0</v>
      </c>
      <c r="N93" t="n">
        <v>0</v>
      </c>
      <c r="O93" t="n">
        <v>0</v>
      </c>
      <c r="P93" t="n">
        <v>0</v>
      </c>
      <c r="Q93" t="n">
        <v>0</v>
      </c>
      <c r="R93" s="2" t="inlineStr"/>
    </row>
    <row r="94" ht="15" customHeight="1">
      <c r="A94" t="inlineStr">
        <is>
          <t>A 19777-2026</t>
        </is>
      </c>
      <c r="B94" s="1" t="n">
        <v>46135</v>
      </c>
      <c r="C94" s="1" t="n">
        <v>46188</v>
      </c>
      <c r="D94" t="inlineStr">
        <is>
          <t>UPPSALA LÄN</t>
        </is>
      </c>
      <c r="E94" t="inlineStr">
        <is>
          <t>KNIVSTA</t>
        </is>
      </c>
      <c r="G94" t="n">
        <v>1.9</v>
      </c>
      <c r="H94" t="n">
        <v>0</v>
      </c>
      <c r="I94" t="n">
        <v>0</v>
      </c>
      <c r="J94" t="n">
        <v>0</v>
      </c>
      <c r="K94" t="n">
        <v>0</v>
      </c>
      <c r="L94" t="n">
        <v>0</v>
      </c>
      <c r="M94" t="n">
        <v>0</v>
      </c>
      <c r="N94" t="n">
        <v>0</v>
      </c>
      <c r="O94" t="n">
        <v>0</v>
      </c>
      <c r="P94" t="n">
        <v>0</v>
      </c>
      <c r="Q94" t="n">
        <v>0</v>
      </c>
      <c r="R94" s="2" t="inlineStr"/>
    </row>
    <row r="95" ht="15" customHeight="1">
      <c r="A95" t="inlineStr">
        <is>
          <t>A 11452-2023</t>
        </is>
      </c>
      <c r="B95" s="1" t="n">
        <v>44993</v>
      </c>
      <c r="C95" s="1" t="n">
        <v>46188</v>
      </c>
      <c r="D95" t="inlineStr">
        <is>
          <t>UPPSALA LÄN</t>
        </is>
      </c>
      <c r="E95" t="inlineStr">
        <is>
          <t>KNIVSTA</t>
        </is>
      </c>
      <c r="G95" t="n">
        <v>2.5</v>
      </c>
      <c r="H95" t="n">
        <v>0</v>
      </c>
      <c r="I95" t="n">
        <v>0</v>
      </c>
      <c r="J95" t="n">
        <v>0</v>
      </c>
      <c r="K95" t="n">
        <v>0</v>
      </c>
      <c r="L95" t="n">
        <v>0</v>
      </c>
      <c r="M95" t="n">
        <v>0</v>
      </c>
      <c r="N95" t="n">
        <v>0</v>
      </c>
      <c r="O95" t="n">
        <v>0</v>
      </c>
      <c r="P95" t="n">
        <v>0</v>
      </c>
      <c r="Q95" t="n">
        <v>0</v>
      </c>
      <c r="R95" s="2" t="inlineStr"/>
    </row>
    <row r="96" ht="15" customHeight="1">
      <c r="A96" t="inlineStr">
        <is>
          <t>A 30627-2023</t>
        </is>
      </c>
      <c r="B96" s="1" t="n">
        <v>45112</v>
      </c>
      <c r="C96" s="1" t="n">
        <v>46188</v>
      </c>
      <c r="D96" t="inlineStr">
        <is>
          <t>UPPSALA LÄN</t>
        </is>
      </c>
      <c r="E96" t="inlineStr">
        <is>
          <t>KNIVSTA</t>
        </is>
      </c>
      <c r="F96" t="inlineStr">
        <is>
          <t>Holmen skog AB</t>
        </is>
      </c>
      <c r="G96" t="n">
        <v>1.6</v>
      </c>
      <c r="H96" t="n">
        <v>0</v>
      </c>
      <c r="I96" t="n">
        <v>0</v>
      </c>
      <c r="J96" t="n">
        <v>0</v>
      </c>
      <c r="K96" t="n">
        <v>0</v>
      </c>
      <c r="L96" t="n">
        <v>0</v>
      </c>
      <c r="M96" t="n">
        <v>0</v>
      </c>
      <c r="N96" t="n">
        <v>0</v>
      </c>
      <c r="O96" t="n">
        <v>0</v>
      </c>
      <c r="P96" t="n">
        <v>0</v>
      </c>
      <c r="Q96" t="n">
        <v>0</v>
      </c>
      <c r="R96" s="2" t="inlineStr"/>
    </row>
    <row r="97" ht="15" customHeight="1">
      <c r="A97" t="inlineStr">
        <is>
          <t>A 43908-2023</t>
        </is>
      </c>
      <c r="B97" s="1" t="n">
        <v>45187</v>
      </c>
      <c r="C97" s="1" t="n">
        <v>46188</v>
      </c>
      <c r="D97" t="inlineStr">
        <is>
          <t>UPPSALA LÄN</t>
        </is>
      </c>
      <c r="E97" t="inlineStr">
        <is>
          <t>KNIVSTA</t>
        </is>
      </c>
      <c r="F97" t="inlineStr">
        <is>
          <t>Kyrkan</t>
        </is>
      </c>
      <c r="G97" t="n">
        <v>1.7</v>
      </c>
      <c r="H97" t="n">
        <v>0</v>
      </c>
      <c r="I97" t="n">
        <v>0</v>
      </c>
      <c r="J97" t="n">
        <v>0</v>
      </c>
      <c r="K97" t="n">
        <v>0</v>
      </c>
      <c r="L97" t="n">
        <v>0</v>
      </c>
      <c r="M97" t="n">
        <v>0</v>
      </c>
      <c r="N97" t="n">
        <v>0</v>
      </c>
      <c r="O97" t="n">
        <v>0</v>
      </c>
      <c r="P97" t="n">
        <v>0</v>
      </c>
      <c r="Q97" t="n">
        <v>0</v>
      </c>
      <c r="R97" s="2" t="inlineStr"/>
    </row>
    <row r="98" ht="15" customHeight="1">
      <c r="A98" t="inlineStr">
        <is>
          <t>A 8343-2024</t>
        </is>
      </c>
      <c r="B98" s="1" t="n">
        <v>45352</v>
      </c>
      <c r="C98" s="1" t="n">
        <v>46188</v>
      </c>
      <c r="D98" t="inlineStr">
        <is>
          <t>UPPSALA LÄN</t>
        </is>
      </c>
      <c r="E98" t="inlineStr">
        <is>
          <t>KNIVSTA</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60885-2021</t>
        </is>
      </c>
      <c r="B99" s="1" t="n">
        <v>44497</v>
      </c>
      <c r="C99" s="1" t="n">
        <v>46188</v>
      </c>
      <c r="D99" t="inlineStr">
        <is>
          <t>UPPSALA LÄN</t>
        </is>
      </c>
      <c r="E99" t="inlineStr">
        <is>
          <t>KNIVSTA</t>
        </is>
      </c>
      <c r="G99" t="n">
        <v>1.5</v>
      </c>
      <c r="H99" t="n">
        <v>0</v>
      </c>
      <c r="I99" t="n">
        <v>0</v>
      </c>
      <c r="J99" t="n">
        <v>0</v>
      </c>
      <c r="K99" t="n">
        <v>0</v>
      </c>
      <c r="L99" t="n">
        <v>0</v>
      </c>
      <c r="M99" t="n">
        <v>0</v>
      </c>
      <c r="N99" t="n">
        <v>0</v>
      </c>
      <c r="O99" t="n">
        <v>0</v>
      </c>
      <c r="P99" t="n">
        <v>0</v>
      </c>
      <c r="Q99" t="n">
        <v>0</v>
      </c>
      <c r="R99" s="2" t="inlineStr"/>
    </row>
    <row r="100" ht="15" customHeight="1">
      <c r="A100" t="inlineStr">
        <is>
          <t>A 19676-2025</t>
        </is>
      </c>
      <c r="B100" s="1" t="n">
        <v>45770</v>
      </c>
      <c r="C100" s="1" t="n">
        <v>46188</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13697-2024</t>
        </is>
      </c>
      <c r="B101" s="1" t="n">
        <v>45390</v>
      </c>
      <c r="C101" s="1" t="n">
        <v>46188</v>
      </c>
      <c r="D101" t="inlineStr">
        <is>
          <t>UPPSALA LÄN</t>
        </is>
      </c>
      <c r="E101" t="inlineStr">
        <is>
          <t>KNIVSTA</t>
        </is>
      </c>
      <c r="F101" t="inlineStr">
        <is>
          <t>Holmen skog AB</t>
        </is>
      </c>
      <c r="G101" t="n">
        <v>1.3</v>
      </c>
      <c r="H101" t="n">
        <v>0</v>
      </c>
      <c r="I101" t="n">
        <v>0</v>
      </c>
      <c r="J101" t="n">
        <v>0</v>
      </c>
      <c r="K101" t="n">
        <v>0</v>
      </c>
      <c r="L101" t="n">
        <v>0</v>
      </c>
      <c r="M101" t="n">
        <v>0</v>
      </c>
      <c r="N101" t="n">
        <v>0</v>
      </c>
      <c r="O101" t="n">
        <v>0</v>
      </c>
      <c r="P101" t="n">
        <v>0</v>
      </c>
      <c r="Q101" t="n">
        <v>0</v>
      </c>
      <c r="R101" s="2" t="inlineStr"/>
    </row>
    <row r="102" ht="15" customHeight="1">
      <c r="A102" t="inlineStr">
        <is>
          <t>A 66305-2021</t>
        </is>
      </c>
      <c r="B102" s="1" t="n">
        <v>44518</v>
      </c>
      <c r="C102" s="1" t="n">
        <v>46188</v>
      </c>
      <c r="D102" t="inlineStr">
        <is>
          <t>UPPSALA LÄN</t>
        </is>
      </c>
      <c r="E102" t="inlineStr">
        <is>
          <t>KNIVSTA</t>
        </is>
      </c>
      <c r="G102" t="n">
        <v>8.300000000000001</v>
      </c>
      <c r="H102" t="n">
        <v>0</v>
      </c>
      <c r="I102" t="n">
        <v>0</v>
      </c>
      <c r="J102" t="n">
        <v>0</v>
      </c>
      <c r="K102" t="n">
        <v>0</v>
      </c>
      <c r="L102" t="n">
        <v>0</v>
      </c>
      <c r="M102" t="n">
        <v>0</v>
      </c>
      <c r="N102" t="n">
        <v>0</v>
      </c>
      <c r="O102" t="n">
        <v>0</v>
      </c>
      <c r="P102" t="n">
        <v>0</v>
      </c>
      <c r="Q102" t="n">
        <v>0</v>
      </c>
      <c r="R102" s="2" t="inlineStr"/>
    </row>
    <row r="103" ht="15" customHeight="1">
      <c r="A103" t="inlineStr">
        <is>
          <t>A 1629-2024</t>
        </is>
      </c>
      <c r="B103" s="1" t="n">
        <v>45306</v>
      </c>
      <c r="C103" s="1" t="n">
        <v>46188</v>
      </c>
      <c r="D103" t="inlineStr">
        <is>
          <t>UPPSALA LÄN</t>
        </is>
      </c>
      <c r="E103" t="inlineStr">
        <is>
          <t>KNIVSTA</t>
        </is>
      </c>
      <c r="F103" t="inlineStr">
        <is>
          <t>Holmen skog AB</t>
        </is>
      </c>
      <c r="G103" t="n">
        <v>3.6</v>
      </c>
      <c r="H103" t="n">
        <v>0</v>
      </c>
      <c r="I103" t="n">
        <v>0</v>
      </c>
      <c r="J103" t="n">
        <v>0</v>
      </c>
      <c r="K103" t="n">
        <v>0</v>
      </c>
      <c r="L103" t="n">
        <v>0</v>
      </c>
      <c r="M103" t="n">
        <v>0</v>
      </c>
      <c r="N103" t="n">
        <v>0</v>
      </c>
      <c r="O103" t="n">
        <v>0</v>
      </c>
      <c r="P103" t="n">
        <v>0</v>
      </c>
      <c r="Q103" t="n">
        <v>0</v>
      </c>
      <c r="R103" s="2" t="inlineStr"/>
    </row>
    <row r="104">
      <c r="A104" t="inlineStr">
        <is>
          <t>A 30764-2023</t>
        </is>
      </c>
      <c r="B104" s="1" t="n">
        <v>45112</v>
      </c>
      <c r="C104" s="1" t="n">
        <v>46188</v>
      </c>
      <c r="D104" t="inlineStr">
        <is>
          <t>UPPSALA LÄN</t>
        </is>
      </c>
      <c r="E104" t="inlineStr">
        <is>
          <t>KNIVSTA</t>
        </is>
      </c>
      <c r="F104" t="inlineStr">
        <is>
          <t>Holmen skog AB</t>
        </is>
      </c>
      <c r="G104" t="n">
        <v>0.9</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2026-06-15T09:30:48Z</dcterms:created>
  <dcterms:modified xmlns:dcterms="http://purl.org/dc/terms/" xmlns:xsi="http://www.w3.org/2001/XMLSchema-instance" xsi:type="dcterms:W3CDTF">2026-06-15T09:30:48Z</dcterms:modified>
</cp:coreProperties>
</file>