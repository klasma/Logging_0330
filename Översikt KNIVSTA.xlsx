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45934</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45934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45934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45934</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45934</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45934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16407-2025</t>
        </is>
      </c>
      <c r="B10" s="1" t="n">
        <v>45751.45120370371</v>
      </c>
      <c r="C10" s="1" t="n">
        <v>45934</v>
      </c>
      <c r="D10" t="inlineStr">
        <is>
          <t>UPPSALA LÄN</t>
        </is>
      </c>
      <c r="E10" t="inlineStr">
        <is>
          <t>KNIVSTA</t>
        </is>
      </c>
      <c r="G10" t="n">
        <v>1.1</v>
      </c>
      <c r="H10" t="n">
        <v>1</v>
      </c>
      <c r="I10" t="n">
        <v>0</v>
      </c>
      <c r="J10" t="n">
        <v>0</v>
      </c>
      <c r="K10" t="n">
        <v>0</v>
      </c>
      <c r="L10" t="n">
        <v>0</v>
      </c>
      <c r="M10" t="n">
        <v>0</v>
      </c>
      <c r="N10" t="n">
        <v>0</v>
      </c>
      <c r="O10" t="n">
        <v>0</v>
      </c>
      <c r="P10" t="n">
        <v>0</v>
      </c>
      <c r="Q10" t="n">
        <v>1</v>
      </c>
      <c r="R10" s="2" t="inlineStr">
        <is>
          <t>Blåsippa</t>
        </is>
      </c>
      <c r="S10">
        <f>HYPERLINK("https://klasma.github.io/Logging_0330/artfynd/A 16407-2025 artfynd.xlsx", "A 16407-2025")</f>
        <v/>
      </c>
      <c r="T10">
        <f>HYPERLINK("https://klasma.github.io/Logging_0330/kartor/A 16407-2025 karta.png", "A 16407-2025")</f>
        <v/>
      </c>
      <c r="V10">
        <f>HYPERLINK("https://klasma.github.io/Logging_0330/klagomål/A 16407-2025 FSC-klagomål.docx", "A 16407-2025")</f>
        <v/>
      </c>
      <c r="W10">
        <f>HYPERLINK("https://klasma.github.io/Logging_0330/klagomålsmail/A 16407-2025 FSC-klagomål mail.docx", "A 16407-2025")</f>
        <v/>
      </c>
      <c r="X10">
        <f>HYPERLINK("https://klasma.github.io/Logging_0330/tillsyn/A 16407-2025 tillsynsbegäran.docx", "A 16407-2025")</f>
        <v/>
      </c>
      <c r="Y10">
        <f>HYPERLINK("https://klasma.github.io/Logging_0330/tillsynsmail/A 16407-2025 tillsynsbegäran mail.docx", "A 16407-2025")</f>
        <v/>
      </c>
    </row>
    <row r="11" ht="15" customHeight="1">
      <c r="A11" t="inlineStr">
        <is>
          <t>A 21831-2024</t>
        </is>
      </c>
      <c r="B11" s="1" t="n">
        <v>45442</v>
      </c>
      <c r="C11" s="1" t="n">
        <v>45934</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16973-2021</t>
        </is>
      </c>
      <c r="B12" s="1" t="n">
        <v>44295</v>
      </c>
      <c r="C12" s="1" t="n">
        <v>45934</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33770-2023</t>
        </is>
      </c>
      <c r="B13" s="1" t="n">
        <v>45133</v>
      </c>
      <c r="C13" s="1" t="n">
        <v>45934</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45934</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45934</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45934</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45934</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45934</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45934</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45934</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45934</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45934</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45934</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45934</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45934</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45934</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45934</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45934</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45934</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45934</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45934</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45934</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45934</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45934</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45934</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5455-2025</t>
        </is>
      </c>
      <c r="B36" s="1" t="n">
        <v>45693</v>
      </c>
      <c r="C36" s="1" t="n">
        <v>45934</v>
      </c>
      <c r="D36" t="inlineStr">
        <is>
          <t>UPPSALA LÄN</t>
        </is>
      </c>
      <c r="E36" t="inlineStr">
        <is>
          <t>KNIVSTA</t>
        </is>
      </c>
      <c r="G36" t="n">
        <v>17.1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45934</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34078-2022</t>
        </is>
      </c>
      <c r="B38" s="1" t="n">
        <v>44791</v>
      </c>
      <c r="C38" s="1" t="n">
        <v>45934</v>
      </c>
      <c r="D38" t="inlineStr">
        <is>
          <t>UPPSALA LÄN</t>
        </is>
      </c>
      <c r="E38" t="inlineStr">
        <is>
          <t>KNIVSTA</t>
        </is>
      </c>
      <c r="F38" t="inlineStr">
        <is>
          <t>Övriga statliga verk och myndigheter</t>
        </is>
      </c>
      <c r="G38" t="n">
        <v>1.8</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45934</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43908-2023</t>
        </is>
      </c>
      <c r="B40" s="1" t="n">
        <v>45187</v>
      </c>
      <c r="C40" s="1" t="n">
        <v>45934</v>
      </c>
      <c r="D40" t="inlineStr">
        <is>
          <t>UPPSALA LÄN</t>
        </is>
      </c>
      <c r="E40" t="inlineStr">
        <is>
          <t>KNIVSTA</t>
        </is>
      </c>
      <c r="F40" t="inlineStr">
        <is>
          <t>Kyrkan</t>
        </is>
      </c>
      <c r="G40" t="n">
        <v>1.7</v>
      </c>
      <c r="H40" t="n">
        <v>0</v>
      </c>
      <c r="I40" t="n">
        <v>0</v>
      </c>
      <c r="J40" t="n">
        <v>0</v>
      </c>
      <c r="K40" t="n">
        <v>0</v>
      </c>
      <c r="L40" t="n">
        <v>0</v>
      </c>
      <c r="M40" t="n">
        <v>0</v>
      </c>
      <c r="N40" t="n">
        <v>0</v>
      </c>
      <c r="O40" t="n">
        <v>0</v>
      </c>
      <c r="P40" t="n">
        <v>0</v>
      </c>
      <c r="Q40" t="n">
        <v>0</v>
      </c>
      <c r="R40" s="2" t="inlineStr"/>
    </row>
    <row r="41" ht="15" customHeight="1">
      <c r="A41" t="inlineStr">
        <is>
          <t>A 66256-2021</t>
        </is>
      </c>
      <c r="B41" s="1" t="n">
        <v>44518</v>
      </c>
      <c r="C41" s="1" t="n">
        <v>45934</v>
      </c>
      <c r="D41" t="inlineStr">
        <is>
          <t>UPPSALA LÄN</t>
        </is>
      </c>
      <c r="E41" t="inlineStr">
        <is>
          <t>KNIVSTA</t>
        </is>
      </c>
      <c r="G41" t="n">
        <v>0.3</v>
      </c>
      <c r="H41" t="n">
        <v>0</v>
      </c>
      <c r="I41" t="n">
        <v>0</v>
      </c>
      <c r="J41" t="n">
        <v>0</v>
      </c>
      <c r="K41" t="n">
        <v>0</v>
      </c>
      <c r="L41" t="n">
        <v>0</v>
      </c>
      <c r="M41" t="n">
        <v>0</v>
      </c>
      <c r="N41" t="n">
        <v>0</v>
      </c>
      <c r="O41" t="n">
        <v>0</v>
      </c>
      <c r="P41" t="n">
        <v>0</v>
      </c>
      <c r="Q41" t="n">
        <v>0</v>
      </c>
      <c r="R41" s="2" t="inlineStr"/>
    </row>
    <row r="42" ht="15" customHeight="1">
      <c r="A42" t="inlineStr">
        <is>
          <t>A 1791-2024</t>
        </is>
      </c>
      <c r="B42" s="1" t="n">
        <v>45307.574375</v>
      </c>
      <c r="C42" s="1" t="n">
        <v>45934</v>
      </c>
      <c r="D42" t="inlineStr">
        <is>
          <t>UPPSALA LÄN</t>
        </is>
      </c>
      <c r="E42" t="inlineStr">
        <is>
          <t>KNIVSTA</t>
        </is>
      </c>
      <c r="G42" t="n">
        <v>1.4</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45934</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45934</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45934</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44869-2025</t>
        </is>
      </c>
      <c r="B46" s="1" t="n">
        <v>45918.46758101852</v>
      </c>
      <c r="C46" s="1" t="n">
        <v>45934</v>
      </c>
      <c r="D46" t="inlineStr">
        <is>
          <t>UPPSALA LÄN</t>
        </is>
      </c>
      <c r="E46" t="inlineStr">
        <is>
          <t>KNIVSTA</t>
        </is>
      </c>
      <c r="G46" t="n">
        <v>17.1</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45934</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45934</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45934</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19676-2025</t>
        </is>
      </c>
      <c r="B50" s="1" t="n">
        <v>45770</v>
      </c>
      <c r="C50" s="1" t="n">
        <v>45934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45453-2025</t>
        </is>
      </c>
      <c r="B51" s="1" t="n">
        <v>45922.48702546296</v>
      </c>
      <c r="C51" s="1" t="n">
        <v>45934</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14267-2025</t>
        </is>
      </c>
      <c r="B52" s="1" t="n">
        <v>45740.63686342593</v>
      </c>
      <c r="C52" s="1" t="n">
        <v>45934</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23239-2023</t>
        </is>
      </c>
      <c r="B53" s="1" t="n">
        <v>45075</v>
      </c>
      <c r="C53" s="1" t="n">
        <v>45934</v>
      </c>
      <c r="D53" t="inlineStr">
        <is>
          <t>UPPSALA LÄN</t>
        </is>
      </c>
      <c r="E53" t="inlineStr">
        <is>
          <t>KNIVSTA</t>
        </is>
      </c>
      <c r="G53" t="n">
        <v>1.8</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45934</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45934</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13040-2025</t>
        </is>
      </c>
      <c r="B56" s="1" t="n">
        <v>45734.58258101852</v>
      </c>
      <c r="C56" s="1" t="n">
        <v>45934</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45934</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13697-2024</t>
        </is>
      </c>
      <c r="B58" s="1" t="n">
        <v>45390</v>
      </c>
      <c r="C58" s="1" t="n">
        <v>45934</v>
      </c>
      <c r="D58" t="inlineStr">
        <is>
          <t>UPPSALA LÄN</t>
        </is>
      </c>
      <c r="E58" t="inlineStr">
        <is>
          <t>KNIVSTA</t>
        </is>
      </c>
      <c r="F58" t="inlineStr">
        <is>
          <t>Holmen skog AB</t>
        </is>
      </c>
      <c r="G58" t="n">
        <v>1.3</v>
      </c>
      <c r="H58" t="n">
        <v>0</v>
      </c>
      <c r="I58" t="n">
        <v>0</v>
      </c>
      <c r="J58" t="n">
        <v>0</v>
      </c>
      <c r="K58" t="n">
        <v>0</v>
      </c>
      <c r="L58" t="n">
        <v>0</v>
      </c>
      <c r="M58" t="n">
        <v>0</v>
      </c>
      <c r="N58" t="n">
        <v>0</v>
      </c>
      <c r="O58" t="n">
        <v>0</v>
      </c>
      <c r="P58" t="n">
        <v>0</v>
      </c>
      <c r="Q58" t="n">
        <v>0</v>
      </c>
      <c r="R58" s="2" t="inlineStr"/>
    </row>
    <row r="59" ht="15" customHeight="1">
      <c r="A59" t="inlineStr">
        <is>
          <t>A 5402-2023</t>
        </is>
      </c>
      <c r="B59" s="1" t="n">
        <v>44959</v>
      </c>
      <c r="C59" s="1" t="n">
        <v>45934</v>
      </c>
      <c r="D59" t="inlineStr">
        <is>
          <t>UPPSALA LÄN</t>
        </is>
      </c>
      <c r="E59" t="inlineStr">
        <is>
          <t>KNIVSTA</t>
        </is>
      </c>
      <c r="G59" t="n">
        <v>4.3</v>
      </c>
      <c r="H59" t="n">
        <v>0</v>
      </c>
      <c r="I59" t="n">
        <v>0</v>
      </c>
      <c r="J59" t="n">
        <v>0</v>
      </c>
      <c r="K59" t="n">
        <v>0</v>
      </c>
      <c r="L59" t="n">
        <v>0</v>
      </c>
      <c r="M59" t="n">
        <v>0</v>
      </c>
      <c r="N59" t="n">
        <v>0</v>
      </c>
      <c r="O59" t="n">
        <v>0</v>
      </c>
      <c r="P59" t="n">
        <v>0</v>
      </c>
      <c r="Q59" t="n">
        <v>0</v>
      </c>
      <c r="R59" s="2" t="inlineStr"/>
    </row>
    <row r="60" ht="15" customHeight="1">
      <c r="A60" t="inlineStr">
        <is>
          <t>A 66305-2021</t>
        </is>
      </c>
      <c r="B60" s="1" t="n">
        <v>44518</v>
      </c>
      <c r="C60" s="1" t="n">
        <v>45934</v>
      </c>
      <c r="D60" t="inlineStr">
        <is>
          <t>UPPSALA LÄN</t>
        </is>
      </c>
      <c r="E60" t="inlineStr">
        <is>
          <t>KNIVSTA</t>
        </is>
      </c>
      <c r="G60" t="n">
        <v>8.300000000000001</v>
      </c>
      <c r="H60" t="n">
        <v>0</v>
      </c>
      <c r="I60" t="n">
        <v>0</v>
      </c>
      <c r="J60" t="n">
        <v>0</v>
      </c>
      <c r="K60" t="n">
        <v>0</v>
      </c>
      <c r="L60" t="n">
        <v>0</v>
      </c>
      <c r="M60" t="n">
        <v>0</v>
      </c>
      <c r="N60" t="n">
        <v>0</v>
      </c>
      <c r="O60" t="n">
        <v>0</v>
      </c>
      <c r="P60" t="n">
        <v>0</v>
      </c>
      <c r="Q60" t="n">
        <v>0</v>
      </c>
      <c r="R60" s="2" t="inlineStr"/>
    </row>
    <row r="61" ht="15" customHeight="1">
      <c r="A61" t="inlineStr">
        <is>
          <t>A 66284-2021</t>
        </is>
      </c>
      <c r="B61" s="1" t="n">
        <v>44518</v>
      </c>
      <c r="C61" s="1" t="n">
        <v>45934</v>
      </c>
      <c r="D61" t="inlineStr">
        <is>
          <t>UPPSALA LÄN</t>
        </is>
      </c>
      <c r="E61" t="inlineStr">
        <is>
          <t>KNIVSTA</t>
        </is>
      </c>
      <c r="G61" t="n">
        <v>6.9</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45934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32975-2021</t>
        </is>
      </c>
      <c r="B63" s="1" t="n">
        <v>44376</v>
      </c>
      <c r="C63" s="1" t="n">
        <v>45934</v>
      </c>
      <c r="D63" t="inlineStr">
        <is>
          <t>UPPSALA LÄN</t>
        </is>
      </c>
      <c r="E63" t="inlineStr">
        <is>
          <t>KNIVSTA</t>
        </is>
      </c>
      <c r="G63" t="n">
        <v>6.1</v>
      </c>
      <c r="H63" t="n">
        <v>0</v>
      </c>
      <c r="I63" t="n">
        <v>0</v>
      </c>
      <c r="J63" t="n">
        <v>0</v>
      </c>
      <c r="K63" t="n">
        <v>0</v>
      </c>
      <c r="L63" t="n">
        <v>0</v>
      </c>
      <c r="M63" t="n">
        <v>0</v>
      </c>
      <c r="N63" t="n">
        <v>0</v>
      </c>
      <c r="O63" t="n">
        <v>0</v>
      </c>
      <c r="P63" t="n">
        <v>0</v>
      </c>
      <c r="Q63" t="n">
        <v>0</v>
      </c>
      <c r="R63" s="2" t="inlineStr"/>
    </row>
    <row r="64" ht="15" customHeight="1">
      <c r="A64" t="inlineStr">
        <is>
          <t>A 1629-2024</t>
        </is>
      </c>
      <c r="B64" s="1" t="n">
        <v>45306</v>
      </c>
      <c r="C64" s="1" t="n">
        <v>45934</v>
      </c>
      <c r="D64" t="inlineStr">
        <is>
          <t>UPPSALA LÄN</t>
        </is>
      </c>
      <c r="E64" t="inlineStr">
        <is>
          <t>KNIVSTA</t>
        </is>
      </c>
      <c r="F64" t="inlineStr">
        <is>
          <t>Holmen skog AB</t>
        </is>
      </c>
      <c r="G64" t="n">
        <v>3.6</v>
      </c>
      <c r="H64" t="n">
        <v>0</v>
      </c>
      <c r="I64" t="n">
        <v>0</v>
      </c>
      <c r="J64" t="n">
        <v>0</v>
      </c>
      <c r="K64" t="n">
        <v>0</v>
      </c>
      <c r="L64" t="n">
        <v>0</v>
      </c>
      <c r="M64" t="n">
        <v>0</v>
      </c>
      <c r="N64" t="n">
        <v>0</v>
      </c>
      <c r="O64" t="n">
        <v>0</v>
      </c>
      <c r="P64" t="n">
        <v>0</v>
      </c>
      <c r="Q64" t="n">
        <v>0</v>
      </c>
      <c r="R64" s="2" t="inlineStr"/>
    </row>
    <row r="65" ht="15" customHeight="1">
      <c r="A65" t="inlineStr">
        <is>
          <t>A 16773-2022</t>
        </is>
      </c>
      <c r="B65" s="1" t="n">
        <v>44673</v>
      </c>
      <c r="C65" s="1" t="n">
        <v>45934</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30764-2023</t>
        </is>
      </c>
      <c r="B66" s="1" t="n">
        <v>45112</v>
      </c>
      <c r="C66" s="1" t="n">
        <v>45934</v>
      </c>
      <c r="D66" t="inlineStr">
        <is>
          <t>UPPSALA LÄN</t>
        </is>
      </c>
      <c r="E66" t="inlineStr">
        <is>
          <t>KNIVSTA</t>
        </is>
      </c>
      <c r="F66" t="inlineStr">
        <is>
          <t>Holmen skog AB</t>
        </is>
      </c>
      <c r="G66" t="n">
        <v>0.9</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45934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47803-2025</t>
        </is>
      </c>
      <c r="B68" s="1" t="n">
        <v>45931.87996527777</v>
      </c>
      <c r="C68" s="1" t="n">
        <v>45934</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45934</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2171-2024</t>
        </is>
      </c>
      <c r="B70" s="1" t="n">
        <v>45309</v>
      </c>
      <c r="C70" s="1" t="n">
        <v>45934</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16396-2025</t>
        </is>
      </c>
      <c r="B71" s="1" t="n">
        <v>45751.44219907407</v>
      </c>
      <c r="C71" s="1" t="n">
        <v>45934</v>
      </c>
      <c r="D71" t="inlineStr">
        <is>
          <t>UPPSALA LÄN</t>
        </is>
      </c>
      <c r="E71" t="inlineStr">
        <is>
          <t>KNIVSTA</t>
        </is>
      </c>
      <c r="G71" t="n">
        <v>5.1</v>
      </c>
      <c r="H71" t="n">
        <v>0</v>
      </c>
      <c r="I71" t="n">
        <v>0</v>
      </c>
      <c r="J71" t="n">
        <v>0</v>
      </c>
      <c r="K71" t="n">
        <v>0</v>
      </c>
      <c r="L71" t="n">
        <v>0</v>
      </c>
      <c r="M71" t="n">
        <v>0</v>
      </c>
      <c r="N71" t="n">
        <v>0</v>
      </c>
      <c r="O71" t="n">
        <v>0</v>
      </c>
      <c r="P71" t="n">
        <v>0</v>
      </c>
      <c r="Q71" t="n">
        <v>0</v>
      </c>
      <c r="R71" s="2" t="inlineStr"/>
    </row>
    <row r="72" ht="15" customHeight="1">
      <c r="A72" t="inlineStr">
        <is>
          <t>A 21130-2025</t>
        </is>
      </c>
      <c r="B72" s="1" t="n">
        <v>45778.35857638889</v>
      </c>
      <c r="C72" s="1" t="n">
        <v>45934</v>
      </c>
      <c r="D72" t="inlineStr">
        <is>
          <t>UPPSALA LÄN</t>
        </is>
      </c>
      <c r="E72" t="inlineStr">
        <is>
          <t>KNIVSTA</t>
        </is>
      </c>
      <c r="G72" t="n">
        <v>2.2</v>
      </c>
      <c r="H72" t="n">
        <v>0</v>
      </c>
      <c r="I72" t="n">
        <v>0</v>
      </c>
      <c r="J72" t="n">
        <v>0</v>
      </c>
      <c r="K72" t="n">
        <v>0</v>
      </c>
      <c r="L72" t="n">
        <v>0</v>
      </c>
      <c r="M72" t="n">
        <v>0</v>
      </c>
      <c r="N72" t="n">
        <v>0</v>
      </c>
      <c r="O72" t="n">
        <v>0</v>
      </c>
      <c r="P72" t="n">
        <v>0</v>
      </c>
      <c r="Q72" t="n">
        <v>0</v>
      </c>
      <c r="R72" s="2" t="inlineStr"/>
    </row>
    <row r="73" ht="15" customHeight="1">
      <c r="A73" t="inlineStr">
        <is>
          <t>A 11847-2023</t>
        </is>
      </c>
      <c r="B73" s="1" t="n">
        <v>44995.33957175926</v>
      </c>
      <c r="C73" s="1" t="n">
        <v>45934</v>
      </c>
      <c r="D73" t="inlineStr">
        <is>
          <t>UPPSALA LÄN</t>
        </is>
      </c>
      <c r="E73" t="inlineStr">
        <is>
          <t>KNIVSTA</t>
        </is>
      </c>
      <c r="G73" t="n">
        <v>2.1</v>
      </c>
      <c r="H73" t="n">
        <v>0</v>
      </c>
      <c r="I73" t="n">
        <v>0</v>
      </c>
      <c r="J73" t="n">
        <v>0</v>
      </c>
      <c r="K73" t="n">
        <v>0</v>
      </c>
      <c r="L73" t="n">
        <v>0</v>
      </c>
      <c r="M73" t="n">
        <v>0</v>
      </c>
      <c r="N73" t="n">
        <v>0</v>
      </c>
      <c r="O73" t="n">
        <v>0</v>
      </c>
      <c r="P73" t="n">
        <v>0</v>
      </c>
      <c r="Q73" t="n">
        <v>0</v>
      </c>
      <c r="R73" s="2" t="inlineStr"/>
    </row>
    <row r="74" ht="15" customHeight="1">
      <c r="A74" t="inlineStr">
        <is>
          <t>A 794-2024</t>
        </is>
      </c>
      <c r="B74" s="1" t="n">
        <v>45300.58149305556</v>
      </c>
      <c r="C74" s="1" t="n">
        <v>45934</v>
      </c>
      <c r="D74" t="inlineStr">
        <is>
          <t>UPPSALA LÄN</t>
        </is>
      </c>
      <c r="E74" t="inlineStr">
        <is>
          <t>KNIVSTA</t>
        </is>
      </c>
      <c r="G74" t="n">
        <v>1.6</v>
      </c>
      <c r="H74" t="n">
        <v>0</v>
      </c>
      <c r="I74" t="n">
        <v>0</v>
      </c>
      <c r="J74" t="n">
        <v>0</v>
      </c>
      <c r="K74" t="n">
        <v>0</v>
      </c>
      <c r="L74" t="n">
        <v>0</v>
      </c>
      <c r="M74" t="n">
        <v>0</v>
      </c>
      <c r="N74" t="n">
        <v>0</v>
      </c>
      <c r="O74" t="n">
        <v>0</v>
      </c>
      <c r="P74" t="n">
        <v>0</v>
      </c>
      <c r="Q74" t="n">
        <v>0</v>
      </c>
      <c r="R74" s="2" t="inlineStr"/>
    </row>
    <row r="75" ht="15" customHeight="1">
      <c r="A75" t="inlineStr">
        <is>
          <t>A 20902-2024</t>
        </is>
      </c>
      <c r="B75" s="1" t="n">
        <v>45439.48104166667</v>
      </c>
      <c r="C75" s="1" t="n">
        <v>45934</v>
      </c>
      <c r="D75" t="inlineStr">
        <is>
          <t>UPPSALA LÄN</t>
        </is>
      </c>
      <c r="E75" t="inlineStr">
        <is>
          <t>KNIVSTA</t>
        </is>
      </c>
      <c r="G75" t="n">
        <v>1</v>
      </c>
      <c r="H75" t="n">
        <v>0</v>
      </c>
      <c r="I75" t="n">
        <v>0</v>
      </c>
      <c r="J75" t="n">
        <v>0</v>
      </c>
      <c r="K75" t="n">
        <v>0</v>
      </c>
      <c r="L75" t="n">
        <v>0</v>
      </c>
      <c r="M75" t="n">
        <v>0</v>
      </c>
      <c r="N75" t="n">
        <v>0</v>
      </c>
      <c r="O75" t="n">
        <v>0</v>
      </c>
      <c r="P75" t="n">
        <v>0</v>
      </c>
      <c r="Q75" t="n">
        <v>0</v>
      </c>
      <c r="R75" s="2" t="inlineStr"/>
    </row>
    <row r="76" ht="15" customHeight="1">
      <c r="A76" t="inlineStr">
        <is>
          <t>A 26226-2025</t>
        </is>
      </c>
      <c r="B76" s="1" t="n">
        <v>45805.55829861111</v>
      </c>
      <c r="C76" s="1" t="n">
        <v>45934</v>
      </c>
      <c r="D76" t="inlineStr">
        <is>
          <t>UPPSALA LÄN</t>
        </is>
      </c>
      <c r="E76" t="inlineStr">
        <is>
          <t>KNIVSTA</t>
        </is>
      </c>
      <c r="G76" t="n">
        <v>9.1</v>
      </c>
      <c r="H76" t="n">
        <v>0</v>
      </c>
      <c r="I76" t="n">
        <v>0</v>
      </c>
      <c r="J76" t="n">
        <v>0</v>
      </c>
      <c r="K76" t="n">
        <v>0</v>
      </c>
      <c r="L76" t="n">
        <v>0</v>
      </c>
      <c r="M76" t="n">
        <v>0</v>
      </c>
      <c r="N76" t="n">
        <v>0</v>
      </c>
      <c r="O76" t="n">
        <v>0</v>
      </c>
      <c r="P76" t="n">
        <v>0</v>
      </c>
      <c r="Q76" t="n">
        <v>0</v>
      </c>
      <c r="R76" s="2" t="inlineStr"/>
    </row>
    <row r="77" ht="15" customHeight="1">
      <c r="A77" t="inlineStr">
        <is>
          <t>A 30351-2022</t>
        </is>
      </c>
      <c r="B77" s="1" t="n">
        <v>44757</v>
      </c>
      <c r="C77" s="1" t="n">
        <v>45934</v>
      </c>
      <c r="D77" t="inlineStr">
        <is>
          <t>UPPSALA LÄN</t>
        </is>
      </c>
      <c r="E77" t="inlineStr">
        <is>
          <t>KNIVSTA</t>
        </is>
      </c>
      <c r="G77" t="n">
        <v>5.7</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45934</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31875-2022</t>
        </is>
      </c>
      <c r="B79" s="1" t="n">
        <v>44777</v>
      </c>
      <c r="C79" s="1" t="n">
        <v>45934</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28189-2025</t>
        </is>
      </c>
      <c r="B80" s="1" t="n">
        <v>45818.41357638889</v>
      </c>
      <c r="C80" s="1" t="n">
        <v>45934</v>
      </c>
      <c r="D80" t="inlineStr">
        <is>
          <t>UPPSALA LÄN</t>
        </is>
      </c>
      <c r="E80" t="inlineStr">
        <is>
          <t>KNIVSTA</t>
        </is>
      </c>
      <c r="G80" t="n">
        <v>7.6</v>
      </c>
      <c r="H80" t="n">
        <v>0</v>
      </c>
      <c r="I80" t="n">
        <v>0</v>
      </c>
      <c r="J80" t="n">
        <v>0</v>
      </c>
      <c r="K80" t="n">
        <v>0</v>
      </c>
      <c r="L80" t="n">
        <v>0</v>
      </c>
      <c r="M80" t="n">
        <v>0</v>
      </c>
      <c r="N80" t="n">
        <v>0</v>
      </c>
      <c r="O80" t="n">
        <v>0</v>
      </c>
      <c r="P80" t="n">
        <v>0</v>
      </c>
      <c r="Q80" t="n">
        <v>0</v>
      </c>
      <c r="R80" s="2" t="inlineStr"/>
    </row>
    <row r="81" ht="15" customHeight="1">
      <c r="A81" t="inlineStr">
        <is>
          <t>A 51849-2023</t>
        </is>
      </c>
      <c r="B81" s="1" t="n">
        <v>45223.34391203704</v>
      </c>
      <c r="C81" s="1" t="n">
        <v>45934</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66293-2021</t>
        </is>
      </c>
      <c r="B82" s="1" t="n">
        <v>44518</v>
      </c>
      <c r="C82" s="1" t="n">
        <v>45934</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45916-2022</t>
        </is>
      </c>
      <c r="B83" s="1" t="n">
        <v>44846</v>
      </c>
      <c r="C83" s="1" t="n">
        <v>45934</v>
      </c>
      <c r="D83" t="inlineStr">
        <is>
          <t>UPPSALA LÄN</t>
        </is>
      </c>
      <c r="E83" t="inlineStr">
        <is>
          <t>KNIVSTA</t>
        </is>
      </c>
      <c r="G83" t="n">
        <v>3.8</v>
      </c>
      <c r="H83" t="n">
        <v>0</v>
      </c>
      <c r="I83" t="n">
        <v>0</v>
      </c>
      <c r="J83" t="n">
        <v>0</v>
      </c>
      <c r="K83" t="n">
        <v>0</v>
      </c>
      <c r="L83" t="n">
        <v>0</v>
      </c>
      <c r="M83" t="n">
        <v>0</v>
      </c>
      <c r="N83" t="n">
        <v>0</v>
      </c>
      <c r="O83" t="n">
        <v>0</v>
      </c>
      <c r="P83" t="n">
        <v>0</v>
      </c>
      <c r="Q83" t="n">
        <v>0</v>
      </c>
      <c r="R83" s="2" t="inlineStr"/>
    </row>
    <row r="84" ht="15" customHeight="1">
      <c r="A84" t="inlineStr">
        <is>
          <t>A 33976-2025</t>
        </is>
      </c>
      <c r="B84" s="1" t="n">
        <v>45843</v>
      </c>
      <c r="C84" s="1" t="n">
        <v>45934</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45934</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2629-2025</t>
        </is>
      </c>
      <c r="B86" s="1" t="n">
        <v>45675.6953587963</v>
      </c>
      <c r="C86" s="1" t="n">
        <v>45934</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5320-2023</t>
        </is>
      </c>
      <c r="B87" s="1" t="n">
        <v>44959</v>
      </c>
      <c r="C87" s="1" t="n">
        <v>45934</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33975-2025</t>
        </is>
      </c>
      <c r="B88" s="1" t="n">
        <v>45843.30805555556</v>
      </c>
      <c r="C88" s="1" t="n">
        <v>45934</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34859-2025</t>
        </is>
      </c>
      <c r="B89" s="1" t="n">
        <v>45849.43511574074</v>
      </c>
      <c r="C89" s="1" t="n">
        <v>45934</v>
      </c>
      <c r="D89" t="inlineStr">
        <is>
          <t>UPPSALA LÄN</t>
        </is>
      </c>
      <c r="E89" t="inlineStr">
        <is>
          <t>KNIVSTA</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34864-2025</t>
        </is>
      </c>
      <c r="B90" s="1" t="n">
        <v>45849.44028935185</v>
      </c>
      <c r="C90" s="1" t="n">
        <v>45934</v>
      </c>
      <c r="D90" t="inlineStr">
        <is>
          <t>UPPSALA LÄN</t>
        </is>
      </c>
      <c r="E90" t="inlineStr">
        <is>
          <t>KNIVSTA</t>
        </is>
      </c>
      <c r="F90" t="inlineStr">
        <is>
          <t>Holmen skog AB</t>
        </is>
      </c>
      <c r="G90" t="n">
        <v>1.3</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45934</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11452-2023</t>
        </is>
      </c>
      <c r="B92" s="1" t="n">
        <v>44993</v>
      </c>
      <c r="C92" s="1" t="n">
        <v>45934</v>
      </c>
      <c r="D92" t="inlineStr">
        <is>
          <t>UPPSALA LÄN</t>
        </is>
      </c>
      <c r="E92" t="inlineStr">
        <is>
          <t>KNIVSTA</t>
        </is>
      </c>
      <c r="G92" t="n">
        <v>2.5</v>
      </c>
      <c r="H92" t="n">
        <v>0</v>
      </c>
      <c r="I92" t="n">
        <v>0</v>
      </c>
      <c r="J92" t="n">
        <v>0</v>
      </c>
      <c r="K92" t="n">
        <v>0</v>
      </c>
      <c r="L92" t="n">
        <v>0</v>
      </c>
      <c r="M92" t="n">
        <v>0</v>
      </c>
      <c r="N92" t="n">
        <v>0</v>
      </c>
      <c r="O92" t="n">
        <v>0</v>
      </c>
      <c r="P92" t="n">
        <v>0</v>
      </c>
      <c r="Q92" t="n">
        <v>0</v>
      </c>
      <c r="R92" s="2" t="inlineStr"/>
    </row>
    <row r="93" ht="15" customHeight="1">
      <c r="A93" t="inlineStr">
        <is>
          <t>A 30627-2023</t>
        </is>
      </c>
      <c r="B93" s="1" t="n">
        <v>45112</v>
      </c>
      <c r="C93" s="1" t="n">
        <v>45934</v>
      </c>
      <c r="D93" t="inlineStr">
        <is>
          <t>UPPSALA LÄN</t>
        </is>
      </c>
      <c r="E93" t="inlineStr">
        <is>
          <t>KNIVSTA</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36472-2025</t>
        </is>
      </c>
      <c r="B94" s="1" t="n">
        <v>45869.48162037037</v>
      </c>
      <c r="C94" s="1" t="n">
        <v>45934</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36473-2025</t>
        </is>
      </c>
      <c r="B95" s="1" t="n">
        <v>45869.48333333333</v>
      </c>
      <c r="C95" s="1" t="n">
        <v>45934</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c r="A96" t="inlineStr">
        <is>
          <t>A 36470-2025</t>
        </is>
      </c>
      <c r="B96" s="1" t="n">
        <v>45869.47915509259</v>
      </c>
      <c r="C96" s="1" t="n">
        <v>45934</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2025-10-04T12:35:01Z</dcterms:created>
  <dcterms:modified xmlns:dcterms="http://purl.org/dc/terms/" xmlns:xsi="http://www.w3.org/2001/XMLSchema-instance" xsi:type="dcterms:W3CDTF">2025-10-04T12:35:01Z</dcterms:modified>
</cp:coreProperties>
</file>