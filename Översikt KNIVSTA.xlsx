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46050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46050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46050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46050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46050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46050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46050</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46050</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46050</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46050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46050</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46050</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46050</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46050</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16407-2025</t>
        </is>
      </c>
      <c r="B16" s="1" t="n">
        <v>45751.45120370371</v>
      </c>
      <c r="C16" s="1" t="n">
        <v>46050</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21831-2024</t>
        </is>
      </c>
      <c r="B17" s="1" t="n">
        <v>45442</v>
      </c>
      <c r="C17" s="1" t="n">
        <v>46050</v>
      </c>
      <c r="D17" t="inlineStr">
        <is>
          <t>UPPSALA LÄN</t>
        </is>
      </c>
      <c r="E17" t="inlineStr">
        <is>
          <t>KNIVSTA</t>
        </is>
      </c>
      <c r="G17" t="n">
        <v>4.5</v>
      </c>
      <c r="H17" t="n">
        <v>1</v>
      </c>
      <c r="I17" t="n">
        <v>0</v>
      </c>
      <c r="J17" t="n">
        <v>0</v>
      </c>
      <c r="K17" t="n">
        <v>0</v>
      </c>
      <c r="L17" t="n">
        <v>0</v>
      </c>
      <c r="M17" t="n">
        <v>0</v>
      </c>
      <c r="N17" t="n">
        <v>0</v>
      </c>
      <c r="O17" t="n">
        <v>0</v>
      </c>
      <c r="P17" t="n">
        <v>0</v>
      </c>
      <c r="Q17" t="n">
        <v>1</v>
      </c>
      <c r="R17" s="2" t="inlineStr">
        <is>
          <t>Blåsippa</t>
        </is>
      </c>
      <c r="S17">
        <f>HYPERLINK("https://klasma.github.io/Logging_0330/artfynd/A 21831-2024 artfynd.xlsx", "A 21831-2024")</f>
        <v/>
      </c>
      <c r="T17">
        <f>HYPERLINK("https://klasma.github.io/Logging_0330/kartor/A 21831-2024 karta.png", "A 21831-2024")</f>
        <v/>
      </c>
      <c r="V17">
        <f>HYPERLINK("https://klasma.github.io/Logging_0330/klagomål/A 21831-2024 FSC-klagomål.docx", "A 21831-2024")</f>
        <v/>
      </c>
      <c r="W17">
        <f>HYPERLINK("https://klasma.github.io/Logging_0330/klagomålsmail/A 21831-2024 FSC-klagomål mail.docx", "A 21831-2024")</f>
        <v/>
      </c>
      <c r="X17">
        <f>HYPERLINK("https://klasma.github.io/Logging_0330/tillsyn/A 21831-2024 tillsynsbegäran.docx", "A 21831-2024")</f>
        <v/>
      </c>
      <c r="Y17">
        <f>HYPERLINK("https://klasma.github.io/Logging_0330/tillsynsmail/A 21831-2024 tillsynsbegäran mail.docx", "A 21831-2024")</f>
        <v/>
      </c>
    </row>
    <row r="18" ht="15" customHeight="1">
      <c r="A18" t="inlineStr">
        <is>
          <t>A 9725-2021</t>
        </is>
      </c>
      <c r="B18" s="1" t="n">
        <v>44252</v>
      </c>
      <c r="C18" s="1" t="n">
        <v>46050</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46050</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46050</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46050</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46050</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46050</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46050</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46050</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46050</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46050</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46050</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46050</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46050</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46050</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46050</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46050</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46050</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46050</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46050</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46050</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46050</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46050</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46050</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46050</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2628-2025</t>
        </is>
      </c>
      <c r="B42" s="1" t="n">
        <v>45675.68435185185</v>
      </c>
      <c r="C42" s="1" t="n">
        <v>46050</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46050</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46050</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46050</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11450-2023</t>
        </is>
      </c>
      <c r="B46" s="1" t="n">
        <v>44993</v>
      </c>
      <c r="C46" s="1" t="n">
        <v>46050</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46050</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46050</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46050</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46050</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46050</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46050</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46050</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46050</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46050</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46050</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46050</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33974-2025</t>
        </is>
      </c>
      <c r="B58" s="1" t="n">
        <v>45843.305625</v>
      </c>
      <c r="C58" s="1" t="n">
        <v>46050</v>
      </c>
      <c r="D58" t="inlineStr">
        <is>
          <t>UPPSALA LÄN</t>
        </is>
      </c>
      <c r="E58" t="inlineStr">
        <is>
          <t>KNIVSTA</t>
        </is>
      </c>
      <c r="G58" t="n">
        <v>2.6</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46050</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46050</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34859-2025</t>
        </is>
      </c>
      <c r="B61" s="1" t="n">
        <v>45849.43511574074</v>
      </c>
      <c r="C61" s="1" t="n">
        <v>46050</v>
      </c>
      <c r="D61" t="inlineStr">
        <is>
          <t>UPPSALA LÄN</t>
        </is>
      </c>
      <c r="E61" t="inlineStr">
        <is>
          <t>KNIVSTA</t>
        </is>
      </c>
      <c r="F61" t="inlineStr">
        <is>
          <t>Holmen skog AB</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45849.44028935185</v>
      </c>
      <c r="C62" s="1" t="n">
        <v>46050</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46050</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35318-2025</t>
        </is>
      </c>
      <c r="B64" s="1" t="n">
        <v>45854.47917824074</v>
      </c>
      <c r="C64" s="1" t="n">
        <v>46050</v>
      </c>
      <c r="D64" t="inlineStr">
        <is>
          <t>UPPSALA LÄN</t>
        </is>
      </c>
      <c r="E64" t="inlineStr">
        <is>
          <t>KNIVSTA</t>
        </is>
      </c>
      <c r="F64" t="inlineStr">
        <is>
          <t>Holmen skog AB</t>
        </is>
      </c>
      <c r="G64" t="n">
        <v>2.2</v>
      </c>
      <c r="H64" t="n">
        <v>0</v>
      </c>
      <c r="I64" t="n">
        <v>0</v>
      </c>
      <c r="J64" t="n">
        <v>0</v>
      </c>
      <c r="K64" t="n">
        <v>0</v>
      </c>
      <c r="L64" t="n">
        <v>0</v>
      </c>
      <c r="M64" t="n">
        <v>0</v>
      </c>
      <c r="N64" t="n">
        <v>0</v>
      </c>
      <c r="O64" t="n">
        <v>0</v>
      </c>
      <c r="P64" t="n">
        <v>0</v>
      </c>
      <c r="Q64" t="n">
        <v>0</v>
      </c>
      <c r="R64" s="2" t="inlineStr"/>
    </row>
    <row r="65" ht="15" customHeight="1">
      <c r="A65" t="inlineStr">
        <is>
          <t>A 47803-2025</t>
        </is>
      </c>
      <c r="B65" s="1" t="n">
        <v>45931</v>
      </c>
      <c r="C65" s="1" t="n">
        <v>46050</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36472-2025</t>
        </is>
      </c>
      <c r="B66" s="1" t="n">
        <v>45869.48162037037</v>
      </c>
      <c r="C66" s="1" t="n">
        <v>46050</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46050</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46050</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46050</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46050</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46050</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46050</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46050</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5402-2023</t>
        </is>
      </c>
      <c r="B74" s="1" t="n">
        <v>44959</v>
      </c>
      <c r="C74" s="1" t="n">
        <v>46050</v>
      </c>
      <c r="D74" t="inlineStr">
        <is>
          <t>UPPSALA LÄN</t>
        </is>
      </c>
      <c r="E74" t="inlineStr">
        <is>
          <t>KNIVSTA</t>
        </is>
      </c>
      <c r="G74" t="n">
        <v>4.3</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46050</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32975-2021</t>
        </is>
      </c>
      <c r="B76" s="1" t="n">
        <v>44376</v>
      </c>
      <c r="C76" s="1" t="n">
        <v>46050</v>
      </c>
      <c r="D76" t="inlineStr">
        <is>
          <t>UPPSALA LÄN</t>
        </is>
      </c>
      <c r="E76" t="inlineStr">
        <is>
          <t>KNIVSTA</t>
        </is>
      </c>
      <c r="G76" t="n">
        <v>6.1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46050</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662-2026</t>
        </is>
      </c>
      <c r="B78" s="1" t="n">
        <v>46029.58549768518</v>
      </c>
      <c r="C78" s="1" t="n">
        <v>46050</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666-2026</t>
        </is>
      </c>
      <c r="B79" s="1" t="n">
        <v>46029.58832175926</v>
      </c>
      <c r="C79" s="1" t="n">
        <v>46050</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46050</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46050</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46050</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2944-2026</t>
        </is>
      </c>
      <c r="B83" s="1" t="n">
        <v>46037</v>
      </c>
      <c r="C83" s="1" t="n">
        <v>46050</v>
      </c>
      <c r="D83" t="inlineStr">
        <is>
          <t>UPPSALA LÄN</t>
        </is>
      </c>
      <c r="E83" t="inlineStr">
        <is>
          <t>KNIVSTA</t>
        </is>
      </c>
      <c r="G83" t="n">
        <v>4.7</v>
      </c>
      <c r="H83" t="n">
        <v>0</v>
      </c>
      <c r="I83" t="n">
        <v>0</v>
      </c>
      <c r="J83" t="n">
        <v>0</v>
      </c>
      <c r="K83" t="n">
        <v>0</v>
      </c>
      <c r="L83" t="n">
        <v>0</v>
      </c>
      <c r="M83" t="n">
        <v>0</v>
      </c>
      <c r="N83" t="n">
        <v>0</v>
      </c>
      <c r="O83" t="n">
        <v>0</v>
      </c>
      <c r="P83" t="n">
        <v>0</v>
      </c>
      <c r="Q83" t="n">
        <v>0</v>
      </c>
      <c r="R83" s="2" t="inlineStr"/>
    </row>
    <row r="84" ht="15" customHeight="1">
      <c r="A84" t="inlineStr">
        <is>
          <t>A 3015-2026</t>
        </is>
      </c>
      <c r="B84" s="1" t="n">
        <v>46038</v>
      </c>
      <c r="C84" s="1" t="n">
        <v>46050</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46050</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2952-2026</t>
        </is>
      </c>
      <c r="B86" s="1" t="n">
        <v>46037</v>
      </c>
      <c r="C86" s="1" t="n">
        <v>46050</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3375-2026</t>
        </is>
      </c>
      <c r="B87" s="1" t="n">
        <v>46042</v>
      </c>
      <c r="C87" s="1" t="n">
        <v>46050</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3836-2026</t>
        </is>
      </c>
      <c r="B88" s="1" t="n">
        <v>46043.5925</v>
      </c>
      <c r="C88" s="1" t="n">
        <v>46050</v>
      </c>
      <c r="D88" t="inlineStr">
        <is>
          <t>UPPSALA LÄN</t>
        </is>
      </c>
      <c r="E88" t="inlineStr">
        <is>
          <t>KNIVSTA</t>
        </is>
      </c>
      <c r="G88" t="n">
        <v>3.7</v>
      </c>
      <c r="H88" t="n">
        <v>0</v>
      </c>
      <c r="I88" t="n">
        <v>0</v>
      </c>
      <c r="J88" t="n">
        <v>0</v>
      </c>
      <c r="K88" t="n">
        <v>0</v>
      </c>
      <c r="L88" t="n">
        <v>0</v>
      </c>
      <c r="M88" t="n">
        <v>0</v>
      </c>
      <c r="N88" t="n">
        <v>0</v>
      </c>
      <c r="O88" t="n">
        <v>0</v>
      </c>
      <c r="P88" t="n">
        <v>0</v>
      </c>
      <c r="Q88" t="n">
        <v>0</v>
      </c>
      <c r="R88" s="2" t="inlineStr"/>
    </row>
    <row r="89" ht="15" customHeight="1">
      <c r="A89" t="inlineStr">
        <is>
          <t>A 3824-2026</t>
        </is>
      </c>
      <c r="B89" s="1" t="n">
        <v>46043.58570601852</v>
      </c>
      <c r="C89" s="1" t="n">
        <v>46050</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30351-2022</t>
        </is>
      </c>
      <c r="B90" s="1" t="n">
        <v>44757</v>
      </c>
      <c r="C90" s="1" t="n">
        <v>46050</v>
      </c>
      <c r="D90" t="inlineStr">
        <is>
          <t>UPPSALA LÄN</t>
        </is>
      </c>
      <c r="E90" t="inlineStr">
        <is>
          <t>KNIVSTA</t>
        </is>
      </c>
      <c r="G90" t="n">
        <v>5.7</v>
      </c>
      <c r="H90" t="n">
        <v>0</v>
      </c>
      <c r="I90" t="n">
        <v>0</v>
      </c>
      <c r="J90" t="n">
        <v>0</v>
      </c>
      <c r="K90" t="n">
        <v>0</v>
      </c>
      <c r="L90" t="n">
        <v>0</v>
      </c>
      <c r="M90" t="n">
        <v>0</v>
      </c>
      <c r="N90" t="n">
        <v>0</v>
      </c>
      <c r="O90" t="n">
        <v>0</v>
      </c>
      <c r="P90" t="n">
        <v>0</v>
      </c>
      <c r="Q90" t="n">
        <v>0</v>
      </c>
      <c r="R90" s="2" t="inlineStr"/>
    </row>
    <row r="91" ht="15" customHeight="1">
      <c r="A91" t="inlineStr">
        <is>
          <t>A 3191-2024</t>
        </is>
      </c>
      <c r="B91" s="1" t="n">
        <v>45316.67186342592</v>
      </c>
      <c r="C91" s="1" t="n">
        <v>46050</v>
      </c>
      <c r="D91" t="inlineStr">
        <is>
          <t>UPPSALA LÄN</t>
        </is>
      </c>
      <c r="E91" t="inlineStr">
        <is>
          <t>KNIVSTA</t>
        </is>
      </c>
      <c r="G91" t="n">
        <v>0.6</v>
      </c>
      <c r="H91" t="n">
        <v>0</v>
      </c>
      <c r="I91" t="n">
        <v>0</v>
      </c>
      <c r="J91" t="n">
        <v>0</v>
      </c>
      <c r="K91" t="n">
        <v>0</v>
      </c>
      <c r="L91" t="n">
        <v>0</v>
      </c>
      <c r="M91" t="n">
        <v>0</v>
      </c>
      <c r="N91" t="n">
        <v>0</v>
      </c>
      <c r="O91" t="n">
        <v>0</v>
      </c>
      <c r="P91" t="n">
        <v>0</v>
      </c>
      <c r="Q91" t="n">
        <v>0</v>
      </c>
      <c r="R91" s="2" t="inlineStr"/>
    </row>
    <row r="92" ht="15" customHeight="1">
      <c r="A92" t="inlineStr">
        <is>
          <t>A 31875-2022</t>
        </is>
      </c>
      <c r="B92" s="1" t="n">
        <v>44777</v>
      </c>
      <c r="C92" s="1" t="n">
        <v>46050</v>
      </c>
      <c r="D92" t="inlineStr">
        <is>
          <t>UPPSALA LÄN</t>
        </is>
      </c>
      <c r="E92" t="inlineStr">
        <is>
          <t>KNIVSTA</t>
        </is>
      </c>
      <c r="G92" t="n">
        <v>0.7</v>
      </c>
      <c r="H92" t="n">
        <v>0</v>
      </c>
      <c r="I92" t="n">
        <v>0</v>
      </c>
      <c r="J92" t="n">
        <v>0</v>
      </c>
      <c r="K92" t="n">
        <v>0</v>
      </c>
      <c r="L92" t="n">
        <v>0</v>
      </c>
      <c r="M92" t="n">
        <v>0</v>
      </c>
      <c r="N92" t="n">
        <v>0</v>
      </c>
      <c r="O92" t="n">
        <v>0</v>
      </c>
      <c r="P92" t="n">
        <v>0</v>
      </c>
      <c r="Q92" t="n">
        <v>0</v>
      </c>
      <c r="R92" s="2" t="inlineStr"/>
    </row>
    <row r="93" ht="15" customHeight="1">
      <c r="A93" t="inlineStr">
        <is>
          <t>A 51849-2023</t>
        </is>
      </c>
      <c r="B93" s="1" t="n">
        <v>45223.34391203704</v>
      </c>
      <c r="C93" s="1" t="n">
        <v>46050</v>
      </c>
      <c r="D93" t="inlineStr">
        <is>
          <t>UPPSALA LÄN</t>
        </is>
      </c>
      <c r="E93" t="inlineStr">
        <is>
          <t>KNIVSTA</t>
        </is>
      </c>
      <c r="G93" t="n">
        <v>16.3</v>
      </c>
      <c r="H93" t="n">
        <v>0</v>
      </c>
      <c r="I93" t="n">
        <v>0</v>
      </c>
      <c r="J93" t="n">
        <v>0</v>
      </c>
      <c r="K93" t="n">
        <v>0</v>
      </c>
      <c r="L93" t="n">
        <v>0</v>
      </c>
      <c r="M93" t="n">
        <v>0</v>
      </c>
      <c r="N93" t="n">
        <v>0</v>
      </c>
      <c r="O93" t="n">
        <v>0</v>
      </c>
      <c r="P93" t="n">
        <v>0</v>
      </c>
      <c r="Q93" t="n">
        <v>0</v>
      </c>
      <c r="R93" s="2" t="inlineStr"/>
    </row>
    <row r="94" ht="15" customHeight="1">
      <c r="A94" t="inlineStr">
        <is>
          <t>A 66293-2021</t>
        </is>
      </c>
      <c r="B94" s="1" t="n">
        <v>44518</v>
      </c>
      <c r="C94" s="1" t="n">
        <v>46050</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45916-2022</t>
        </is>
      </c>
      <c r="B95" s="1" t="n">
        <v>44846</v>
      </c>
      <c r="C95" s="1" t="n">
        <v>46050</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2629-2025</t>
        </is>
      </c>
      <c r="B96" s="1" t="n">
        <v>45675.6953587963</v>
      </c>
      <c r="C96" s="1" t="n">
        <v>46050</v>
      </c>
      <c r="D96" t="inlineStr">
        <is>
          <t>UPPSALA LÄN</t>
        </is>
      </c>
      <c r="E96" t="inlineStr">
        <is>
          <t>KNIVSTA</t>
        </is>
      </c>
      <c r="G96" t="n">
        <v>1.1</v>
      </c>
      <c r="H96" t="n">
        <v>0</v>
      </c>
      <c r="I96" t="n">
        <v>0</v>
      </c>
      <c r="J96" t="n">
        <v>0</v>
      </c>
      <c r="K96" t="n">
        <v>0</v>
      </c>
      <c r="L96" t="n">
        <v>0</v>
      </c>
      <c r="M96" t="n">
        <v>0</v>
      </c>
      <c r="N96" t="n">
        <v>0</v>
      </c>
      <c r="O96" t="n">
        <v>0</v>
      </c>
      <c r="P96" t="n">
        <v>0</v>
      </c>
      <c r="Q96" t="n">
        <v>0</v>
      </c>
      <c r="R96" s="2" t="inlineStr"/>
    </row>
    <row r="97" ht="15" customHeight="1">
      <c r="A97" t="inlineStr">
        <is>
          <t>A 5320-2023</t>
        </is>
      </c>
      <c r="B97" s="1" t="n">
        <v>44959</v>
      </c>
      <c r="C97" s="1" t="n">
        <v>46050</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46050</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30627-2023</t>
        </is>
      </c>
      <c r="B99" s="1" t="n">
        <v>45112</v>
      </c>
      <c r="C99" s="1" t="n">
        <v>46050</v>
      </c>
      <c r="D99" t="inlineStr">
        <is>
          <t>UPPSALA LÄN</t>
        </is>
      </c>
      <c r="E99" t="inlineStr">
        <is>
          <t>KNIVSTA</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43908-2023</t>
        </is>
      </c>
      <c r="B100" s="1" t="n">
        <v>45187</v>
      </c>
      <c r="C100" s="1" t="n">
        <v>46050</v>
      </c>
      <c r="D100" t="inlineStr">
        <is>
          <t>UPPSALA LÄN</t>
        </is>
      </c>
      <c r="E100" t="inlineStr">
        <is>
          <t>KNIVSTA</t>
        </is>
      </c>
      <c r="F100" t="inlineStr">
        <is>
          <t>Kyrkan</t>
        </is>
      </c>
      <c r="G100" t="n">
        <v>1.7</v>
      </c>
      <c r="H100" t="n">
        <v>0</v>
      </c>
      <c r="I100" t="n">
        <v>0</v>
      </c>
      <c r="J100" t="n">
        <v>0</v>
      </c>
      <c r="K100" t="n">
        <v>0</v>
      </c>
      <c r="L100" t="n">
        <v>0</v>
      </c>
      <c r="M100" t="n">
        <v>0</v>
      </c>
      <c r="N100" t="n">
        <v>0</v>
      </c>
      <c r="O100" t="n">
        <v>0</v>
      </c>
      <c r="P100" t="n">
        <v>0</v>
      </c>
      <c r="Q100" t="n">
        <v>0</v>
      </c>
      <c r="R100" s="2" t="inlineStr"/>
    </row>
    <row r="101" ht="15" customHeight="1">
      <c r="A101" t="inlineStr">
        <is>
          <t>A 8343-2024</t>
        </is>
      </c>
      <c r="B101" s="1" t="n">
        <v>45352</v>
      </c>
      <c r="C101" s="1" t="n">
        <v>46050</v>
      </c>
      <c r="D101" t="inlineStr">
        <is>
          <t>UPPSALA LÄN</t>
        </is>
      </c>
      <c r="E101" t="inlineStr">
        <is>
          <t>KNIVSTA</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60885-2021</t>
        </is>
      </c>
      <c r="B102" s="1" t="n">
        <v>44497</v>
      </c>
      <c r="C102" s="1" t="n">
        <v>46050</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19676-2025</t>
        </is>
      </c>
      <c r="B103" s="1" t="n">
        <v>45770</v>
      </c>
      <c r="C103" s="1" t="n">
        <v>46050</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14267-2025</t>
        </is>
      </c>
      <c r="B104" s="1" t="n">
        <v>45740.63686342593</v>
      </c>
      <c r="C104" s="1" t="n">
        <v>46050</v>
      </c>
      <c r="D104" t="inlineStr">
        <is>
          <t>UPPSALA LÄN</t>
        </is>
      </c>
      <c r="E104" t="inlineStr">
        <is>
          <t>KNIVSTA</t>
        </is>
      </c>
      <c r="G104" t="n">
        <v>3.9</v>
      </c>
      <c r="H104" t="n">
        <v>0</v>
      </c>
      <c r="I104" t="n">
        <v>0</v>
      </c>
      <c r="J104" t="n">
        <v>0</v>
      </c>
      <c r="K104" t="n">
        <v>0</v>
      </c>
      <c r="L104" t="n">
        <v>0</v>
      </c>
      <c r="M104" t="n">
        <v>0</v>
      </c>
      <c r="N104" t="n">
        <v>0</v>
      </c>
      <c r="O104" t="n">
        <v>0</v>
      </c>
      <c r="P104" t="n">
        <v>0</v>
      </c>
      <c r="Q104" t="n">
        <v>0</v>
      </c>
      <c r="R104" s="2" t="inlineStr"/>
    </row>
    <row r="105" ht="15" customHeight="1">
      <c r="A105" t="inlineStr">
        <is>
          <t>A 13697-2024</t>
        </is>
      </c>
      <c r="B105" s="1" t="n">
        <v>45390</v>
      </c>
      <c r="C105" s="1" t="n">
        <v>46050</v>
      </c>
      <c r="D105" t="inlineStr">
        <is>
          <t>UPPSALA LÄN</t>
        </is>
      </c>
      <c r="E105" t="inlineStr">
        <is>
          <t>KNIVSTA</t>
        </is>
      </c>
      <c r="F105" t="inlineStr">
        <is>
          <t>Holmen skog AB</t>
        </is>
      </c>
      <c r="G105" t="n">
        <v>1.3</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46050</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1629-2024</t>
        </is>
      </c>
      <c r="B107" s="1" t="n">
        <v>45306</v>
      </c>
      <c r="C107" s="1" t="n">
        <v>46050</v>
      </c>
      <c r="D107" t="inlineStr">
        <is>
          <t>UPPSALA LÄN</t>
        </is>
      </c>
      <c r="E107" t="inlineStr">
        <is>
          <t>KNIVSTA</t>
        </is>
      </c>
      <c r="F107" t="inlineStr">
        <is>
          <t>Holmen skog AB</t>
        </is>
      </c>
      <c r="G107" t="n">
        <v>3.6</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46050</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2171-2024</t>
        </is>
      </c>
      <c r="B109" s="1" t="n">
        <v>45309</v>
      </c>
      <c r="C109" s="1" t="n">
        <v>46050</v>
      </c>
      <c r="D109" t="inlineStr">
        <is>
          <t>UPPSALA LÄN</t>
        </is>
      </c>
      <c r="E109" t="inlineStr">
        <is>
          <t>KNIVSTA</t>
        </is>
      </c>
      <c r="F109" t="inlineStr">
        <is>
          <t>Holmen skog AB</t>
        </is>
      </c>
      <c r="G109" t="n">
        <v>3.3</v>
      </c>
      <c r="H109" t="n">
        <v>0</v>
      </c>
      <c r="I109" t="n">
        <v>0</v>
      </c>
      <c r="J109" t="n">
        <v>0</v>
      </c>
      <c r="K109" t="n">
        <v>0</v>
      </c>
      <c r="L109" t="n">
        <v>0</v>
      </c>
      <c r="M109" t="n">
        <v>0</v>
      </c>
      <c r="N109" t="n">
        <v>0</v>
      </c>
      <c r="O109" t="n">
        <v>0</v>
      </c>
      <c r="P109" t="n">
        <v>0</v>
      </c>
      <c r="Q109" t="n">
        <v>0</v>
      </c>
      <c r="R109" s="2" t="inlineStr"/>
    </row>
    <row r="110" ht="15" customHeight="1">
      <c r="A110" t="inlineStr">
        <is>
          <t>A 21130-2025</t>
        </is>
      </c>
      <c r="B110" s="1" t="n">
        <v>45778.35857638889</v>
      </c>
      <c r="C110" s="1" t="n">
        <v>46050</v>
      </c>
      <c r="D110" t="inlineStr">
        <is>
          <t>UPPSALA LÄN</t>
        </is>
      </c>
      <c r="E110" t="inlineStr">
        <is>
          <t>KNIVSTA</t>
        </is>
      </c>
      <c r="G110" t="n">
        <v>2.2</v>
      </c>
      <c r="H110" t="n">
        <v>0</v>
      </c>
      <c r="I110" t="n">
        <v>0</v>
      </c>
      <c r="J110" t="n">
        <v>0</v>
      </c>
      <c r="K110" t="n">
        <v>0</v>
      </c>
      <c r="L110" t="n">
        <v>0</v>
      </c>
      <c r="M110" t="n">
        <v>0</v>
      </c>
      <c r="N110" t="n">
        <v>0</v>
      </c>
      <c r="O110" t="n">
        <v>0</v>
      </c>
      <c r="P110" t="n">
        <v>0</v>
      </c>
      <c r="Q110" t="n">
        <v>0</v>
      </c>
      <c r="R110" s="2" t="inlineStr"/>
    </row>
    <row r="111">
      <c r="A111" t="inlineStr">
        <is>
          <t>A 794-2024</t>
        </is>
      </c>
      <c r="B111" s="1" t="n">
        <v>45300.58149305556</v>
      </c>
      <c r="C111" s="1" t="n">
        <v>46050</v>
      </c>
      <c r="D111" t="inlineStr">
        <is>
          <t>UPPSALA LÄN</t>
        </is>
      </c>
      <c r="E111" t="inlineStr">
        <is>
          <t>KNIVSTA</t>
        </is>
      </c>
      <c r="G111" t="n">
        <v>1.6</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2026-01-28T10:58:46Z</dcterms:created>
  <dcterms:modified xmlns:dcterms="http://purl.org/dc/terms/" xmlns:xsi="http://www.w3.org/2001/XMLSchema-instance" xsi:type="dcterms:W3CDTF">2026-01-28T10:58:46Z</dcterms:modified>
</cp:coreProperties>
</file>