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46260</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46260</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46260</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46260</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46260</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46260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46260</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HYPERLINK("https://klasma.github.io/Logging_0330/artfynd/A 3836-2026 artfynd.xlsx", "A 3836-2026")</f>
        <v/>
      </c>
      <c r="X21">
        <f>HYPERLINK("https://klasma.github.io/Logging_0330/kartor/A 3836-2026 karta.png", "A 3836-2026")</f>
        <v/>
      </c>
      <c r="Y21">
        <f>HYPERLINK("https://klasma.github.io/Logging_0330/kartor_geotiff/A 3836-2026 georefererad karta.tif", "A 3836-2026")</f>
        <v/>
      </c>
      <c r="AA21">
        <f>HYPERLINK("https://klasma.github.io/Logging_0330/klagomål/A 3836-2026 FSC-klagomål.docx", "A 3836-2026")</f>
        <v/>
      </c>
      <c r="AB21">
        <f>HYPERLINK("https://klasma.github.io/Logging_0330/klagomålsmail/A 3836-2026 FSC-klagomål mail.docx", "A 3836-2026")</f>
        <v/>
      </c>
      <c r="AC21">
        <f>HYPERLINK("https://klasma.github.io/Logging_0330/tillsyn/A 3836-2026 tillsynsbegäran.docx", "A 3836-2026")</f>
        <v/>
      </c>
      <c r="AD21">
        <f>HYPERLINK("https://klasma.github.io/Logging_0330/tillsynsmail/A 3836-2026 tillsynsbegäran mail.docx", "A 3836-2026")</f>
        <v/>
      </c>
      <c r="AE21">
        <f>HYPERLINK("https://klasma.github.io/Logging_0330/fåglar/A 3836-2026 prioriterade fågelarter.docx", "A 3836-2026")</f>
        <v/>
      </c>
    </row>
    <row r="22" ht="15" customHeight="1">
      <c r="A22" t="inlineStr">
        <is>
          <t>A 9561-2026</t>
        </is>
      </c>
      <c r="B22" t="inlineStr">
        <is>
          <t>avverkningsanmälan</t>
        </is>
      </c>
      <c r="C22" t="inlineStr">
        <is>
          <t>Föryngringsavverkning</t>
        </is>
      </c>
      <c r="D22" s="1" t="n">
        <v>46071</v>
      </c>
      <c r="E22" s="1" t="n">
        <v>46260</v>
      </c>
      <c r="F22" t="inlineStr">
        <is>
          <t>UPPSALA LÄN</t>
        </is>
      </c>
      <c r="G22" t="inlineStr">
        <is>
          <t>KNIVSTA</t>
        </is>
      </c>
      <c r="H22" t="inlineStr">
        <is>
          <t>Övriga statliga verk och myndigheter</t>
        </is>
      </c>
      <c r="I22" t="n">
        <v>2.6</v>
      </c>
      <c r="J22" t="n">
        <v>0</v>
      </c>
      <c r="K22" t="n">
        <v>0</v>
      </c>
      <c r="L22" t="n">
        <v>1</v>
      </c>
      <c r="M22" t="n">
        <v>0</v>
      </c>
      <c r="N22" t="n">
        <v>0</v>
      </c>
      <c r="O22" t="n">
        <v>0</v>
      </c>
      <c r="P22" t="n">
        <v>0</v>
      </c>
      <c r="Q22" t="n">
        <v>1</v>
      </c>
      <c r="R22" t="n">
        <v>0</v>
      </c>
      <c r="S22" t="n">
        <v>1</v>
      </c>
      <c r="T22" t="n">
        <v>1</v>
      </c>
      <c r="U22" t="n">
        <v>0</v>
      </c>
      <c r="V22" s="2" t="inlineStr">
        <is>
          <t>Svartöra</t>
        </is>
      </c>
      <c r="W22">
        <f>HYPERLINK("https://klasma.github.io/Logging_0330/artfynd/A 9561-2026 artfynd.xlsx", "A 9561-2026")</f>
        <v/>
      </c>
      <c r="X22">
        <f>HYPERLINK("https://klasma.github.io/Logging_0330/kartor/A 9561-2026 karta.png", "A 9561-2026")</f>
        <v/>
      </c>
      <c r="Y22">
        <f>HYPERLINK("https://klasma.github.io/Logging_0330/kartor_geotiff/A 9561-2026 georefererad karta.tif", "A 9561-2026")</f>
        <v/>
      </c>
      <c r="AA22">
        <f>HYPERLINK("https://klasma.github.io/Logging_0330/klagomål/A 9561-2026 FSC-klagomål.docx", "A 9561-2026")</f>
        <v/>
      </c>
      <c r="AB22">
        <f>HYPERLINK("https://klasma.github.io/Logging_0330/klagomålsmail/A 9561-2026 FSC-klagomål mail.docx", "A 9561-2026")</f>
        <v/>
      </c>
      <c r="AC22">
        <f>HYPERLINK("https://klasma.github.io/Logging_0330/tillsyn/A 9561-2026 tillsynsbegäran.docx", "A 9561-2026")</f>
        <v/>
      </c>
      <c r="AD22">
        <f>HYPERLINK("https://klasma.github.io/Logging_0330/tillsynsmail/A 9561-2026 tillsynsbegäran mail.docx", "A 9561-2026")</f>
        <v/>
      </c>
    </row>
    <row r="23" ht="15" customHeight="1">
      <c r="A23" t="inlineStr">
        <is>
          <t>A 13002-2026</t>
        </is>
      </c>
      <c r="B23" t="inlineStr">
        <is>
          <t>avverkningsanmälan</t>
        </is>
      </c>
      <c r="C23" t="inlineStr">
        <is>
          <t>Föryngringsavverkning</t>
        </is>
      </c>
      <c r="D23" s="1" t="n">
        <v>46092</v>
      </c>
      <c r="E23" s="1" t="n">
        <v>46260</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12991-2026</t>
        </is>
      </c>
      <c r="B24" t="inlineStr">
        <is>
          <t>avverkningsanmälan</t>
        </is>
      </c>
      <c r="C24" t="inlineStr">
        <is>
          <t>Föryngringsavverkning</t>
        </is>
      </c>
      <c r="D24" s="1" t="n">
        <v>46092</v>
      </c>
      <c r="E24" s="1" t="n">
        <v>46260</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13380-2026</t>
        </is>
      </c>
      <c r="B25" t="inlineStr">
        <is>
          <t>avverkningsanmälan</t>
        </is>
      </c>
      <c r="C25" t="inlineStr">
        <is>
          <t>Föryngringsavverkning</t>
        </is>
      </c>
      <c r="D25" s="1" t="n">
        <v>46094</v>
      </c>
      <c r="E25" s="1" t="n">
        <v>46260</v>
      </c>
      <c r="F25" t="inlineStr">
        <is>
          <t>UPPSALA LÄN</t>
        </is>
      </c>
      <c r="G25" t="inlineStr">
        <is>
          <t>KNIVSTA</t>
        </is>
      </c>
      <c r="I25" t="n">
        <v>1.7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13380-2026 artfynd.xlsx", "A 13380-2026")</f>
        <v/>
      </c>
      <c r="X25">
        <f>HYPERLINK("https://klasma.github.io/Logging_0330/kartor/A 13380-2026 karta.png", "A 13380-2026")</f>
        <v/>
      </c>
      <c r="Y25">
        <f>HYPERLINK("https://klasma.github.io/Logging_0330/kartor_geotiff/A 13380-2026 georefererad karta.tif", "A 13380-2026")</f>
        <v/>
      </c>
      <c r="AA25">
        <f>HYPERLINK("https://klasma.github.io/Logging_0330/klagomål/A 13380-2026 FSC-klagomål.docx", "A 13380-2026")</f>
        <v/>
      </c>
      <c r="AB25">
        <f>HYPERLINK("https://klasma.github.io/Logging_0330/klagomålsmail/A 13380-2026 FSC-klagomål mail.docx", "A 13380-2026")</f>
        <v/>
      </c>
      <c r="AC25">
        <f>HYPERLINK("https://klasma.github.io/Logging_0330/tillsyn/A 13380-2026 tillsynsbegäran.docx", "A 13380-2026")</f>
        <v/>
      </c>
      <c r="AD25">
        <f>HYPERLINK("https://klasma.github.io/Logging_0330/tillsynsmail/A 13380-2026 tillsynsbegäran mail.docx", "A 13380-2026")</f>
        <v/>
      </c>
      <c r="AE25">
        <f>HYPERLINK("https://klasma.github.io/Logging_0330/fåglar/A 13380-2026 prioriterade fågelarter.docx", "A 13380-2026")</f>
        <v/>
      </c>
    </row>
    <row r="26" ht="15" customHeight="1">
      <c r="A26" t="inlineStr">
        <is>
          <t>A 5402-2023</t>
        </is>
      </c>
      <c r="B26" t="inlineStr">
        <is>
          <t>avverkningsanmälan</t>
        </is>
      </c>
      <c r="C26" t="inlineStr">
        <is>
          <t>Föryngringsavverkning</t>
        </is>
      </c>
      <c r="D26" s="1" t="n">
        <v>44959</v>
      </c>
      <c r="E26" s="1" t="n">
        <v>46260</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46260</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33770-2023</t>
        </is>
      </c>
      <c r="B28" t="inlineStr">
        <is>
          <t>avverkningsanmälan</t>
        </is>
      </c>
      <c r="C28" t="inlineStr">
        <is>
          <t>Föryngringsavverkning</t>
        </is>
      </c>
      <c r="D28" s="1" t="n">
        <v>45133</v>
      </c>
      <c r="E28" s="1" t="n">
        <v>46260</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46260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46260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46260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46260</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46260</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46260</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46260</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46260</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46260</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46260</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46260</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46260</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46260</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46260</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46260</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46260</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46260</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46260</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46260</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3824-2026</t>
        </is>
      </c>
      <c r="B55" t="inlineStr">
        <is>
          <t>avverkningsanmälan</t>
        </is>
      </c>
      <c r="C55" t="inlineStr">
        <is>
          <t>Föryngringsavverkning</t>
        </is>
      </c>
      <c r="D55" s="1" t="n">
        <v>46043</v>
      </c>
      <c r="E55" s="1" t="n">
        <v>46260</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3375-2026</t>
        </is>
      </c>
      <c r="B56" t="inlineStr">
        <is>
          <t>avverkningsanmälan</t>
        </is>
      </c>
      <c r="C56" t="inlineStr">
        <is>
          <t>Föryngringsavverkning</t>
        </is>
      </c>
      <c r="D56" s="1" t="n">
        <v>46042</v>
      </c>
      <c r="E56" s="1" t="n">
        <v>46260</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16773-2022</t>
        </is>
      </c>
      <c r="B57" t="inlineStr">
        <is>
          <t>avverkningsanmälan</t>
        </is>
      </c>
      <c r="C57" t="inlineStr">
        <is>
          <t>Avverkning för annat ändamål</t>
        </is>
      </c>
      <c r="D57" s="1" t="n">
        <v>44673</v>
      </c>
      <c r="E57" s="1" t="n">
        <v>46260</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5908-2026</t>
        </is>
      </c>
      <c r="B58" t="inlineStr">
        <is>
          <t>avverkningsanmälan</t>
        </is>
      </c>
      <c r="C58" t="inlineStr">
        <is>
          <t>Föryngringsavverkning</t>
        </is>
      </c>
      <c r="D58" s="1" t="n">
        <v>46052</v>
      </c>
      <c r="E58" s="1" t="n">
        <v>46260</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5910-2026</t>
        </is>
      </c>
      <c r="B59" t="inlineStr">
        <is>
          <t>avverkningsanmälan</t>
        </is>
      </c>
      <c r="C59" t="inlineStr">
        <is>
          <t>Föryngringsavverkning</t>
        </is>
      </c>
      <c r="D59" s="1" t="n">
        <v>46052</v>
      </c>
      <c r="E59" s="1" t="n">
        <v>46260</v>
      </c>
      <c r="F59" t="inlineStr">
        <is>
          <t>UPPSALA LÄN</t>
        </is>
      </c>
      <c r="G59" t="inlineStr">
        <is>
          <t>KNIVSTA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60018-2024</t>
        </is>
      </c>
      <c r="B60" t="inlineStr">
        <is>
          <t>avverkningsanmälan</t>
        </is>
      </c>
      <c r="C60" t="inlineStr">
        <is>
          <t>Föryngringsavverkning</t>
        </is>
      </c>
      <c r="D60" s="1" t="n">
        <v>45642</v>
      </c>
      <c r="E60" s="1" t="n">
        <v>46260</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9744-2026</t>
        </is>
      </c>
      <c r="B61" t="inlineStr">
        <is>
          <t>avverkningsanmälan</t>
        </is>
      </c>
      <c r="C61" t="inlineStr">
        <is>
          <t>Föryngringsavverkning</t>
        </is>
      </c>
      <c r="D61" s="1" t="n">
        <v>46072</v>
      </c>
      <c r="E61" s="1" t="n">
        <v>46260</v>
      </c>
      <c r="F61" t="inlineStr">
        <is>
          <t>UPPSALA LÄN</t>
        </is>
      </c>
      <c r="G61" t="inlineStr">
        <is>
          <t>KNIVSTA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46260</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12027-2026</t>
        </is>
      </c>
      <c r="B63" t="inlineStr">
        <is>
          <t>avverkningsanmälan</t>
        </is>
      </c>
      <c r="C63" t="inlineStr">
        <is>
          <t>Avverkning för annat ändamål</t>
        </is>
      </c>
      <c r="D63" s="1" t="n">
        <v>46085</v>
      </c>
      <c r="E63" s="1" t="n">
        <v>46260</v>
      </c>
      <c r="F63" t="inlineStr">
        <is>
          <t>UPPSALA LÄN</t>
        </is>
      </c>
      <c r="G63" t="inlineStr">
        <is>
          <t>KNIVSTA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12774-2026</t>
        </is>
      </c>
      <c r="B64" t="inlineStr">
        <is>
          <t>avverkningsanmälan</t>
        </is>
      </c>
      <c r="C64" t="inlineStr">
        <is>
          <t>Föryngringsavverkning</t>
        </is>
      </c>
      <c r="D64" s="1" t="n">
        <v>46091</v>
      </c>
      <c r="E64" s="1" t="n">
        <v>46260</v>
      </c>
      <c r="F64" t="inlineStr">
        <is>
          <t>UPPSALA LÄN</t>
        </is>
      </c>
      <c r="G64" t="inlineStr">
        <is>
          <t>KNIVSTA</t>
        </is>
      </c>
      <c r="H64" t="inlineStr">
        <is>
          <t>Holmen skog AB</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13011-2026</t>
        </is>
      </c>
      <c r="B65" t="inlineStr">
        <is>
          <t>avverkningsanmälan</t>
        </is>
      </c>
      <c r="C65" t="inlineStr">
        <is>
          <t>Föryngringsavverkning</t>
        </is>
      </c>
      <c r="D65" s="1" t="n">
        <v>46092</v>
      </c>
      <c r="E65" s="1" t="n">
        <v>46260</v>
      </c>
      <c r="F65" t="inlineStr">
        <is>
          <t>UPPSALA LÄN</t>
        </is>
      </c>
      <c r="G65" t="inlineStr">
        <is>
          <t>KNIVSTA</t>
        </is>
      </c>
      <c r="H65" t="inlineStr">
        <is>
          <t>Holmen skog AB</t>
        </is>
      </c>
      <c r="I65" t="n">
        <v>1.9</v>
      </c>
      <c r="J65" t="n">
        <v>0</v>
      </c>
      <c r="K65" t="n">
        <v>0</v>
      </c>
      <c r="L65" t="n">
        <v>0</v>
      </c>
      <c r="M65" t="n">
        <v>0</v>
      </c>
      <c r="N65" t="n">
        <v>0</v>
      </c>
      <c r="O65" t="n">
        <v>0</v>
      </c>
      <c r="P65" t="n">
        <v>0</v>
      </c>
      <c r="Q65" t="n">
        <v>0</v>
      </c>
      <c r="R65" t="n">
        <v>0</v>
      </c>
      <c r="S65" t="n">
        <v>0</v>
      </c>
      <c r="T65" t="n">
        <v>0</v>
      </c>
      <c r="U65" t="n">
        <v>0</v>
      </c>
      <c r="V65" s="2" t="inlineStr"/>
      <c r="Z65">
        <f>HYPERLINK("https://klasma.github.io/Logging_0330/knärot/A 13011-2026 karta knärot.png", "A 13011-2026")</f>
        <v/>
      </c>
      <c r="AA65">
        <f>HYPERLINK("https://klasma.github.io/Logging_0330/klagomål/A 13011-2026 FSC-klagomål.docx", "A 13011-2026")</f>
        <v/>
      </c>
      <c r="AB65">
        <f>HYPERLINK("https://klasma.github.io/Logging_0330/klagomålsmail/A 13011-2026 FSC-klagomål mail.docx", "A 13011-2026")</f>
        <v/>
      </c>
      <c r="AC65">
        <f>HYPERLINK("https://klasma.github.io/Logging_0330/tillsyn/A 13011-2026 tillsynsbegäran.docx", "A 13011-2026")</f>
        <v/>
      </c>
      <c r="AD65">
        <f>HYPERLINK("https://klasma.github.io/Logging_0330/tillsynsmail/A 13011-2026 tillsynsbegäran mail.docx", "A 13011-2026")</f>
        <v/>
      </c>
    </row>
    <row r="66" ht="15" customHeight="1">
      <c r="A66" t="inlineStr">
        <is>
          <t>A 13013-2026</t>
        </is>
      </c>
      <c r="B66" t="inlineStr">
        <is>
          <t>avverkningsanmälan</t>
        </is>
      </c>
      <c r="C66" t="inlineStr">
        <is>
          <t>Föryngringsavverkning</t>
        </is>
      </c>
      <c r="D66" s="1" t="n">
        <v>46092</v>
      </c>
      <c r="E66" s="1" t="n">
        <v>46260</v>
      </c>
      <c r="F66" t="inlineStr">
        <is>
          <t>UPPSALA LÄN</t>
        </is>
      </c>
      <c r="G66" t="inlineStr">
        <is>
          <t>KNIVSTA</t>
        </is>
      </c>
      <c r="H66" t="inlineStr">
        <is>
          <t>Holmen skog AB</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13001-2026</t>
        </is>
      </c>
      <c r="B67" t="inlineStr">
        <is>
          <t>avverkningsanmälan</t>
        </is>
      </c>
      <c r="C67" t="inlineStr">
        <is>
          <t>Föryngringsavverkning</t>
        </is>
      </c>
      <c r="D67" s="1" t="n">
        <v>46092</v>
      </c>
      <c r="E67" s="1" t="n">
        <v>46260</v>
      </c>
      <c r="F67" t="inlineStr">
        <is>
          <t>UPPSALA LÄN</t>
        </is>
      </c>
      <c r="G67" t="inlineStr">
        <is>
          <t>KNIVSTA</t>
        </is>
      </c>
      <c r="H67" t="inlineStr">
        <is>
          <t>Holmen skog AB</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13005-2026</t>
        </is>
      </c>
      <c r="B68" t="inlineStr">
        <is>
          <t>avverkningsanmälan</t>
        </is>
      </c>
      <c r="C68" t="inlineStr">
        <is>
          <t>Föryngringsavverkning</t>
        </is>
      </c>
      <c r="D68" s="1" t="n">
        <v>46092</v>
      </c>
      <c r="E68" s="1" t="n">
        <v>46260</v>
      </c>
      <c r="F68" t="inlineStr">
        <is>
          <t>UPPSALA LÄN</t>
        </is>
      </c>
      <c r="G68" t="inlineStr">
        <is>
          <t>KNIVSTA</t>
        </is>
      </c>
      <c r="H68" t="inlineStr">
        <is>
          <t>Holmen skog AB</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13016-2026</t>
        </is>
      </c>
      <c r="B69" t="inlineStr">
        <is>
          <t>avverkningsanmälan</t>
        </is>
      </c>
      <c r="C69" t="inlineStr">
        <is>
          <t>Föryngringsavverkning</t>
        </is>
      </c>
      <c r="D69" s="1" t="n">
        <v>46092</v>
      </c>
      <c r="E69" s="1" t="n">
        <v>46260</v>
      </c>
      <c r="F69" t="inlineStr">
        <is>
          <t>UPPSALA LÄN</t>
        </is>
      </c>
      <c r="G69" t="inlineStr">
        <is>
          <t>KNIVSTA</t>
        </is>
      </c>
      <c r="H69" t="inlineStr">
        <is>
          <t>Holmen skog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47803-2025</t>
        </is>
      </c>
      <c r="B70" t="inlineStr">
        <is>
          <t>avverkningsanmälan</t>
        </is>
      </c>
      <c r="C70" t="inlineStr">
        <is>
          <t>Avverkning för annat ändamål</t>
        </is>
      </c>
      <c r="D70" s="1" t="n">
        <v>45931</v>
      </c>
      <c r="E70" s="1" t="n">
        <v>46260</v>
      </c>
      <c r="F70" t="inlineStr">
        <is>
          <t>UPPSALA LÄN</t>
        </is>
      </c>
      <c r="G70" t="inlineStr">
        <is>
          <t>KNIVSTA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1791-2024</t>
        </is>
      </c>
      <c r="B71" t="inlineStr">
        <is>
          <t>avverkningsanmälan</t>
        </is>
      </c>
      <c r="C71" t="inlineStr">
        <is>
          <t>Föryngringsavverkning</t>
        </is>
      </c>
      <c r="D71" s="1" t="n">
        <v>45307</v>
      </c>
      <c r="E71" s="1" t="n">
        <v>46260</v>
      </c>
      <c r="F71" t="inlineStr">
        <is>
          <t>UPPSALA LÄN</t>
        </is>
      </c>
      <c r="G71" t="inlineStr">
        <is>
          <t>KNIVSTA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49090-2025</t>
        </is>
      </c>
      <c r="B72" t="inlineStr">
        <is>
          <t>avverkningsanmälan</t>
        </is>
      </c>
      <c r="C72" t="inlineStr">
        <is>
          <t>Föryngringsavverkning</t>
        </is>
      </c>
      <c r="D72" s="1" t="n">
        <v>45937</v>
      </c>
      <c r="E72" s="1" t="n">
        <v>46260</v>
      </c>
      <c r="F72" t="inlineStr">
        <is>
          <t>UPPSALA LÄN</t>
        </is>
      </c>
      <c r="G72" t="inlineStr">
        <is>
          <t>KNIVSTA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19774-2026</t>
        </is>
      </c>
      <c r="B73" t="inlineStr">
        <is>
          <t>avverkningsanmälan</t>
        </is>
      </c>
      <c r="C73" t="inlineStr">
        <is>
          <t>Föryngringsavverkning</t>
        </is>
      </c>
      <c r="D73" s="1" t="n">
        <v>46135</v>
      </c>
      <c r="E73" s="1" t="n">
        <v>46260</v>
      </c>
      <c r="F73" t="inlineStr">
        <is>
          <t>UPPSALA LÄN</t>
        </is>
      </c>
      <c r="G73" t="inlineStr">
        <is>
          <t>KNIVSTA</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23239-2023</t>
        </is>
      </c>
      <c r="B74" t="inlineStr">
        <is>
          <t>avverkningsanmälan</t>
        </is>
      </c>
      <c r="C74" t="inlineStr">
        <is>
          <t>Föryngringsavverkning</t>
        </is>
      </c>
      <c r="D74" s="1" t="n">
        <v>45075</v>
      </c>
      <c r="E74" s="1" t="n">
        <v>46260</v>
      </c>
      <c r="F74" t="inlineStr">
        <is>
          <t>UPPSALA LÄN</t>
        </is>
      </c>
      <c r="G74" t="inlineStr">
        <is>
          <t>KNIVSTA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52666-2025</t>
        </is>
      </c>
      <c r="B75" t="inlineStr">
        <is>
          <t>avverkningsanmälan</t>
        </is>
      </c>
      <c r="C75" t="inlineStr">
        <is>
          <t>Föryngringsavverkning</t>
        </is>
      </c>
      <c r="D75" s="1" t="n">
        <v>45955</v>
      </c>
      <c r="E75" s="1" t="n">
        <v>46260</v>
      </c>
      <c r="F75" t="inlineStr">
        <is>
          <t>UPPSALA LÄN</t>
        </is>
      </c>
      <c r="G75" t="inlineStr">
        <is>
          <t>KNIVSTA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60243-2025</t>
        </is>
      </c>
      <c r="B76" t="inlineStr">
        <is>
          <t>avverkningsanmälan</t>
        </is>
      </c>
      <c r="C76" t="inlineStr">
        <is>
          <t>Föryngringsavverkning</t>
        </is>
      </c>
      <c r="D76" s="1" t="n">
        <v>45994</v>
      </c>
      <c r="E76" s="1" t="n">
        <v>46260</v>
      </c>
      <c r="F76" t="inlineStr">
        <is>
          <t>UPPSALA LÄN</t>
        </is>
      </c>
      <c r="G76" t="inlineStr">
        <is>
          <t>KNIVSTA</t>
        </is>
      </c>
      <c r="H76" t="inlineStr">
        <is>
          <t>Holmen skog AB</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66284-2021</t>
        </is>
      </c>
      <c r="B77" t="inlineStr">
        <is>
          <t>avverkningsanmälan</t>
        </is>
      </c>
      <c r="C77" t="inlineStr">
        <is>
          <t>Föryngringsavverkning</t>
        </is>
      </c>
      <c r="D77" s="1" t="n">
        <v>44518</v>
      </c>
      <c r="E77" s="1" t="n">
        <v>46260</v>
      </c>
      <c r="F77" t="inlineStr">
        <is>
          <t>UPPSALA LÄN</t>
        </is>
      </c>
      <c r="G77" t="inlineStr">
        <is>
          <t>KNIVSTA</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33974-2025</t>
        </is>
      </c>
      <c r="B78" t="inlineStr">
        <is>
          <t>avverkningsanmälan</t>
        </is>
      </c>
      <c r="C78" t="inlineStr">
        <is>
          <t>Föryngringsavverkning</t>
        </is>
      </c>
      <c r="D78" s="1" t="n">
        <v>45843</v>
      </c>
      <c r="E78" s="1" t="n">
        <v>46260</v>
      </c>
      <c r="F78" t="inlineStr">
        <is>
          <t>UPPSALA LÄN</t>
        </is>
      </c>
      <c r="G78" t="inlineStr">
        <is>
          <t>KNIVSTA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20528-2026</t>
        </is>
      </c>
      <c r="B79" t="inlineStr">
        <is>
          <t>avverkningsanmälan</t>
        </is>
      </c>
      <c r="C79" t="inlineStr">
        <is>
          <t>Föryngringsavverkning</t>
        </is>
      </c>
      <c r="D79" s="1" t="n">
        <v>46140</v>
      </c>
      <c r="E79" s="1" t="n">
        <v>46260</v>
      </c>
      <c r="F79" t="inlineStr">
        <is>
          <t>UPPSALA LÄN</t>
        </is>
      </c>
      <c r="G79" t="inlineStr">
        <is>
          <t>KNIVSTA</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19777-2026</t>
        </is>
      </c>
      <c r="B80" t="inlineStr">
        <is>
          <t>avverkningsanmälan</t>
        </is>
      </c>
      <c r="C80" t="inlineStr">
        <is>
          <t>Föryngringsavverkning</t>
        </is>
      </c>
      <c r="D80" s="1" t="n">
        <v>46135</v>
      </c>
      <c r="E80" s="1" t="n">
        <v>46260</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662-2026</t>
        </is>
      </c>
      <c r="B81" t="inlineStr">
        <is>
          <t>avverkningsanmälan</t>
        </is>
      </c>
      <c r="C81" t="inlineStr">
        <is>
          <t>Föryngringsavverkning</t>
        </is>
      </c>
      <c r="D81" s="1" t="n">
        <v>46029</v>
      </c>
      <c r="E81" s="1" t="n">
        <v>46260</v>
      </c>
      <c r="F81" t="inlineStr">
        <is>
          <t>UPPSALA LÄN</t>
        </is>
      </c>
      <c r="G81" t="inlineStr">
        <is>
          <t>KNIVSTA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11847-2023</t>
        </is>
      </c>
      <c r="B82" t="inlineStr">
        <is>
          <t>avverkningsanmälan</t>
        </is>
      </c>
      <c r="C82" t="inlineStr">
        <is>
          <t>Föryngringsavverkning</t>
        </is>
      </c>
      <c r="D82" s="1" t="n">
        <v>44995</v>
      </c>
      <c r="E82" s="1" t="n">
        <v>46260</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34864-2025</t>
        </is>
      </c>
      <c r="B83" t="inlineStr">
        <is>
          <t>avverkningsanmälan</t>
        </is>
      </c>
      <c r="C83" t="inlineStr">
        <is>
          <t>Föryngringsavverkning</t>
        </is>
      </c>
      <c r="D83" s="1" t="n">
        <v>45849</v>
      </c>
      <c r="E83" s="1" t="n">
        <v>46260</v>
      </c>
      <c r="F83" t="inlineStr">
        <is>
          <t>UPPSALA LÄN</t>
        </is>
      </c>
      <c r="G83" t="inlineStr">
        <is>
          <t>KNIVSTA</t>
        </is>
      </c>
      <c r="H83" t="inlineStr">
        <is>
          <t>Holmen skog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35318-2025</t>
        </is>
      </c>
      <c r="B84" t="inlineStr">
        <is>
          <t>avverkningsanmälan</t>
        </is>
      </c>
      <c r="C84" t="inlineStr">
        <is>
          <t>Föryngringsavverkning</t>
        </is>
      </c>
      <c r="D84" s="1" t="n">
        <v>45854</v>
      </c>
      <c r="E84" s="1" t="n">
        <v>46260</v>
      </c>
      <c r="F84" t="inlineStr">
        <is>
          <t>UPPSALA LÄN</t>
        </is>
      </c>
      <c r="G84" t="inlineStr">
        <is>
          <t>KNIVSTA</t>
        </is>
      </c>
      <c r="H84" t="inlineStr">
        <is>
          <t>Holmen skog AB</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23969-2026</t>
        </is>
      </c>
      <c r="B85" t="inlineStr">
        <is>
          <t>avverkningsanmälan</t>
        </is>
      </c>
      <c r="C85" t="inlineStr">
        <is>
          <t>Föryngringsavverkning</t>
        </is>
      </c>
      <c r="D85" s="1" t="n">
        <v>46167</v>
      </c>
      <c r="E85" s="1" t="n">
        <v>46260</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36473-2025</t>
        </is>
      </c>
      <c r="B86" t="inlineStr">
        <is>
          <t>avverkningsanmälan</t>
        </is>
      </c>
      <c r="C86" t="inlineStr">
        <is>
          <t>Föryngringsavverkning</t>
        </is>
      </c>
      <c r="D86" s="1" t="n">
        <v>45869</v>
      </c>
      <c r="E86" s="1" t="n">
        <v>46260</v>
      </c>
      <c r="F86" t="inlineStr">
        <is>
          <t>UPPSALA LÄN</t>
        </is>
      </c>
      <c r="G86" t="inlineStr">
        <is>
          <t>KNIVSTA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30351-2022</t>
        </is>
      </c>
      <c r="B87" t="inlineStr">
        <is>
          <t>avverkningsanmälan</t>
        </is>
      </c>
      <c r="C87" t="inlineStr">
        <is>
          <t>Föryngringsavverkning</t>
        </is>
      </c>
      <c r="D87" s="1" t="n">
        <v>44757</v>
      </c>
      <c r="E87" s="1" t="n">
        <v>46260</v>
      </c>
      <c r="F87" t="inlineStr">
        <is>
          <t>UPPSALA LÄN</t>
        </is>
      </c>
      <c r="G87" t="inlineStr">
        <is>
          <t>KNIVSTA</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31875-2022</t>
        </is>
      </c>
      <c r="B88" t="inlineStr">
        <is>
          <t>avverkningsanmälan</t>
        </is>
      </c>
      <c r="C88" t="inlineStr">
        <is>
          <t>Föryngringsavverkning</t>
        </is>
      </c>
      <c r="D88" s="1" t="n">
        <v>44777</v>
      </c>
      <c r="E88" s="1" t="n">
        <v>46260</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46260</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28668-2026</t>
        </is>
      </c>
      <c r="B90" t="inlineStr">
        <is>
          <t>avverkningsanmälan</t>
        </is>
      </c>
      <c r="C90" t="inlineStr">
        <is>
          <t>Avverkning för annat ändamål</t>
        </is>
      </c>
      <c r="D90" s="1" t="n">
        <v>46193</v>
      </c>
      <c r="E90" s="1" t="n">
        <v>46260</v>
      </c>
      <c r="F90" t="inlineStr">
        <is>
          <t>UPPSALA LÄN</t>
        </is>
      </c>
      <c r="G90" t="inlineStr">
        <is>
          <t>KNIVSTA</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46260</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46260</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46260</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46260</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46260</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46260</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34604-2026</t>
        </is>
      </c>
      <c r="B97" t="inlineStr">
        <is>
          <t>avverkningsanmälan</t>
        </is>
      </c>
      <c r="C97" t="inlineStr">
        <is>
          <t>Föryngringsavverkning</t>
        </is>
      </c>
      <c r="D97" s="1" t="n">
        <v>46255</v>
      </c>
      <c r="E97" s="1" t="n">
        <v>46260</v>
      </c>
      <c r="F97" t="inlineStr">
        <is>
          <t>UPPSALA LÄN</t>
        </is>
      </c>
      <c r="G97" t="inlineStr">
        <is>
          <t>KNIVSTA</t>
        </is>
      </c>
      <c r="H97" t="inlineStr">
        <is>
          <t>Holmen skog AB</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46260</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46260</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19676-2025</t>
        </is>
      </c>
      <c r="B100" t="inlineStr">
        <is>
          <t>avverkningsanmälan</t>
        </is>
      </c>
      <c r="C100" t="inlineStr">
        <is>
          <t>Föryngringsavverkning</t>
        </is>
      </c>
      <c r="D100" s="1" t="n">
        <v>45770</v>
      </c>
      <c r="E100" s="1" t="n">
        <v>46260</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46260</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1629-2024</t>
        </is>
      </c>
      <c r="B102" t="inlineStr">
        <is>
          <t>avverkningsanmälan</t>
        </is>
      </c>
      <c r="C102" t="inlineStr">
        <is>
          <t>Föryngringsavverkning</t>
        </is>
      </c>
      <c r="D102" s="1" t="n">
        <v>45306</v>
      </c>
      <c r="E102" s="1" t="n">
        <v>46260</v>
      </c>
      <c r="F102" t="inlineStr">
        <is>
          <t>UPPSALA LÄN</t>
        </is>
      </c>
      <c r="G102" t="inlineStr">
        <is>
          <t>KNIVSTA</t>
        </is>
      </c>
      <c r="H102" t="inlineStr">
        <is>
          <t>Holmen skog AB</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46260</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46260</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46260</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46260</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2026-08-26T01:53:11Z</dcterms:created>
  <dcterms:modified xmlns:dcterms="http://purl.org/dc/terms/" xmlns:xsi="http://www.w3.org/2001/XMLSchema-instance" xsi:type="dcterms:W3CDTF">2026-08-26T01:53:12Z</dcterms:modified>
</cp:coreProperties>
</file>