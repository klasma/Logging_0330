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46195</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46195</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46195</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46195</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46195</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46195</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46195</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46195</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46195</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46195</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46195</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46195</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46195</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46195</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46195</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46195</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11405-2025</t>
        </is>
      </c>
      <c r="B18" s="1" t="n">
        <v>45726</v>
      </c>
      <c r="C18" s="1" t="n">
        <v>46195</v>
      </c>
      <c r="D18" t="inlineStr">
        <is>
          <t>UPPSALA LÄN</t>
        </is>
      </c>
      <c r="E18" t="inlineStr">
        <is>
          <t>KNIVSTA</t>
        </is>
      </c>
      <c r="G18" t="n">
        <v>1.6</v>
      </c>
      <c r="H18" t="n">
        <v>0</v>
      </c>
      <c r="I18" t="n">
        <v>0</v>
      </c>
      <c r="J18" t="n">
        <v>0</v>
      </c>
      <c r="K18" t="n">
        <v>1</v>
      </c>
      <c r="L18" t="n">
        <v>0</v>
      </c>
      <c r="M18" t="n">
        <v>0</v>
      </c>
      <c r="N18" t="n">
        <v>0</v>
      </c>
      <c r="O18" t="n">
        <v>1</v>
      </c>
      <c r="P18" t="n">
        <v>1</v>
      </c>
      <c r="Q18" t="n">
        <v>1</v>
      </c>
      <c r="R18" s="2" t="inlineStr">
        <is>
          <t>Fältgentiana</t>
        </is>
      </c>
      <c r="S18">
        <f>HYPERLINK("https://klasma.github.io/Logging_0330/artfynd/A 11405-2025 artfynd.xlsx", "A 11405-2025")</f>
        <v/>
      </c>
      <c r="T18">
        <f>HYPERLINK("https://klasma.github.io/Logging_0330/kartor/A 11405-2025 karta.png", "A 11405-2025")</f>
        <v/>
      </c>
      <c r="V18">
        <f>HYPERLINK("https://klasma.github.io/Logging_0330/klagomål/A 11405-2025 FSC-klagomål.docx", "A 11405-2025")</f>
        <v/>
      </c>
      <c r="W18">
        <f>HYPERLINK("https://klasma.github.io/Logging_0330/klagomålsmail/A 11405-2025 FSC-klagomål mail.docx", "A 11405-2025")</f>
        <v/>
      </c>
      <c r="X18">
        <f>HYPERLINK("https://klasma.github.io/Logging_0330/tillsyn/A 11405-2025 tillsynsbegäran.docx", "A 11405-2025")</f>
        <v/>
      </c>
      <c r="Y18">
        <f>HYPERLINK("https://klasma.github.io/Logging_0330/tillsynsmail/A 11405-2025 tillsynsbegäran mail.docx", "A 11405-2025")</f>
        <v/>
      </c>
    </row>
    <row r="19" ht="15" customHeight="1">
      <c r="A19" t="inlineStr">
        <is>
          <t>A 2171-2024</t>
        </is>
      </c>
      <c r="B19" s="1" t="n">
        <v>45309</v>
      </c>
      <c r="C19" s="1" t="n">
        <v>46195</v>
      </c>
      <c r="D19" t="inlineStr">
        <is>
          <t>UPPSALA LÄN</t>
        </is>
      </c>
      <c r="E19" t="inlineStr">
        <is>
          <t>KNIVSTA</t>
        </is>
      </c>
      <c r="F19" t="inlineStr">
        <is>
          <t>Holmen skog AB</t>
        </is>
      </c>
      <c r="G19" t="n">
        <v>3.3</v>
      </c>
      <c r="H19" t="n">
        <v>1</v>
      </c>
      <c r="I19" t="n">
        <v>0</v>
      </c>
      <c r="J19" t="n">
        <v>0</v>
      </c>
      <c r="K19" t="n">
        <v>0</v>
      </c>
      <c r="L19" t="n">
        <v>0</v>
      </c>
      <c r="M19" t="n">
        <v>0</v>
      </c>
      <c r="N19" t="n">
        <v>0</v>
      </c>
      <c r="O19" t="n">
        <v>0</v>
      </c>
      <c r="P19" t="n">
        <v>0</v>
      </c>
      <c r="Q19" t="n">
        <v>1</v>
      </c>
      <c r="R19" s="2" t="inlineStr">
        <is>
          <t>Blåsippa</t>
        </is>
      </c>
      <c r="S19">
        <f>HYPERLINK("https://klasma.github.io/Logging_0330/artfynd/A 2171-2024 artfynd.xlsx", "A 2171-2024")</f>
        <v/>
      </c>
      <c r="T19">
        <f>HYPERLINK("https://klasma.github.io/Logging_0330/kartor/A 2171-2024 karta.png", "A 2171-2024")</f>
        <v/>
      </c>
      <c r="V19">
        <f>HYPERLINK("https://klasma.github.io/Logging_0330/klagomål/A 2171-2024 FSC-klagomål.docx", "A 2171-2024")</f>
        <v/>
      </c>
      <c r="W19">
        <f>HYPERLINK("https://klasma.github.io/Logging_0330/klagomålsmail/A 2171-2024 FSC-klagomål mail.docx", "A 2171-2024")</f>
        <v/>
      </c>
      <c r="X19">
        <f>HYPERLINK("https://klasma.github.io/Logging_0330/tillsyn/A 2171-2024 tillsynsbegäran.docx", "A 2171-2024")</f>
        <v/>
      </c>
      <c r="Y19">
        <f>HYPERLINK("https://klasma.github.io/Logging_0330/tillsynsmail/A 2171-2024 tillsynsbegäran mail.docx", "A 2171-2024")</f>
        <v/>
      </c>
    </row>
    <row r="20" ht="15" customHeight="1">
      <c r="A20" t="inlineStr">
        <is>
          <t>A 33770-2023</t>
        </is>
      </c>
      <c r="B20" s="1" t="n">
        <v>45133</v>
      </c>
      <c r="C20" s="1" t="n">
        <v>46195</v>
      </c>
      <c r="D20" t="inlineStr">
        <is>
          <t>UPPSALA LÄN</t>
        </is>
      </c>
      <c r="E20" t="inlineStr">
        <is>
          <t>KNIVSTA</t>
        </is>
      </c>
      <c r="F20" t="inlineStr">
        <is>
          <t>Holmen skog AB</t>
        </is>
      </c>
      <c r="G20" t="n">
        <v>4</v>
      </c>
      <c r="H20" t="n">
        <v>1</v>
      </c>
      <c r="I20" t="n">
        <v>0</v>
      </c>
      <c r="J20" t="n">
        <v>0</v>
      </c>
      <c r="K20" t="n">
        <v>0</v>
      </c>
      <c r="L20" t="n">
        <v>0</v>
      </c>
      <c r="M20" t="n">
        <v>0</v>
      </c>
      <c r="N20" t="n">
        <v>0</v>
      </c>
      <c r="O20" t="n">
        <v>0</v>
      </c>
      <c r="P20" t="n">
        <v>0</v>
      </c>
      <c r="Q20" t="n">
        <v>1</v>
      </c>
      <c r="R20" s="2" t="inlineStr">
        <is>
          <t>Slaguggla</t>
        </is>
      </c>
      <c r="S20">
        <f>HYPERLINK("https://klasma.github.io/Logging_0330/artfynd/A 33770-2023 artfynd.xlsx", "A 33770-2023")</f>
        <v/>
      </c>
      <c r="T20">
        <f>HYPERLINK("https://klasma.github.io/Logging_0330/kartor/A 33770-2023 karta.png", "A 33770-2023")</f>
        <v/>
      </c>
      <c r="V20">
        <f>HYPERLINK("https://klasma.github.io/Logging_0330/klagomål/A 33770-2023 FSC-klagomål.docx", "A 33770-2023")</f>
        <v/>
      </c>
      <c r="W20">
        <f>HYPERLINK("https://klasma.github.io/Logging_0330/klagomålsmail/A 33770-2023 FSC-klagomål mail.docx", "A 33770-2023")</f>
        <v/>
      </c>
      <c r="X20">
        <f>HYPERLINK("https://klasma.github.io/Logging_0330/tillsyn/A 33770-2023 tillsynsbegäran.docx", "A 33770-2023")</f>
        <v/>
      </c>
      <c r="Y20">
        <f>HYPERLINK("https://klasma.github.io/Logging_0330/tillsynsmail/A 33770-2023 tillsynsbegäran mail.docx", "A 33770-2023")</f>
        <v/>
      </c>
      <c r="Z20">
        <f>HYPERLINK("https://klasma.github.io/Logging_0330/fåglar/A 33770-2023 prioriterade fågelarter.docx", "A 33770-2023")</f>
        <v/>
      </c>
    </row>
    <row r="21" ht="15" customHeight="1">
      <c r="A21" t="inlineStr">
        <is>
          <t>A 60885-2021</t>
        </is>
      </c>
      <c r="B21" s="1" t="n">
        <v>44497</v>
      </c>
      <c r="C21" s="1" t="n">
        <v>46195</v>
      </c>
      <c r="D21" t="inlineStr">
        <is>
          <t>UPPSALA LÄN</t>
        </is>
      </c>
      <c r="E21" t="inlineStr">
        <is>
          <t>KNIVSTA</t>
        </is>
      </c>
      <c r="G21" t="n">
        <v>1.5</v>
      </c>
      <c r="H21" t="n">
        <v>0</v>
      </c>
      <c r="I21" t="n">
        <v>1</v>
      </c>
      <c r="J21" t="n">
        <v>0</v>
      </c>
      <c r="K21" t="n">
        <v>0</v>
      </c>
      <c r="L21" t="n">
        <v>0</v>
      </c>
      <c r="M21" t="n">
        <v>0</v>
      </c>
      <c r="N21" t="n">
        <v>0</v>
      </c>
      <c r="O21" t="n">
        <v>0</v>
      </c>
      <c r="P21" t="n">
        <v>0</v>
      </c>
      <c r="Q21" t="n">
        <v>1</v>
      </c>
      <c r="R21" s="2" t="inlineStr">
        <is>
          <t>Sotlav</t>
        </is>
      </c>
      <c r="S21">
        <f>HYPERLINK("https://klasma.github.io/Logging_0330/artfynd/A 60885-2021 artfynd.xlsx", "A 60885-2021")</f>
        <v/>
      </c>
      <c r="T21">
        <f>HYPERLINK("https://klasma.github.io/Logging_0330/kartor/A 60885-2021 karta.png", "A 60885-2021")</f>
        <v/>
      </c>
      <c r="V21">
        <f>HYPERLINK("https://klasma.github.io/Logging_0330/klagomål/A 60885-2021 FSC-klagomål.docx", "A 60885-2021")</f>
        <v/>
      </c>
      <c r="W21">
        <f>HYPERLINK("https://klasma.github.io/Logging_0330/klagomålsmail/A 60885-2021 FSC-klagomål mail.docx", "A 60885-2021")</f>
        <v/>
      </c>
      <c r="X21">
        <f>HYPERLINK("https://klasma.github.io/Logging_0330/tillsyn/A 60885-2021 tillsynsbegäran.docx", "A 60885-2021")</f>
        <v/>
      </c>
      <c r="Y21">
        <f>HYPERLINK("https://klasma.github.io/Logging_0330/tillsynsmail/A 60885-2021 tillsynsbegäran mail.docx", "A 60885-2021")</f>
        <v/>
      </c>
    </row>
    <row r="22" ht="15" customHeight="1">
      <c r="A22" t="inlineStr">
        <is>
          <t>A 5402-2023</t>
        </is>
      </c>
      <c r="B22" s="1" t="n">
        <v>44959</v>
      </c>
      <c r="C22" s="1" t="n">
        <v>46195</v>
      </c>
      <c r="D22" t="inlineStr">
        <is>
          <t>UPPSALA LÄN</t>
        </is>
      </c>
      <c r="E22" t="inlineStr">
        <is>
          <t>KNIVSTA</t>
        </is>
      </c>
      <c r="G22" t="n">
        <v>4.3</v>
      </c>
      <c r="H22" t="n">
        <v>0</v>
      </c>
      <c r="I22" t="n">
        <v>0</v>
      </c>
      <c r="J22" t="n">
        <v>0</v>
      </c>
      <c r="K22" t="n">
        <v>1</v>
      </c>
      <c r="L22" t="n">
        <v>0</v>
      </c>
      <c r="M22" t="n">
        <v>0</v>
      </c>
      <c r="N22" t="n">
        <v>0</v>
      </c>
      <c r="O22" t="n">
        <v>1</v>
      </c>
      <c r="P22" t="n">
        <v>1</v>
      </c>
      <c r="Q22" t="n">
        <v>1</v>
      </c>
      <c r="R22" s="2" t="inlineStr">
        <is>
          <t>Askfingersvamp</t>
        </is>
      </c>
      <c r="S22">
        <f>HYPERLINK("https://klasma.github.io/Logging_0330/artfynd/A 5402-2023 artfynd.xlsx", "A 5402-2023")</f>
        <v/>
      </c>
      <c r="T22">
        <f>HYPERLINK("https://klasma.github.io/Logging_0330/kartor/A 5402-2023 karta.png", "A 5402-2023")</f>
        <v/>
      </c>
      <c r="V22">
        <f>HYPERLINK("https://klasma.github.io/Logging_0330/klagomål/A 5402-2023 FSC-klagomål.docx", "A 5402-2023")</f>
        <v/>
      </c>
      <c r="W22">
        <f>HYPERLINK("https://klasma.github.io/Logging_0330/klagomålsmail/A 5402-2023 FSC-klagomål mail.docx", "A 5402-2023")</f>
        <v/>
      </c>
      <c r="X22">
        <f>HYPERLINK("https://klasma.github.io/Logging_0330/tillsyn/A 5402-2023 tillsynsbegäran.docx", "A 5402-2023")</f>
        <v/>
      </c>
      <c r="Y22">
        <f>HYPERLINK("https://klasma.github.io/Logging_0330/tillsynsmail/A 5402-2023 tillsynsbegäran mail.docx", "A 5402-2023")</f>
        <v/>
      </c>
    </row>
    <row r="23" ht="15" customHeight="1">
      <c r="A23" t="inlineStr">
        <is>
          <t>A 666-2026</t>
        </is>
      </c>
      <c r="B23" s="1" t="n">
        <v>46029</v>
      </c>
      <c r="C23" s="1" t="n">
        <v>46195</v>
      </c>
      <c r="D23" t="inlineStr">
        <is>
          <t>UPPSALA LÄN</t>
        </is>
      </c>
      <c r="E23" t="inlineStr">
        <is>
          <t>KNIVSTA</t>
        </is>
      </c>
      <c r="G23" t="n">
        <v>1.8</v>
      </c>
      <c r="H23" t="n">
        <v>1</v>
      </c>
      <c r="I23" t="n">
        <v>0</v>
      </c>
      <c r="J23" t="n">
        <v>0</v>
      </c>
      <c r="K23" t="n">
        <v>0</v>
      </c>
      <c r="L23" t="n">
        <v>0</v>
      </c>
      <c r="M23" t="n">
        <v>0</v>
      </c>
      <c r="N23" t="n">
        <v>0</v>
      </c>
      <c r="O23" t="n">
        <v>0</v>
      </c>
      <c r="P23" t="n">
        <v>0</v>
      </c>
      <c r="Q23" t="n">
        <v>1</v>
      </c>
      <c r="R23" s="2" t="inlineStr">
        <is>
          <t>Havsörn</t>
        </is>
      </c>
      <c r="S23">
        <f>HYPERLINK("https://klasma.github.io/Logging_0330/artfynd/A 666-2026 artfynd.xlsx", "A 666-2026")</f>
        <v/>
      </c>
      <c r="T23">
        <f>HYPERLINK("https://klasma.github.io/Logging_0330/kartor/A 666-2026 karta.png", "A 666-2026")</f>
        <v/>
      </c>
      <c r="V23">
        <f>HYPERLINK("https://klasma.github.io/Logging_0330/klagomål/A 666-2026 FSC-klagomål.docx", "A 666-2026")</f>
        <v/>
      </c>
      <c r="W23">
        <f>HYPERLINK("https://klasma.github.io/Logging_0330/klagomålsmail/A 666-2026 FSC-klagomål mail.docx", "A 666-2026")</f>
        <v/>
      </c>
      <c r="X23">
        <f>HYPERLINK("https://klasma.github.io/Logging_0330/tillsyn/A 666-2026 tillsynsbegäran.docx", "A 666-2026")</f>
        <v/>
      </c>
      <c r="Y23">
        <f>HYPERLINK("https://klasma.github.io/Logging_0330/tillsynsmail/A 666-2026 tillsynsbegäran mail.docx", "A 666-2026")</f>
        <v/>
      </c>
      <c r="Z23">
        <f>HYPERLINK("https://klasma.github.io/Logging_0330/fåglar/A 666-2026 prioriterade fågelarter.docx", "A 666-2026")</f>
        <v/>
      </c>
    </row>
    <row r="24" ht="15" customHeight="1">
      <c r="A24" t="inlineStr">
        <is>
          <t>A 3836-2026</t>
        </is>
      </c>
      <c r="B24" s="1" t="n">
        <v>46043</v>
      </c>
      <c r="C24" s="1" t="n">
        <v>46195</v>
      </c>
      <c r="D24" t="inlineStr">
        <is>
          <t>UPPSALA LÄN</t>
        </is>
      </c>
      <c r="E24" t="inlineStr">
        <is>
          <t>KNIVSTA</t>
        </is>
      </c>
      <c r="G24" t="n">
        <v>3.7</v>
      </c>
      <c r="H24" t="n">
        <v>1</v>
      </c>
      <c r="I24" t="n">
        <v>0</v>
      </c>
      <c r="J24" t="n">
        <v>0</v>
      </c>
      <c r="K24" t="n">
        <v>0</v>
      </c>
      <c r="L24" t="n">
        <v>0</v>
      </c>
      <c r="M24" t="n">
        <v>0</v>
      </c>
      <c r="N24" t="n">
        <v>0</v>
      </c>
      <c r="O24" t="n">
        <v>0</v>
      </c>
      <c r="P24" t="n">
        <v>0</v>
      </c>
      <c r="Q24" t="n">
        <v>1</v>
      </c>
      <c r="R24" s="2" t="inlineStr">
        <is>
          <t>Spillkråka</t>
        </is>
      </c>
      <c r="S24">
        <f>HYPERLINK("https://klasma.github.io/Logging_0330/artfynd/A 3836-2026 artfynd.xlsx", "A 3836-2026")</f>
        <v/>
      </c>
      <c r="T24">
        <f>HYPERLINK("https://klasma.github.io/Logging_0330/kartor/A 3836-2026 karta.png", "A 3836-2026")</f>
        <v/>
      </c>
      <c r="V24">
        <f>HYPERLINK("https://klasma.github.io/Logging_0330/klagomål/A 3836-2026 FSC-klagomål.docx", "A 3836-2026")</f>
        <v/>
      </c>
      <c r="W24">
        <f>HYPERLINK("https://klasma.github.io/Logging_0330/klagomålsmail/A 3836-2026 FSC-klagomål mail.docx", "A 3836-2026")</f>
        <v/>
      </c>
      <c r="X24">
        <f>HYPERLINK("https://klasma.github.io/Logging_0330/tillsyn/A 3836-2026 tillsynsbegäran.docx", "A 3836-2026")</f>
        <v/>
      </c>
      <c r="Y24">
        <f>HYPERLINK("https://klasma.github.io/Logging_0330/tillsynsmail/A 3836-2026 tillsynsbegäran mail.docx", "A 3836-2026")</f>
        <v/>
      </c>
      <c r="Z24">
        <f>HYPERLINK("https://klasma.github.io/Logging_0330/fåglar/A 3836-2026 prioriterade fågelarter.docx", "A 3836-2026")</f>
        <v/>
      </c>
    </row>
    <row r="25" ht="15" customHeight="1">
      <c r="A25" t="inlineStr">
        <is>
          <t>A 66305-2021</t>
        </is>
      </c>
      <c r="B25" s="1" t="n">
        <v>44518</v>
      </c>
      <c r="C25" s="1" t="n">
        <v>46195</v>
      </c>
      <c r="D25" t="inlineStr">
        <is>
          <t>UPPSALA LÄN</t>
        </is>
      </c>
      <c r="E25" t="inlineStr">
        <is>
          <t>KNIVSTA</t>
        </is>
      </c>
      <c r="G25" t="n">
        <v>8.300000000000001</v>
      </c>
      <c r="H25" t="n">
        <v>0</v>
      </c>
      <c r="I25" t="n">
        <v>0</v>
      </c>
      <c r="J25" t="n">
        <v>0</v>
      </c>
      <c r="K25" t="n">
        <v>1</v>
      </c>
      <c r="L25" t="n">
        <v>0</v>
      </c>
      <c r="M25" t="n">
        <v>0</v>
      </c>
      <c r="N25" t="n">
        <v>0</v>
      </c>
      <c r="O25" t="n">
        <v>1</v>
      </c>
      <c r="P25" t="n">
        <v>1</v>
      </c>
      <c r="Q25" t="n">
        <v>1</v>
      </c>
      <c r="R25" s="2" t="inlineStr">
        <is>
          <t>Silverblåvinge</t>
        </is>
      </c>
      <c r="S25">
        <f>HYPERLINK("https://klasma.github.io/Logging_0330/artfynd/A 66305-2021 artfynd.xlsx", "A 66305-2021")</f>
        <v/>
      </c>
      <c r="T25">
        <f>HYPERLINK("https://klasma.github.io/Logging_0330/kartor/A 66305-2021 karta.png", "A 66305-2021")</f>
        <v/>
      </c>
      <c r="V25">
        <f>HYPERLINK("https://klasma.github.io/Logging_0330/klagomål/A 66305-2021 FSC-klagomål.docx", "A 66305-2021")</f>
        <v/>
      </c>
      <c r="W25">
        <f>HYPERLINK("https://klasma.github.io/Logging_0330/klagomålsmail/A 66305-2021 FSC-klagomål mail.docx", "A 66305-2021")</f>
        <v/>
      </c>
      <c r="X25">
        <f>HYPERLINK("https://klasma.github.io/Logging_0330/tillsyn/A 66305-2021 tillsynsbegäran.docx", "A 66305-2021")</f>
        <v/>
      </c>
      <c r="Y25">
        <f>HYPERLINK("https://klasma.github.io/Logging_0330/tillsynsmail/A 66305-2021 tillsynsbegäran mail.docx", "A 66305-2021")</f>
        <v/>
      </c>
    </row>
    <row r="26" ht="15" customHeight="1">
      <c r="A26" t="inlineStr">
        <is>
          <t>A 9561-2026</t>
        </is>
      </c>
      <c r="B26" s="1" t="n">
        <v>46071</v>
      </c>
      <c r="C26" s="1" t="n">
        <v>46195</v>
      </c>
      <c r="D26" t="inlineStr">
        <is>
          <t>UPPSALA LÄN</t>
        </is>
      </c>
      <c r="E26" t="inlineStr">
        <is>
          <t>KNIVSTA</t>
        </is>
      </c>
      <c r="F26" t="inlineStr">
        <is>
          <t>Övriga statliga verk och myndigheter</t>
        </is>
      </c>
      <c r="G26" t="n">
        <v>2.6</v>
      </c>
      <c r="H26" t="n">
        <v>0</v>
      </c>
      <c r="I26" t="n">
        <v>0</v>
      </c>
      <c r="J26" t="n">
        <v>1</v>
      </c>
      <c r="K26" t="n">
        <v>0</v>
      </c>
      <c r="L26" t="n">
        <v>0</v>
      </c>
      <c r="M26" t="n">
        <v>0</v>
      </c>
      <c r="N26" t="n">
        <v>0</v>
      </c>
      <c r="O26" t="n">
        <v>1</v>
      </c>
      <c r="P26" t="n">
        <v>0</v>
      </c>
      <c r="Q26" t="n">
        <v>1</v>
      </c>
      <c r="R26" s="2" t="inlineStr">
        <is>
          <t>Svartöra</t>
        </is>
      </c>
      <c r="S26">
        <f>HYPERLINK("https://klasma.github.io/Logging_0330/artfynd/A 9561-2026 artfynd.xlsx", "A 9561-2026")</f>
        <v/>
      </c>
      <c r="T26">
        <f>HYPERLINK("https://klasma.github.io/Logging_0330/kartor/A 9561-2026 karta.png", "A 9561-2026")</f>
        <v/>
      </c>
      <c r="V26">
        <f>HYPERLINK("https://klasma.github.io/Logging_0330/klagomål/A 9561-2026 FSC-klagomål.docx", "A 9561-2026")</f>
        <v/>
      </c>
      <c r="W26">
        <f>HYPERLINK("https://klasma.github.io/Logging_0330/klagomålsmail/A 9561-2026 FSC-klagomål mail.docx", "A 9561-2026")</f>
        <v/>
      </c>
      <c r="X26">
        <f>HYPERLINK("https://klasma.github.io/Logging_0330/tillsyn/A 9561-2026 tillsynsbegäran.docx", "A 9561-2026")</f>
        <v/>
      </c>
      <c r="Y26">
        <f>HYPERLINK("https://klasma.github.io/Logging_0330/tillsynsmail/A 9561-2026 tillsynsbegäran mail.docx", "A 9561-2026")</f>
        <v/>
      </c>
    </row>
    <row r="27" ht="15" customHeight="1">
      <c r="A27" t="inlineStr">
        <is>
          <t>A 12991-2026</t>
        </is>
      </c>
      <c r="B27" s="1" t="n">
        <v>46092</v>
      </c>
      <c r="C27" s="1" t="n">
        <v>46195</v>
      </c>
      <c r="D27" t="inlineStr">
        <is>
          <t>UPPSALA LÄN</t>
        </is>
      </c>
      <c r="E27" t="inlineStr">
        <is>
          <t>KNIVSTA</t>
        </is>
      </c>
      <c r="F27" t="inlineStr">
        <is>
          <t>Holmen skog AB</t>
        </is>
      </c>
      <c r="G27" t="n">
        <v>4.6</v>
      </c>
      <c r="H27" t="n">
        <v>1</v>
      </c>
      <c r="I27" t="n">
        <v>0</v>
      </c>
      <c r="J27" t="n">
        <v>0</v>
      </c>
      <c r="K27" t="n">
        <v>0</v>
      </c>
      <c r="L27" t="n">
        <v>0</v>
      </c>
      <c r="M27" t="n">
        <v>0</v>
      </c>
      <c r="N27" t="n">
        <v>0</v>
      </c>
      <c r="O27" t="n">
        <v>0</v>
      </c>
      <c r="P27" t="n">
        <v>0</v>
      </c>
      <c r="Q27" t="n">
        <v>1</v>
      </c>
      <c r="R27" s="2" t="inlineStr">
        <is>
          <t>Tjäder</t>
        </is>
      </c>
      <c r="S27">
        <f>HYPERLINK("https://klasma.github.io/Logging_0330/artfynd/A 12991-2026 artfynd.xlsx", "A 12991-2026")</f>
        <v/>
      </c>
      <c r="T27">
        <f>HYPERLINK("https://klasma.github.io/Logging_0330/kartor/A 12991-2026 karta.png", "A 12991-2026")</f>
        <v/>
      </c>
      <c r="V27">
        <f>HYPERLINK("https://klasma.github.io/Logging_0330/klagomål/A 12991-2026 FSC-klagomål.docx", "A 12991-2026")</f>
        <v/>
      </c>
      <c r="W27">
        <f>HYPERLINK("https://klasma.github.io/Logging_0330/klagomålsmail/A 12991-2026 FSC-klagomål mail.docx", "A 12991-2026")</f>
        <v/>
      </c>
      <c r="X27">
        <f>HYPERLINK("https://klasma.github.io/Logging_0330/tillsyn/A 12991-2026 tillsynsbegäran.docx", "A 12991-2026")</f>
        <v/>
      </c>
      <c r="Y27">
        <f>HYPERLINK("https://klasma.github.io/Logging_0330/tillsynsmail/A 12991-2026 tillsynsbegäran mail.docx", "A 12991-2026")</f>
        <v/>
      </c>
      <c r="Z27">
        <f>HYPERLINK("https://klasma.github.io/Logging_0330/fåglar/A 12991-2026 prioriterade fågelarter.docx", "A 12991-2026")</f>
        <v/>
      </c>
    </row>
    <row r="28" ht="15" customHeight="1">
      <c r="A28" t="inlineStr">
        <is>
          <t>A 13002-2026</t>
        </is>
      </c>
      <c r="B28" s="1" t="n">
        <v>46092</v>
      </c>
      <c r="C28" s="1" t="n">
        <v>46195</v>
      </c>
      <c r="D28" t="inlineStr">
        <is>
          <t>UPPSALA LÄN</t>
        </is>
      </c>
      <c r="E28" t="inlineStr">
        <is>
          <t>KNIVSTA</t>
        </is>
      </c>
      <c r="F28" t="inlineStr">
        <is>
          <t>Holmen skog AB</t>
        </is>
      </c>
      <c r="G28" t="n">
        <v>0.7</v>
      </c>
      <c r="H28" t="n">
        <v>1</v>
      </c>
      <c r="I28" t="n">
        <v>0</v>
      </c>
      <c r="J28" t="n">
        <v>0</v>
      </c>
      <c r="K28" t="n">
        <v>1</v>
      </c>
      <c r="L28" t="n">
        <v>0</v>
      </c>
      <c r="M28" t="n">
        <v>0</v>
      </c>
      <c r="N28" t="n">
        <v>0</v>
      </c>
      <c r="O28" t="n">
        <v>1</v>
      </c>
      <c r="P28" t="n">
        <v>1</v>
      </c>
      <c r="Q28" t="n">
        <v>1</v>
      </c>
      <c r="R28" s="2" t="inlineStr">
        <is>
          <t>Knärot</t>
        </is>
      </c>
      <c r="S28">
        <f>HYPERLINK("https://klasma.github.io/Logging_0330/artfynd/A 13002-2026 artfynd.xlsx", "A 13002-2026")</f>
        <v/>
      </c>
      <c r="T28">
        <f>HYPERLINK("https://klasma.github.io/Logging_0330/kartor/A 13002-2026 karta.png", "A 13002-2026")</f>
        <v/>
      </c>
      <c r="U28">
        <f>HYPERLINK("https://klasma.github.io/Logging_0330/knärot/A 13002-2026 karta knärot.png", "A 13002-2026")</f>
        <v/>
      </c>
      <c r="V28">
        <f>HYPERLINK("https://klasma.github.io/Logging_0330/klagomål/A 13002-2026 FSC-klagomål.docx", "A 13002-2026")</f>
        <v/>
      </c>
      <c r="W28">
        <f>HYPERLINK("https://klasma.github.io/Logging_0330/klagomålsmail/A 13002-2026 FSC-klagomål mail.docx", "A 13002-2026")</f>
        <v/>
      </c>
      <c r="X28">
        <f>HYPERLINK("https://klasma.github.io/Logging_0330/tillsyn/A 13002-2026 tillsynsbegäran.docx", "A 13002-2026")</f>
        <v/>
      </c>
      <c r="Y28">
        <f>HYPERLINK("https://klasma.github.io/Logging_0330/tillsynsmail/A 13002-2026 tillsynsbegäran mail.docx", "A 13002-2026")</f>
        <v/>
      </c>
    </row>
    <row r="29" ht="15" customHeight="1">
      <c r="A29" t="inlineStr">
        <is>
          <t>A 13380-2026</t>
        </is>
      </c>
      <c r="B29" s="1" t="n">
        <v>46094</v>
      </c>
      <c r="C29" s="1" t="n">
        <v>46195</v>
      </c>
      <c r="D29" t="inlineStr">
        <is>
          <t>UPPSALA LÄN</t>
        </is>
      </c>
      <c r="E29" t="inlineStr">
        <is>
          <t>KNIVSTA</t>
        </is>
      </c>
      <c r="G29" t="n">
        <v>1.7</v>
      </c>
      <c r="H29" t="n">
        <v>1</v>
      </c>
      <c r="I29" t="n">
        <v>0</v>
      </c>
      <c r="J29" t="n">
        <v>0</v>
      </c>
      <c r="K29" t="n">
        <v>0</v>
      </c>
      <c r="L29" t="n">
        <v>0</v>
      </c>
      <c r="M29" t="n">
        <v>0</v>
      </c>
      <c r="N29" t="n">
        <v>0</v>
      </c>
      <c r="O29" t="n">
        <v>0</v>
      </c>
      <c r="P29" t="n">
        <v>0</v>
      </c>
      <c r="Q29" t="n">
        <v>1</v>
      </c>
      <c r="R29" s="2" t="inlineStr">
        <is>
          <t>Spillkråka</t>
        </is>
      </c>
      <c r="S29">
        <f>HYPERLINK("https://klasma.github.io/Logging_0330/artfynd/A 13380-2026 artfynd.xlsx", "A 13380-2026")</f>
        <v/>
      </c>
      <c r="T29">
        <f>HYPERLINK("https://klasma.github.io/Logging_0330/kartor/A 13380-2026 karta.png", "A 13380-2026")</f>
        <v/>
      </c>
      <c r="V29">
        <f>HYPERLINK("https://klasma.github.io/Logging_0330/klagomål/A 13380-2026 FSC-klagomål.docx", "A 13380-2026")</f>
        <v/>
      </c>
      <c r="W29">
        <f>HYPERLINK("https://klasma.github.io/Logging_0330/klagomålsmail/A 13380-2026 FSC-klagomål mail.docx", "A 13380-2026")</f>
        <v/>
      </c>
      <c r="X29">
        <f>HYPERLINK("https://klasma.github.io/Logging_0330/tillsyn/A 13380-2026 tillsynsbegäran.docx", "A 13380-2026")</f>
        <v/>
      </c>
      <c r="Y29">
        <f>HYPERLINK("https://klasma.github.io/Logging_0330/tillsynsmail/A 13380-2026 tillsynsbegäran mail.docx", "A 13380-2026")</f>
        <v/>
      </c>
      <c r="Z29">
        <f>HYPERLINK("https://klasma.github.io/Logging_0330/fåglar/A 13380-2026 prioriterade fågelarter.docx", "A 13380-2026")</f>
        <v/>
      </c>
    </row>
    <row r="30" ht="15" customHeight="1">
      <c r="A30" t="inlineStr">
        <is>
          <t>A 66298-2021</t>
        </is>
      </c>
      <c r="B30" s="1" t="n">
        <v>44518</v>
      </c>
      <c r="C30" s="1" t="n">
        <v>46195</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31143-2021</t>
        </is>
      </c>
      <c r="B31" s="1" t="n">
        <v>44368</v>
      </c>
      <c r="C31" s="1" t="n">
        <v>46195</v>
      </c>
      <c r="D31" t="inlineStr">
        <is>
          <t>UPPSALA LÄN</t>
        </is>
      </c>
      <c r="E31" t="inlineStr">
        <is>
          <t>KNIVSTA</t>
        </is>
      </c>
      <c r="G31" t="n">
        <v>13.1</v>
      </c>
      <c r="H31" t="n">
        <v>0</v>
      </c>
      <c r="I31" t="n">
        <v>0</v>
      </c>
      <c r="J31" t="n">
        <v>0</v>
      </c>
      <c r="K31" t="n">
        <v>0</v>
      </c>
      <c r="L31" t="n">
        <v>0</v>
      </c>
      <c r="M31" t="n">
        <v>0</v>
      </c>
      <c r="N31" t="n">
        <v>0</v>
      </c>
      <c r="O31" t="n">
        <v>0</v>
      </c>
      <c r="P31" t="n">
        <v>0</v>
      </c>
      <c r="Q31" t="n">
        <v>0</v>
      </c>
      <c r="R31" s="2" t="inlineStr"/>
    </row>
    <row r="32" ht="15" customHeight="1">
      <c r="A32" t="inlineStr">
        <is>
          <t>A 46149-2022</t>
        </is>
      </c>
      <c r="B32" s="1" t="n">
        <v>44847</v>
      </c>
      <c r="C32" s="1" t="n">
        <v>46195</v>
      </c>
      <c r="D32" t="inlineStr">
        <is>
          <t>UPPSALA LÄN</t>
        </is>
      </c>
      <c r="E32" t="inlineStr">
        <is>
          <t>KNIVSTA</t>
        </is>
      </c>
      <c r="G32" t="n">
        <v>0.7</v>
      </c>
      <c r="H32" t="n">
        <v>0</v>
      </c>
      <c r="I32" t="n">
        <v>0</v>
      </c>
      <c r="J32" t="n">
        <v>0</v>
      </c>
      <c r="K32" t="n">
        <v>0</v>
      </c>
      <c r="L32" t="n">
        <v>0</v>
      </c>
      <c r="M32" t="n">
        <v>0</v>
      </c>
      <c r="N32" t="n">
        <v>0</v>
      </c>
      <c r="O32" t="n">
        <v>0</v>
      </c>
      <c r="P32" t="n">
        <v>0</v>
      </c>
      <c r="Q32" t="n">
        <v>0</v>
      </c>
      <c r="R32" s="2" t="inlineStr"/>
    </row>
    <row r="33" ht="15" customHeight="1">
      <c r="A33" t="inlineStr">
        <is>
          <t>A 16775-2022</t>
        </is>
      </c>
      <c r="B33" s="1" t="n">
        <v>44673</v>
      </c>
      <c r="C33" s="1" t="n">
        <v>46195</v>
      </c>
      <c r="D33" t="inlineStr">
        <is>
          <t>UPPSALA LÄN</t>
        </is>
      </c>
      <c r="E33" t="inlineStr">
        <is>
          <t>KNIVSTA</t>
        </is>
      </c>
      <c r="G33" t="n">
        <v>0.8</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46195</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62451-2021</t>
        </is>
      </c>
      <c r="B35" s="1" t="n">
        <v>44509</v>
      </c>
      <c r="C35" s="1" t="n">
        <v>46195</v>
      </c>
      <c r="D35" t="inlineStr">
        <is>
          <t>UPPSALA LÄN</t>
        </is>
      </c>
      <c r="E35" t="inlineStr">
        <is>
          <t>KNIVSTA</t>
        </is>
      </c>
      <c r="G35" t="n">
        <v>2.5</v>
      </c>
      <c r="H35" t="n">
        <v>0</v>
      </c>
      <c r="I35" t="n">
        <v>0</v>
      </c>
      <c r="J35" t="n">
        <v>0</v>
      </c>
      <c r="K35" t="n">
        <v>0</v>
      </c>
      <c r="L35" t="n">
        <v>0</v>
      </c>
      <c r="M35" t="n">
        <v>0</v>
      </c>
      <c r="N35" t="n">
        <v>0</v>
      </c>
      <c r="O35" t="n">
        <v>0</v>
      </c>
      <c r="P35" t="n">
        <v>0</v>
      </c>
      <c r="Q35" t="n">
        <v>0</v>
      </c>
      <c r="R35" s="2" t="inlineStr"/>
    </row>
    <row r="36" ht="15" customHeight="1">
      <c r="A36" t="inlineStr">
        <is>
          <t>A 64044-2021</t>
        </is>
      </c>
      <c r="B36" s="1" t="n">
        <v>44510</v>
      </c>
      <c r="C36" s="1" t="n">
        <v>46195</v>
      </c>
      <c r="D36" t="inlineStr">
        <is>
          <t>UPPSALA LÄN</t>
        </is>
      </c>
      <c r="E36" t="inlineStr">
        <is>
          <t>KNIVSTA</t>
        </is>
      </c>
      <c r="G36" t="n">
        <v>0.5</v>
      </c>
      <c r="H36" t="n">
        <v>0</v>
      </c>
      <c r="I36" t="n">
        <v>0</v>
      </c>
      <c r="J36" t="n">
        <v>0</v>
      </c>
      <c r="K36" t="n">
        <v>0</v>
      </c>
      <c r="L36" t="n">
        <v>0</v>
      </c>
      <c r="M36" t="n">
        <v>0</v>
      </c>
      <c r="N36" t="n">
        <v>0</v>
      </c>
      <c r="O36" t="n">
        <v>0</v>
      </c>
      <c r="P36" t="n">
        <v>0</v>
      </c>
      <c r="Q36" t="n">
        <v>0</v>
      </c>
      <c r="R36" s="2" t="inlineStr"/>
    </row>
    <row r="37" ht="15" customHeight="1">
      <c r="A37" t="inlineStr">
        <is>
          <t>A 47652-2021</t>
        </is>
      </c>
      <c r="B37" s="1" t="n">
        <v>44448</v>
      </c>
      <c r="C37" s="1" t="n">
        <v>46195</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47654-2021</t>
        </is>
      </c>
      <c r="B38" s="1" t="n">
        <v>44448</v>
      </c>
      <c r="C38" s="1" t="n">
        <v>46195</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70275-2021</t>
        </is>
      </c>
      <c r="B39" s="1" t="n">
        <v>44536</v>
      </c>
      <c r="C39" s="1" t="n">
        <v>46195</v>
      </c>
      <c r="D39" t="inlineStr">
        <is>
          <t>UPPSALA LÄN</t>
        </is>
      </c>
      <c r="E39" t="inlineStr">
        <is>
          <t>KNIVSTA</t>
        </is>
      </c>
      <c r="F39" t="inlineStr">
        <is>
          <t>Holmen skog AB</t>
        </is>
      </c>
      <c r="G39" t="n">
        <v>0.7</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46195</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18820-2022</t>
        </is>
      </c>
      <c r="B41" s="1" t="n">
        <v>44690</v>
      </c>
      <c r="C41" s="1" t="n">
        <v>46195</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62441-2021</t>
        </is>
      </c>
      <c r="B42" s="1" t="n">
        <v>44503</v>
      </c>
      <c r="C42" s="1" t="n">
        <v>46195</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72966-2021</t>
        </is>
      </c>
      <c r="B43" s="1" t="n">
        <v>44548</v>
      </c>
      <c r="C43" s="1" t="n">
        <v>46195</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46195</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72967-2021</t>
        </is>
      </c>
      <c r="B45" s="1" t="n">
        <v>44548</v>
      </c>
      <c r="C45" s="1" t="n">
        <v>46195</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32975-2021</t>
        </is>
      </c>
      <c r="B46" s="1" t="n">
        <v>44376</v>
      </c>
      <c r="C46" s="1" t="n">
        <v>46195</v>
      </c>
      <c r="D46" t="inlineStr">
        <is>
          <t>UPPSALA LÄN</t>
        </is>
      </c>
      <c r="E46" t="inlineStr">
        <is>
          <t>KNIVSTA</t>
        </is>
      </c>
      <c r="G46" t="n">
        <v>6.1</v>
      </c>
      <c r="H46" t="n">
        <v>0</v>
      </c>
      <c r="I46" t="n">
        <v>0</v>
      </c>
      <c r="J46" t="n">
        <v>0</v>
      </c>
      <c r="K46" t="n">
        <v>0</v>
      </c>
      <c r="L46" t="n">
        <v>0</v>
      </c>
      <c r="M46" t="n">
        <v>0</v>
      </c>
      <c r="N46" t="n">
        <v>0</v>
      </c>
      <c r="O46" t="n">
        <v>0</v>
      </c>
      <c r="P46" t="n">
        <v>0</v>
      </c>
      <c r="Q46" t="n">
        <v>0</v>
      </c>
      <c r="R46" s="2" t="inlineStr"/>
    </row>
    <row r="47" ht="15" customHeight="1">
      <c r="A47" t="inlineStr">
        <is>
          <t>A 26182-2022</t>
        </is>
      </c>
      <c r="B47" s="1" t="n">
        <v>44735</v>
      </c>
      <c r="C47" s="1" t="n">
        <v>46195</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11841-2023</t>
        </is>
      </c>
      <c r="B48" s="1" t="n">
        <v>44995</v>
      </c>
      <c r="C48" s="1" t="n">
        <v>46195</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13697-2024</t>
        </is>
      </c>
      <c r="B49" s="1" t="n">
        <v>45390</v>
      </c>
      <c r="C49" s="1" t="n">
        <v>46195</v>
      </c>
      <c r="D49" t="inlineStr">
        <is>
          <t>UPPSALA LÄN</t>
        </is>
      </c>
      <c r="E49" t="inlineStr">
        <is>
          <t>KNIVSTA</t>
        </is>
      </c>
      <c r="F49" t="inlineStr">
        <is>
          <t>Holmen skog AB</t>
        </is>
      </c>
      <c r="G49" t="n">
        <v>1.3</v>
      </c>
      <c r="H49" t="n">
        <v>0</v>
      </c>
      <c r="I49" t="n">
        <v>0</v>
      </c>
      <c r="J49" t="n">
        <v>0</v>
      </c>
      <c r="K49" t="n">
        <v>0</v>
      </c>
      <c r="L49" t="n">
        <v>0</v>
      </c>
      <c r="M49" t="n">
        <v>0</v>
      </c>
      <c r="N49" t="n">
        <v>0</v>
      </c>
      <c r="O49" t="n">
        <v>0</v>
      </c>
      <c r="P49" t="n">
        <v>0</v>
      </c>
      <c r="Q49" t="n">
        <v>0</v>
      </c>
      <c r="R49" s="2" t="inlineStr"/>
    </row>
    <row r="50" ht="15" customHeight="1">
      <c r="A50" t="inlineStr">
        <is>
          <t>A 2629-2025</t>
        </is>
      </c>
      <c r="B50" s="1" t="n">
        <v>45675</v>
      </c>
      <c r="C50" s="1" t="n">
        <v>46195</v>
      </c>
      <c r="D50" t="inlineStr">
        <is>
          <t>UPPSALA LÄN</t>
        </is>
      </c>
      <c r="E50" t="inlineStr">
        <is>
          <t>KNIVSTA</t>
        </is>
      </c>
      <c r="G50" t="n">
        <v>1.1</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46195</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5320-2023</t>
        </is>
      </c>
      <c r="B52" s="1" t="n">
        <v>44959</v>
      </c>
      <c r="C52" s="1" t="n">
        <v>46195</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11847-2023</t>
        </is>
      </c>
      <c r="B53" s="1" t="n">
        <v>44995</v>
      </c>
      <c r="C53" s="1" t="n">
        <v>46195</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46195</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31875-2022</t>
        </is>
      </c>
      <c r="B55" s="1" t="n">
        <v>44777</v>
      </c>
      <c r="C55" s="1" t="n">
        <v>46195</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45916-2022</t>
        </is>
      </c>
      <c r="B56" s="1" t="n">
        <v>44846</v>
      </c>
      <c r="C56" s="1" t="n">
        <v>46195</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23239-2023</t>
        </is>
      </c>
      <c r="B57" s="1" t="n">
        <v>45075</v>
      </c>
      <c r="C57" s="1" t="n">
        <v>46195</v>
      </c>
      <c r="D57" t="inlineStr">
        <is>
          <t>UPPSALA LÄN</t>
        </is>
      </c>
      <c r="E57" t="inlineStr">
        <is>
          <t>KNIVSTA</t>
        </is>
      </c>
      <c r="G57" t="n">
        <v>1.8</v>
      </c>
      <c r="H57" t="n">
        <v>0</v>
      </c>
      <c r="I57" t="n">
        <v>0</v>
      </c>
      <c r="J57" t="n">
        <v>0</v>
      </c>
      <c r="K57" t="n">
        <v>0</v>
      </c>
      <c r="L57" t="n">
        <v>0</v>
      </c>
      <c r="M57" t="n">
        <v>0</v>
      </c>
      <c r="N57" t="n">
        <v>0</v>
      </c>
      <c r="O57" t="n">
        <v>0</v>
      </c>
      <c r="P57" t="n">
        <v>0</v>
      </c>
      <c r="Q57" t="n">
        <v>0</v>
      </c>
      <c r="R57" s="2" t="inlineStr"/>
    </row>
    <row r="58" ht="15" customHeight="1">
      <c r="A58" t="inlineStr">
        <is>
          <t>A 17091-2023</t>
        </is>
      </c>
      <c r="B58" s="1" t="n">
        <v>45034</v>
      </c>
      <c r="C58" s="1" t="n">
        <v>46195</v>
      </c>
      <c r="D58" t="inlineStr">
        <is>
          <t>UPPSALA LÄN</t>
        </is>
      </c>
      <c r="E58" t="inlineStr">
        <is>
          <t>KNIVSTA</t>
        </is>
      </c>
      <c r="G58" t="n">
        <v>0.8</v>
      </c>
      <c r="H58" t="n">
        <v>0</v>
      </c>
      <c r="I58" t="n">
        <v>0</v>
      </c>
      <c r="J58" t="n">
        <v>0</v>
      </c>
      <c r="K58" t="n">
        <v>0</v>
      </c>
      <c r="L58" t="n">
        <v>0</v>
      </c>
      <c r="M58" t="n">
        <v>0</v>
      </c>
      <c r="N58" t="n">
        <v>0</v>
      </c>
      <c r="O58" t="n">
        <v>0</v>
      </c>
      <c r="P58" t="n">
        <v>0</v>
      </c>
      <c r="Q58" t="n">
        <v>0</v>
      </c>
      <c r="R58" s="2" t="inlineStr"/>
    </row>
    <row r="59" ht="15" customHeight="1">
      <c r="A59" t="inlineStr">
        <is>
          <t>A 45453-2025</t>
        </is>
      </c>
      <c r="B59" s="1" t="n">
        <v>45922</v>
      </c>
      <c r="C59" s="1" t="n">
        <v>46195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20528-2026</t>
        </is>
      </c>
      <c r="B60" s="1" t="n">
        <v>46140</v>
      </c>
      <c r="C60" s="1" t="n">
        <v>46195</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794-2024</t>
        </is>
      </c>
      <c r="B61" s="1" t="n">
        <v>45300</v>
      </c>
      <c r="C61" s="1" t="n">
        <v>46195</v>
      </c>
      <c r="D61" t="inlineStr">
        <is>
          <t>UPPSALA LÄN</t>
        </is>
      </c>
      <c r="E61" t="inlineStr">
        <is>
          <t>KNIVSTA</t>
        </is>
      </c>
      <c r="G61" t="n">
        <v>1.6</v>
      </c>
      <c r="H61" t="n">
        <v>0</v>
      </c>
      <c r="I61" t="n">
        <v>0</v>
      </c>
      <c r="J61" t="n">
        <v>0</v>
      </c>
      <c r="K61" t="n">
        <v>0</v>
      </c>
      <c r="L61" t="n">
        <v>0</v>
      </c>
      <c r="M61" t="n">
        <v>0</v>
      </c>
      <c r="N61" t="n">
        <v>0</v>
      </c>
      <c r="O61" t="n">
        <v>0</v>
      </c>
      <c r="P61" t="n">
        <v>0</v>
      </c>
      <c r="Q61" t="n">
        <v>0</v>
      </c>
      <c r="R61" s="2" t="inlineStr"/>
    </row>
    <row r="62" ht="15" customHeight="1">
      <c r="A62" t="inlineStr">
        <is>
          <t>A 66293-2021</t>
        </is>
      </c>
      <c r="B62" s="1" t="n">
        <v>44518</v>
      </c>
      <c r="C62" s="1" t="n">
        <v>46195</v>
      </c>
      <c r="D62" t="inlineStr">
        <is>
          <t>UPPSALA LÄN</t>
        </is>
      </c>
      <c r="E62" t="inlineStr">
        <is>
          <t>KNIVSTA</t>
        </is>
      </c>
      <c r="G62" t="n">
        <v>2.6</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46195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46195</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20902-2024</t>
        </is>
      </c>
      <c r="B65" s="1" t="n">
        <v>45439</v>
      </c>
      <c r="C65" s="1" t="n">
        <v>46195</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19777-2026</t>
        </is>
      </c>
      <c r="B66" s="1" t="n">
        <v>46135</v>
      </c>
      <c r="C66" s="1" t="n">
        <v>46195</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66284-2021</t>
        </is>
      </c>
      <c r="B67" s="1" t="n">
        <v>44518</v>
      </c>
      <c r="C67" s="1" t="n">
        <v>46195</v>
      </c>
      <c r="D67" t="inlineStr">
        <is>
          <t>UPPSALA LÄN</t>
        </is>
      </c>
      <c r="E67" t="inlineStr">
        <is>
          <t>KNIVSTA</t>
        </is>
      </c>
      <c r="G67" t="n">
        <v>6.9</v>
      </c>
      <c r="H67" t="n">
        <v>0</v>
      </c>
      <c r="I67" t="n">
        <v>0</v>
      </c>
      <c r="J67" t="n">
        <v>0</v>
      </c>
      <c r="K67" t="n">
        <v>0</v>
      </c>
      <c r="L67" t="n">
        <v>0</v>
      </c>
      <c r="M67" t="n">
        <v>0</v>
      </c>
      <c r="N67" t="n">
        <v>0</v>
      </c>
      <c r="O67" t="n">
        <v>0</v>
      </c>
      <c r="P67" t="n">
        <v>0</v>
      </c>
      <c r="Q67" t="n">
        <v>0</v>
      </c>
      <c r="R67" s="2" t="inlineStr"/>
    </row>
    <row r="68" ht="15" customHeight="1">
      <c r="A68" t="inlineStr">
        <is>
          <t>A 19676-2025</t>
        </is>
      </c>
      <c r="B68" s="1" t="n">
        <v>45770</v>
      </c>
      <c r="C68" s="1" t="n">
        <v>46195</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8343-2024</t>
        </is>
      </c>
      <c r="B69" s="1" t="n">
        <v>45352</v>
      </c>
      <c r="C69" s="1" t="n">
        <v>46195</v>
      </c>
      <c r="D69" t="inlineStr">
        <is>
          <t>UPPSALA LÄN</t>
        </is>
      </c>
      <c r="E69" t="inlineStr">
        <is>
          <t>KNIVSTA</t>
        </is>
      </c>
      <c r="F69" t="inlineStr">
        <is>
          <t>Holmen skog AB</t>
        </is>
      </c>
      <c r="G69" t="n">
        <v>1.4</v>
      </c>
      <c r="H69" t="n">
        <v>0</v>
      </c>
      <c r="I69" t="n">
        <v>0</v>
      </c>
      <c r="J69" t="n">
        <v>0</v>
      </c>
      <c r="K69" t="n">
        <v>0</v>
      </c>
      <c r="L69" t="n">
        <v>0</v>
      </c>
      <c r="M69" t="n">
        <v>0</v>
      </c>
      <c r="N69" t="n">
        <v>0</v>
      </c>
      <c r="O69" t="n">
        <v>0</v>
      </c>
      <c r="P69" t="n">
        <v>0</v>
      </c>
      <c r="Q69" t="n">
        <v>0</v>
      </c>
      <c r="R69" s="2" t="inlineStr"/>
    </row>
    <row r="70" ht="15" customHeight="1">
      <c r="A70" t="inlineStr">
        <is>
          <t>A 30627-2023</t>
        </is>
      </c>
      <c r="B70" s="1" t="n">
        <v>45112</v>
      </c>
      <c r="C70" s="1" t="n">
        <v>46195</v>
      </c>
      <c r="D70" t="inlineStr">
        <is>
          <t>UPPSALA LÄN</t>
        </is>
      </c>
      <c r="E70" t="inlineStr">
        <is>
          <t>KNIVSTA</t>
        </is>
      </c>
      <c r="F70" t="inlineStr">
        <is>
          <t>Holmen skog AB</t>
        </is>
      </c>
      <c r="G70" t="n">
        <v>1.6</v>
      </c>
      <c r="H70" t="n">
        <v>0</v>
      </c>
      <c r="I70" t="n">
        <v>0</v>
      </c>
      <c r="J70" t="n">
        <v>0</v>
      </c>
      <c r="K70" t="n">
        <v>0</v>
      </c>
      <c r="L70" t="n">
        <v>0</v>
      </c>
      <c r="M70" t="n">
        <v>0</v>
      </c>
      <c r="N70" t="n">
        <v>0</v>
      </c>
      <c r="O70" t="n">
        <v>0</v>
      </c>
      <c r="P70" t="n">
        <v>0</v>
      </c>
      <c r="Q70" t="n">
        <v>0</v>
      </c>
      <c r="R70" s="2" t="inlineStr"/>
    </row>
    <row r="71" ht="15" customHeight="1">
      <c r="A71" t="inlineStr">
        <is>
          <t>A 1629-2024</t>
        </is>
      </c>
      <c r="B71" s="1" t="n">
        <v>45306</v>
      </c>
      <c r="C71" s="1" t="n">
        <v>46195</v>
      </c>
      <c r="D71" t="inlineStr">
        <is>
          <t>UPPSALA LÄN</t>
        </is>
      </c>
      <c r="E71" t="inlineStr">
        <is>
          <t>KNIVSTA</t>
        </is>
      </c>
      <c r="F71" t="inlineStr">
        <is>
          <t>Holmen skog AB</t>
        </is>
      </c>
      <c r="G71" t="n">
        <v>3.6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46195</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34864-2025</t>
        </is>
      </c>
      <c r="B73" s="1" t="n">
        <v>45849</v>
      </c>
      <c r="C73" s="1" t="n">
        <v>46195</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35318-2025</t>
        </is>
      </c>
      <c r="B74" s="1" t="n">
        <v>45854</v>
      </c>
      <c r="C74" s="1" t="n">
        <v>46195</v>
      </c>
      <c r="D74" t="inlineStr">
        <is>
          <t>UPPSALA LÄN</t>
        </is>
      </c>
      <c r="E74" t="inlineStr">
        <is>
          <t>KNIVSTA</t>
        </is>
      </c>
      <c r="F74" t="inlineStr">
        <is>
          <t>Holmen skog AB</t>
        </is>
      </c>
      <c r="G74" t="n">
        <v>2.2</v>
      </c>
      <c r="H74" t="n">
        <v>0</v>
      </c>
      <c r="I74" t="n">
        <v>0</v>
      </c>
      <c r="J74" t="n">
        <v>0</v>
      </c>
      <c r="K74" t="n">
        <v>0</v>
      </c>
      <c r="L74" t="n">
        <v>0</v>
      </c>
      <c r="M74" t="n">
        <v>0</v>
      </c>
      <c r="N74" t="n">
        <v>0</v>
      </c>
      <c r="O74" t="n">
        <v>0</v>
      </c>
      <c r="P74" t="n">
        <v>0</v>
      </c>
      <c r="Q74" t="n">
        <v>0</v>
      </c>
      <c r="R74" s="2" t="inlineStr"/>
    </row>
    <row r="75" ht="15" customHeight="1">
      <c r="A75" t="inlineStr">
        <is>
          <t>A 60243-2025</t>
        </is>
      </c>
      <c r="B75" s="1" t="n">
        <v>45994</v>
      </c>
      <c r="C75" s="1" t="n">
        <v>46195</v>
      </c>
      <c r="D75" t="inlineStr">
        <is>
          <t>UPPSALA LÄN</t>
        </is>
      </c>
      <c r="E75" t="inlineStr">
        <is>
          <t>KNIVSTA</t>
        </is>
      </c>
      <c r="F75" t="inlineStr">
        <is>
          <t>Holmen skog AB</t>
        </is>
      </c>
      <c r="G75" t="n">
        <v>2.4</v>
      </c>
      <c r="H75" t="n">
        <v>0</v>
      </c>
      <c r="I75" t="n">
        <v>0</v>
      </c>
      <c r="J75" t="n">
        <v>0</v>
      </c>
      <c r="K75" t="n">
        <v>0</v>
      </c>
      <c r="L75" t="n">
        <v>0</v>
      </c>
      <c r="M75" t="n">
        <v>0</v>
      </c>
      <c r="N75" t="n">
        <v>0</v>
      </c>
      <c r="O75" t="n">
        <v>0</v>
      </c>
      <c r="P75" t="n">
        <v>0</v>
      </c>
      <c r="Q75" t="n">
        <v>0</v>
      </c>
      <c r="R75" s="2" t="inlineStr"/>
    </row>
    <row r="76" ht="15" customHeight="1">
      <c r="A76" t="inlineStr">
        <is>
          <t>A 36473-2025</t>
        </is>
      </c>
      <c r="B76" s="1" t="n">
        <v>45869</v>
      </c>
      <c r="C76" s="1" t="n">
        <v>46195</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45525-2023</t>
        </is>
      </c>
      <c r="B77" s="1" t="n">
        <v>45194</v>
      </c>
      <c r="C77" s="1" t="n">
        <v>46195</v>
      </c>
      <c r="D77" t="inlineStr">
        <is>
          <t>UPPSALA LÄN</t>
        </is>
      </c>
      <c r="E77" t="inlineStr">
        <is>
          <t>KNIVSTA</t>
        </is>
      </c>
      <c r="G77" t="n">
        <v>0.7</v>
      </c>
      <c r="H77" t="n">
        <v>0</v>
      </c>
      <c r="I77" t="n">
        <v>0</v>
      </c>
      <c r="J77" t="n">
        <v>0</v>
      </c>
      <c r="K77" t="n">
        <v>0</v>
      </c>
      <c r="L77" t="n">
        <v>0</v>
      </c>
      <c r="M77" t="n">
        <v>0</v>
      </c>
      <c r="N77" t="n">
        <v>0</v>
      </c>
      <c r="O77" t="n">
        <v>0</v>
      </c>
      <c r="P77" t="n">
        <v>0</v>
      </c>
      <c r="Q77" t="n">
        <v>0</v>
      </c>
      <c r="R77" s="2" t="inlineStr"/>
    </row>
    <row r="78" ht="15" customHeight="1">
      <c r="A78" t="inlineStr">
        <is>
          <t>A 662-2026</t>
        </is>
      </c>
      <c r="B78" s="1" t="n">
        <v>46029</v>
      </c>
      <c r="C78" s="1" t="n">
        <v>46195</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16773-2022</t>
        </is>
      </c>
      <c r="B79" s="1" t="n">
        <v>44673</v>
      </c>
      <c r="C79" s="1" t="n">
        <v>46195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30764-2023</t>
        </is>
      </c>
      <c r="B80" s="1" t="n">
        <v>45112</v>
      </c>
      <c r="C80" s="1" t="n">
        <v>46195</v>
      </c>
      <c r="D80" t="inlineStr">
        <is>
          <t>UPPSALA LÄN</t>
        </is>
      </c>
      <c r="E80" t="inlineStr">
        <is>
          <t>KNIVSTA</t>
        </is>
      </c>
      <c r="F80" t="inlineStr">
        <is>
          <t>Holmen skog AB</t>
        </is>
      </c>
      <c r="G80" t="n">
        <v>0.9</v>
      </c>
      <c r="H80" t="n">
        <v>0</v>
      </c>
      <c r="I80" t="n">
        <v>0</v>
      </c>
      <c r="J80" t="n">
        <v>0</v>
      </c>
      <c r="K80" t="n">
        <v>0</v>
      </c>
      <c r="L80" t="n">
        <v>0</v>
      </c>
      <c r="M80" t="n">
        <v>0</v>
      </c>
      <c r="N80" t="n">
        <v>0</v>
      </c>
      <c r="O80" t="n">
        <v>0</v>
      </c>
      <c r="P80" t="n">
        <v>0</v>
      </c>
      <c r="Q80" t="n">
        <v>0</v>
      </c>
      <c r="R80" s="2" t="inlineStr"/>
    </row>
    <row r="81" ht="15" customHeight="1">
      <c r="A81" t="inlineStr">
        <is>
          <t>A 51849-2023</t>
        </is>
      </c>
      <c r="B81" s="1" t="n">
        <v>45223</v>
      </c>
      <c r="C81" s="1" t="n">
        <v>46195</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60018-2024</t>
        </is>
      </c>
      <c r="B82" s="1" t="n">
        <v>45642</v>
      </c>
      <c r="C82" s="1" t="n">
        <v>46195</v>
      </c>
      <c r="D82" t="inlineStr">
        <is>
          <t>UPPSALA LÄN</t>
        </is>
      </c>
      <c r="E82" t="inlineStr">
        <is>
          <t>KNIVSTA</t>
        </is>
      </c>
      <c r="G82" t="n">
        <v>4.1</v>
      </c>
      <c r="H82" t="n">
        <v>0</v>
      </c>
      <c r="I82" t="n">
        <v>0</v>
      </c>
      <c r="J82" t="n">
        <v>0</v>
      </c>
      <c r="K82" t="n">
        <v>0</v>
      </c>
      <c r="L82" t="n">
        <v>0</v>
      </c>
      <c r="M82" t="n">
        <v>0</v>
      </c>
      <c r="N82" t="n">
        <v>0</v>
      </c>
      <c r="O82" t="n">
        <v>0</v>
      </c>
      <c r="P82" t="n">
        <v>0</v>
      </c>
      <c r="Q82" t="n">
        <v>0</v>
      </c>
      <c r="R82" s="2" t="inlineStr"/>
    </row>
    <row r="83" ht="15" customHeight="1">
      <c r="A83" t="inlineStr">
        <is>
          <t>A 5276-2026</t>
        </is>
      </c>
      <c r="B83" s="1" t="n">
        <v>46037</v>
      </c>
      <c r="C83" s="1" t="n">
        <v>46195</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3375-2026</t>
        </is>
      </c>
      <c r="B84" s="1" t="n">
        <v>46042</v>
      </c>
      <c r="C84" s="1" t="n">
        <v>46195</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3824-2026</t>
        </is>
      </c>
      <c r="B85" s="1" t="n">
        <v>46043</v>
      </c>
      <c r="C85" s="1" t="n">
        <v>46195</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17333-2024</t>
        </is>
      </c>
      <c r="B86" s="1" t="n">
        <v>45414</v>
      </c>
      <c r="C86" s="1" t="n">
        <v>46195</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v>
      </c>
      <c r="C87" s="1" t="n">
        <v>46195</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5908-2026</t>
        </is>
      </c>
      <c r="B88" s="1" t="n">
        <v>46052</v>
      </c>
      <c r="C88" s="1" t="n">
        <v>46195</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v>
      </c>
      <c r="C89" s="1" t="n">
        <v>46195</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9744-2026</t>
        </is>
      </c>
      <c r="B90" s="1" t="n">
        <v>46072</v>
      </c>
      <c r="C90" s="1" t="n">
        <v>46195</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2628-2025</t>
        </is>
      </c>
      <c r="B91" s="1" t="n">
        <v>45675</v>
      </c>
      <c r="C91" s="1" t="n">
        <v>46195</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12027-2026</t>
        </is>
      </c>
      <c r="B92" s="1" t="n">
        <v>46085</v>
      </c>
      <c r="C92" s="1" t="n">
        <v>46195</v>
      </c>
      <c r="D92" t="inlineStr">
        <is>
          <t>UPPSALA LÄN</t>
        </is>
      </c>
      <c r="E92" t="inlineStr">
        <is>
          <t>KNIVSTA</t>
        </is>
      </c>
      <c r="G92" t="n">
        <v>0.6</v>
      </c>
      <c r="H92" t="n">
        <v>0</v>
      </c>
      <c r="I92" t="n">
        <v>0</v>
      </c>
      <c r="J92" t="n">
        <v>0</v>
      </c>
      <c r="K92" t="n">
        <v>0</v>
      </c>
      <c r="L92" t="n">
        <v>0</v>
      </c>
      <c r="M92" t="n">
        <v>0</v>
      </c>
      <c r="N92" t="n">
        <v>0</v>
      </c>
      <c r="O92" t="n">
        <v>0</v>
      </c>
      <c r="P92" t="n">
        <v>0</v>
      </c>
      <c r="Q92" t="n">
        <v>0</v>
      </c>
      <c r="R92" s="2" t="inlineStr"/>
    </row>
    <row r="93" ht="15" customHeight="1">
      <c r="A93" t="inlineStr">
        <is>
          <t>A 12774-2026</t>
        </is>
      </c>
      <c r="B93" s="1" t="n">
        <v>46091</v>
      </c>
      <c r="C93" s="1" t="n">
        <v>46195</v>
      </c>
      <c r="D93" t="inlineStr">
        <is>
          <t>UPPSALA LÄN</t>
        </is>
      </c>
      <c r="E93" t="inlineStr">
        <is>
          <t>KNIVSTA</t>
        </is>
      </c>
      <c r="F93" t="inlineStr">
        <is>
          <t>Holmen skog AB</t>
        </is>
      </c>
      <c r="G93" t="n">
        <v>3.3</v>
      </c>
      <c r="H93" t="n">
        <v>0</v>
      </c>
      <c r="I93" t="n">
        <v>0</v>
      </c>
      <c r="J93" t="n">
        <v>0</v>
      </c>
      <c r="K93" t="n">
        <v>0</v>
      </c>
      <c r="L93" t="n">
        <v>0</v>
      </c>
      <c r="M93" t="n">
        <v>0</v>
      </c>
      <c r="N93" t="n">
        <v>0</v>
      </c>
      <c r="O93" t="n">
        <v>0</v>
      </c>
      <c r="P93" t="n">
        <v>0</v>
      </c>
      <c r="Q93" t="n">
        <v>0</v>
      </c>
      <c r="R93" s="2" t="inlineStr"/>
    </row>
    <row r="94" ht="15" customHeight="1">
      <c r="A94" t="inlineStr">
        <is>
          <t>A 13013-2026</t>
        </is>
      </c>
      <c r="B94" s="1" t="n">
        <v>46092</v>
      </c>
      <c r="C94" s="1" t="n">
        <v>46195</v>
      </c>
      <c r="D94" t="inlineStr">
        <is>
          <t>UPPSALA LÄN</t>
        </is>
      </c>
      <c r="E94" t="inlineStr">
        <is>
          <t>KNIVSTA</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13011-2026</t>
        </is>
      </c>
      <c r="B95" s="1" t="n">
        <v>46092</v>
      </c>
      <c r="C95" s="1" t="n">
        <v>46195</v>
      </c>
      <c r="D95" t="inlineStr">
        <is>
          <t>UPPSALA LÄN</t>
        </is>
      </c>
      <c r="E95" t="inlineStr">
        <is>
          <t>KNIVSTA</t>
        </is>
      </c>
      <c r="F95" t="inlineStr">
        <is>
          <t>Holmen skog AB</t>
        </is>
      </c>
      <c r="G95" t="n">
        <v>1.9</v>
      </c>
      <c r="H95" t="n">
        <v>0</v>
      </c>
      <c r="I95" t="n">
        <v>0</v>
      </c>
      <c r="J95" t="n">
        <v>0</v>
      </c>
      <c r="K95" t="n">
        <v>0</v>
      </c>
      <c r="L95" t="n">
        <v>0</v>
      </c>
      <c r="M95" t="n">
        <v>0</v>
      </c>
      <c r="N95" t="n">
        <v>0</v>
      </c>
      <c r="O95" t="n">
        <v>0</v>
      </c>
      <c r="P95" t="n">
        <v>0</v>
      </c>
      <c r="Q95" t="n">
        <v>0</v>
      </c>
      <c r="R95" s="2" t="inlineStr"/>
      <c r="U95">
        <f>HYPERLINK("https://klasma.github.io/Logging_0330/knärot/A 13011-2026 karta knärot.png", "A 13011-2026")</f>
        <v/>
      </c>
      <c r="V95">
        <f>HYPERLINK("https://klasma.github.io/Logging_0330/klagomål/A 13011-2026 FSC-klagomål.docx", "A 13011-2026")</f>
        <v/>
      </c>
      <c r="W95">
        <f>HYPERLINK("https://klasma.github.io/Logging_0330/klagomålsmail/A 13011-2026 FSC-klagomål mail.docx", "A 13011-2026")</f>
        <v/>
      </c>
      <c r="X95">
        <f>HYPERLINK("https://klasma.github.io/Logging_0330/tillsyn/A 13011-2026 tillsynsbegäran.docx", "A 13011-2026")</f>
        <v/>
      </c>
      <c r="Y95">
        <f>HYPERLINK("https://klasma.github.io/Logging_0330/tillsynsmail/A 13011-2026 tillsynsbegäran mail.docx", "A 13011-2026")</f>
        <v/>
      </c>
    </row>
    <row r="96" ht="15" customHeight="1">
      <c r="A96" t="inlineStr">
        <is>
          <t>A 11452-2023</t>
        </is>
      </c>
      <c r="B96" s="1" t="n">
        <v>44993</v>
      </c>
      <c r="C96" s="1" t="n">
        <v>46195</v>
      </c>
      <c r="D96" t="inlineStr">
        <is>
          <t>UPPSALA LÄN</t>
        </is>
      </c>
      <c r="E96" t="inlineStr">
        <is>
          <t>KNIVSTA</t>
        </is>
      </c>
      <c r="G96" t="n">
        <v>2.5</v>
      </c>
      <c r="H96" t="n">
        <v>0</v>
      </c>
      <c r="I96" t="n">
        <v>0</v>
      </c>
      <c r="J96" t="n">
        <v>0</v>
      </c>
      <c r="K96" t="n">
        <v>0</v>
      </c>
      <c r="L96" t="n">
        <v>0</v>
      </c>
      <c r="M96" t="n">
        <v>0</v>
      </c>
      <c r="N96" t="n">
        <v>0</v>
      </c>
      <c r="O96" t="n">
        <v>0</v>
      </c>
      <c r="P96" t="n">
        <v>0</v>
      </c>
      <c r="Q96" t="n">
        <v>0</v>
      </c>
      <c r="R96" s="2" t="inlineStr"/>
    </row>
    <row r="97" ht="15" customHeight="1">
      <c r="A97" t="inlineStr">
        <is>
          <t>A 13016-2026</t>
        </is>
      </c>
      <c r="B97" s="1" t="n">
        <v>46092</v>
      </c>
      <c r="C97" s="1" t="n">
        <v>46195</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13001-2026</t>
        </is>
      </c>
      <c r="B98" s="1" t="n">
        <v>46092</v>
      </c>
      <c r="C98" s="1" t="n">
        <v>46195</v>
      </c>
      <c r="D98" t="inlineStr">
        <is>
          <t>UPPSALA LÄN</t>
        </is>
      </c>
      <c r="E98" t="inlineStr">
        <is>
          <t>KNIVSTA</t>
        </is>
      </c>
      <c r="F98" t="inlineStr">
        <is>
          <t>Holmen skog AB</t>
        </is>
      </c>
      <c r="G98" t="n">
        <v>2.9</v>
      </c>
      <c r="H98" t="n">
        <v>0</v>
      </c>
      <c r="I98" t="n">
        <v>0</v>
      </c>
      <c r="J98" t="n">
        <v>0</v>
      </c>
      <c r="K98" t="n">
        <v>0</v>
      </c>
      <c r="L98" t="n">
        <v>0</v>
      </c>
      <c r="M98" t="n">
        <v>0</v>
      </c>
      <c r="N98" t="n">
        <v>0</v>
      </c>
      <c r="O98" t="n">
        <v>0</v>
      </c>
      <c r="P98" t="n">
        <v>0</v>
      </c>
      <c r="Q98" t="n">
        <v>0</v>
      </c>
      <c r="R98" s="2" t="inlineStr"/>
    </row>
    <row r="99" ht="15" customHeight="1">
      <c r="A99" t="inlineStr">
        <is>
          <t>A 13005-2026</t>
        </is>
      </c>
      <c r="B99" s="1" t="n">
        <v>46092</v>
      </c>
      <c r="C99" s="1" t="n">
        <v>46195</v>
      </c>
      <c r="D99" t="inlineStr">
        <is>
          <t>UPPSALA LÄN</t>
        </is>
      </c>
      <c r="E99" t="inlineStr">
        <is>
          <t>KNIVSTA</t>
        </is>
      </c>
      <c r="F99" t="inlineStr">
        <is>
          <t>Holmen skog AB</t>
        </is>
      </c>
      <c r="G99" t="n">
        <v>3</v>
      </c>
      <c r="H99" t="n">
        <v>0</v>
      </c>
      <c r="I99" t="n">
        <v>0</v>
      </c>
      <c r="J99" t="n">
        <v>0</v>
      </c>
      <c r="K99" t="n">
        <v>0</v>
      </c>
      <c r="L99" t="n">
        <v>0</v>
      </c>
      <c r="M99" t="n">
        <v>0</v>
      </c>
      <c r="N99" t="n">
        <v>0</v>
      </c>
      <c r="O99" t="n">
        <v>0</v>
      </c>
      <c r="P99" t="n">
        <v>0</v>
      </c>
      <c r="Q99" t="n">
        <v>0</v>
      </c>
      <c r="R99" s="2" t="inlineStr"/>
    </row>
    <row r="100" ht="15" customHeight="1">
      <c r="A100" t="inlineStr">
        <is>
          <t>A 43908-2023</t>
        </is>
      </c>
      <c r="B100" s="1" t="n">
        <v>45187</v>
      </c>
      <c r="C100" s="1" t="n">
        <v>46195</v>
      </c>
      <c r="D100" t="inlineStr">
        <is>
          <t>UPPSALA LÄN</t>
        </is>
      </c>
      <c r="E100" t="inlineStr">
        <is>
          <t>KNIVSTA</t>
        </is>
      </c>
      <c r="F100" t="inlineStr">
        <is>
          <t>Kyrkan</t>
        </is>
      </c>
      <c r="G100" t="n">
        <v>1.7</v>
      </c>
      <c r="H100" t="n">
        <v>0</v>
      </c>
      <c r="I100" t="n">
        <v>0</v>
      </c>
      <c r="J100" t="n">
        <v>0</v>
      </c>
      <c r="K100" t="n">
        <v>0</v>
      </c>
      <c r="L100" t="n">
        <v>0</v>
      </c>
      <c r="M100" t="n">
        <v>0</v>
      </c>
      <c r="N100" t="n">
        <v>0</v>
      </c>
      <c r="O100" t="n">
        <v>0</v>
      </c>
      <c r="P100" t="n">
        <v>0</v>
      </c>
      <c r="Q100" t="n">
        <v>0</v>
      </c>
      <c r="R100" s="2" t="inlineStr"/>
    </row>
    <row r="101" ht="15" customHeight="1">
      <c r="A101" t="inlineStr">
        <is>
          <t>A 23969-2026</t>
        </is>
      </c>
      <c r="B101" s="1" t="n">
        <v>46167</v>
      </c>
      <c r="C101" s="1" t="n">
        <v>46195</v>
      </c>
      <c r="D101" t="inlineStr">
        <is>
          <t>UPPSALA LÄN</t>
        </is>
      </c>
      <c r="E101" t="inlineStr">
        <is>
          <t>KNIVSTA</t>
        </is>
      </c>
      <c r="G101" t="n">
        <v>2.1</v>
      </c>
      <c r="H101" t="n">
        <v>0</v>
      </c>
      <c r="I101" t="n">
        <v>0</v>
      </c>
      <c r="J101" t="n">
        <v>0</v>
      </c>
      <c r="K101" t="n">
        <v>0</v>
      </c>
      <c r="L101" t="n">
        <v>0</v>
      </c>
      <c r="M101" t="n">
        <v>0</v>
      </c>
      <c r="N101" t="n">
        <v>0</v>
      </c>
      <c r="O101" t="n">
        <v>0</v>
      </c>
      <c r="P101" t="n">
        <v>0</v>
      </c>
      <c r="Q101" t="n">
        <v>0</v>
      </c>
      <c r="R101" s="2" t="inlineStr"/>
    </row>
    <row r="102" ht="15" customHeight="1">
      <c r="A102" t="inlineStr">
        <is>
          <t>A 19774-2026</t>
        </is>
      </c>
      <c r="B102" s="1" t="n">
        <v>46135</v>
      </c>
      <c r="C102" s="1" t="n">
        <v>46195</v>
      </c>
      <c r="D102" t="inlineStr">
        <is>
          <t>UPPSALA LÄN</t>
        </is>
      </c>
      <c r="E102" t="inlineStr">
        <is>
          <t>KNIVSTA</t>
        </is>
      </c>
      <c r="G102" t="n">
        <v>4.2</v>
      </c>
      <c r="H102" t="n">
        <v>0</v>
      </c>
      <c r="I102" t="n">
        <v>0</v>
      </c>
      <c r="J102" t="n">
        <v>0</v>
      </c>
      <c r="K102" t="n">
        <v>0</v>
      </c>
      <c r="L102" t="n">
        <v>0</v>
      </c>
      <c r="M102" t="n">
        <v>0</v>
      </c>
      <c r="N102" t="n">
        <v>0</v>
      </c>
      <c r="O102" t="n">
        <v>0</v>
      </c>
      <c r="P102" t="n">
        <v>0</v>
      </c>
      <c r="Q102" t="n">
        <v>0</v>
      </c>
      <c r="R102" s="2" t="inlineStr"/>
    </row>
    <row r="103" ht="15" customHeight="1">
      <c r="A103" t="inlineStr">
        <is>
          <t>A 52666-2025</t>
        </is>
      </c>
      <c r="B103" s="1" t="n">
        <v>45955</v>
      </c>
      <c r="C103" s="1" t="n">
        <v>46195</v>
      </c>
      <c r="D103" t="inlineStr">
        <is>
          <t>UPPSALA LÄN</t>
        </is>
      </c>
      <c r="E103" t="inlineStr">
        <is>
          <t>KNIVSTA</t>
        </is>
      </c>
      <c r="G103" t="n">
        <v>2.1</v>
      </c>
      <c r="H103" t="n">
        <v>0</v>
      </c>
      <c r="I103" t="n">
        <v>0</v>
      </c>
      <c r="J103" t="n">
        <v>0</v>
      </c>
      <c r="K103" t="n">
        <v>0</v>
      </c>
      <c r="L103" t="n">
        <v>0</v>
      </c>
      <c r="M103" t="n">
        <v>0</v>
      </c>
      <c r="N103" t="n">
        <v>0</v>
      </c>
      <c r="O103" t="n">
        <v>0</v>
      </c>
      <c r="P103" t="n">
        <v>0</v>
      </c>
      <c r="Q103" t="n">
        <v>0</v>
      </c>
      <c r="R103" s="2" t="inlineStr"/>
    </row>
    <row r="104">
      <c r="A104" t="inlineStr">
        <is>
          <t>A 33974-2025</t>
        </is>
      </c>
      <c r="B104" s="1" t="n">
        <v>45843</v>
      </c>
      <c r="C104" s="1" t="n">
        <v>46195</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2026-06-22T00:43:43Z</dcterms:created>
  <dcterms:modified xmlns:dcterms="http://purl.org/dc/terms/" xmlns:xsi="http://www.w3.org/2001/XMLSchema-instance" xsi:type="dcterms:W3CDTF">2026-06-22T00:43:43Z</dcterms:modified>
</cp:coreProperties>
</file>