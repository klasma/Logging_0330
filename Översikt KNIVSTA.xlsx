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46241</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46241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46241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46241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46241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46241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46241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46241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46241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46241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46241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46241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46241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46241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18576-2026</t>
        </is>
      </c>
      <c r="B16" t="inlineStr">
        <is>
          <t>avverkningsanmälan</t>
        </is>
      </c>
      <c r="C16" t="inlineStr">
        <is>
          <t>Föryngringsavverkning</t>
        </is>
      </c>
      <c r="D16" s="1" t="n">
        <v>46127</v>
      </c>
      <c r="E16" s="1" t="n">
        <v>46241</v>
      </c>
      <c r="F16" t="inlineStr">
        <is>
          <t>UPPSALA LÄN</t>
        </is>
      </c>
      <c r="G16" t="inlineStr">
        <is>
          <t>KNIVSTA</t>
        </is>
      </c>
      <c r="I16" t="n">
        <v>4.8</v>
      </c>
      <c r="J16" t="n">
        <v>1</v>
      </c>
      <c r="K16" t="n">
        <v>0</v>
      </c>
      <c r="L16" t="n">
        <v>0</v>
      </c>
      <c r="M16" t="n">
        <v>0</v>
      </c>
      <c r="N16" t="n">
        <v>0</v>
      </c>
      <c r="O16" t="n">
        <v>0</v>
      </c>
      <c r="P16" t="n">
        <v>0</v>
      </c>
      <c r="Q16" t="n">
        <v>0</v>
      </c>
      <c r="R16" t="n">
        <v>0</v>
      </c>
      <c r="S16" t="n">
        <v>2</v>
      </c>
      <c r="T16" t="n">
        <v>7</v>
      </c>
      <c r="U16" t="n">
        <v>7</v>
      </c>
      <c r="V16" s="2" t="inlineStr">
        <is>
          <t>Blåsippa
Kransmossa</t>
        </is>
      </c>
      <c r="W16">
        <f>HYPERLINK("https://klasma.github.io/Logging_0330/artfynd/A 18576-2026 artfynd.xlsx", "A 18576-2026")</f>
        <v/>
      </c>
      <c r="X16">
        <f>HYPERLINK("https://klasma.github.io/Logging_0330/kartor/A 18576-2026 karta.png", "A 18576-2026")</f>
        <v/>
      </c>
      <c r="Y16">
        <f>HYPERLINK("https://klasma.github.io/Logging_0330/kartor_geotiff/A 18576-2026 georefererad karta.tif", "A 18576-2026")</f>
        <v/>
      </c>
      <c r="AA16">
        <f>HYPERLINK("https://klasma.github.io/Logging_0330/klagomål/A 18576-2026 FSC-klagomål.docx", "A 18576-2026")</f>
        <v/>
      </c>
      <c r="AB16">
        <f>HYPERLINK("https://klasma.github.io/Logging_0330/klagomålsmail/A 18576-2026 FSC-klagomål mail.docx", "A 18576-2026")</f>
        <v/>
      </c>
      <c r="AC16">
        <f>HYPERLINK("https://klasma.github.io/Logging_0330/tillsyn/A 18576-2026 tillsynsbegäran.docx", "A 18576-2026")</f>
        <v/>
      </c>
      <c r="AD16">
        <f>HYPERLINK("https://klasma.github.io/Logging_0330/tillsynsmail/A 18576-2026 tillsynsbegäran mail.docx", "A 18576-2026")</f>
        <v/>
      </c>
    </row>
    <row r="17" ht="15" customHeight="1">
      <c r="A17" t="inlineStr">
        <is>
          <t>A 61768-2025</t>
        </is>
      </c>
      <c r="B17" t="inlineStr">
        <is>
          <t>avverkningsanmälan</t>
        </is>
      </c>
      <c r="C17" t="inlineStr">
        <is>
          <t>Föryngringsavverkning</t>
        </is>
      </c>
      <c r="D17" s="1" t="n">
        <v>46002</v>
      </c>
      <c r="E17" s="1" t="n">
        <v>46241</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46241</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34859-2025</t>
        </is>
      </c>
      <c r="B19" t="inlineStr">
        <is>
          <t>avverkningsanmälan</t>
        </is>
      </c>
      <c r="C19" t="inlineStr">
        <is>
          <t>Föryngringsavverkning</t>
        </is>
      </c>
      <c r="D19" s="1" t="n">
        <v>45849</v>
      </c>
      <c r="E19" s="1" t="n">
        <v>46241</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46241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46241</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46241</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60885-2021</t>
        </is>
      </c>
      <c r="B23" t="inlineStr">
        <is>
          <t>avverkningsanmälan</t>
        </is>
      </c>
      <c r="C23" t="inlineStr">
        <is>
          <t>Föryngringsavverkning</t>
        </is>
      </c>
      <c r="D23" s="1" t="n">
        <v>44497</v>
      </c>
      <c r="E23" s="1" t="n">
        <v>46241</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t="n">
        <v>1</v>
      </c>
      <c r="V23" s="2" t="inlineStr">
        <is>
          <t>Sotlav</t>
        </is>
      </c>
      <c r="W23">
        <f>HYPERLINK("https://klasma.github.io/Logging_0330/artfynd/A 60885-2021 artfynd.xlsx", "A 60885-2021")</f>
        <v/>
      </c>
      <c r="X23">
        <f>HYPERLINK("https://klasma.github.io/Logging_0330/kartor/A 60885-2021 karta.png", "A 60885-2021")</f>
        <v/>
      </c>
      <c r="Y23">
        <f>HYPERLINK("https://klasma.github.io/Logging_0330/kartor_geotiff/A 60885-2021 georefererad karta.tif", "A 60885-2021")</f>
        <v/>
      </c>
      <c r="AA23">
        <f>HYPERLINK("https://klasma.github.io/Logging_0330/klagomål/A 60885-2021 FSC-klagomål.docx", "A 60885-2021")</f>
        <v/>
      </c>
      <c r="AB23">
        <f>HYPERLINK("https://klasma.github.io/Logging_0330/klagomålsmail/A 60885-2021 FSC-klagomål mail.docx", "A 60885-2021")</f>
        <v/>
      </c>
      <c r="AC23">
        <f>HYPERLINK("https://klasma.github.io/Logging_0330/tillsyn/A 60885-2021 tillsynsbegäran.docx", "A 60885-2021")</f>
        <v/>
      </c>
      <c r="AD23">
        <f>HYPERLINK("https://klasma.github.io/Logging_0330/tillsynsmail/A 60885-2021 tillsynsbegäran mail.docx", "A 60885-2021")</f>
        <v/>
      </c>
    </row>
    <row r="24" ht="15" customHeight="1">
      <c r="A24" t="inlineStr">
        <is>
          <t>A 5402-2023</t>
        </is>
      </c>
      <c r="B24" t="inlineStr">
        <is>
          <t>avverkningsanmälan</t>
        </is>
      </c>
      <c r="C24" t="inlineStr">
        <is>
          <t>Föryngringsavverkning</t>
        </is>
      </c>
      <c r="D24" s="1" t="n">
        <v>44959</v>
      </c>
      <c r="E24" s="1" t="n">
        <v>46241</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46241</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46241</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9561-2026</t>
        </is>
      </c>
      <c r="B27" t="inlineStr">
        <is>
          <t>avverkningsanmälan</t>
        </is>
      </c>
      <c r="C27" t="inlineStr">
        <is>
          <t>Föryngringsavverkning</t>
        </is>
      </c>
      <c r="D27" s="1" t="n">
        <v>46071</v>
      </c>
      <c r="E27" s="1" t="n">
        <v>46241</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46241</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46241</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46241</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46241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46241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46241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46241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46241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46241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46241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46241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46241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46241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46241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46241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46241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46241</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46241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46241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46241</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11841-2023</t>
        </is>
      </c>
      <c r="B48" t="inlineStr">
        <is>
          <t>avverkningsanmälan</t>
        </is>
      </c>
      <c r="C48" t="inlineStr">
        <is>
          <t>Föryngringsavverkning</t>
        </is>
      </c>
      <c r="D48" s="1" t="n">
        <v>44995</v>
      </c>
      <c r="E48" s="1" t="n">
        <v>46241</v>
      </c>
      <c r="F48" t="inlineStr">
        <is>
          <t>UPPSALA LÄN</t>
        </is>
      </c>
      <c r="G48" t="inlineStr">
        <is>
          <t>KNIVSTA</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30351-2022</t>
        </is>
      </c>
      <c r="B49" t="inlineStr">
        <is>
          <t>avverkningsanmälan</t>
        </is>
      </c>
      <c r="C49" t="inlineStr">
        <is>
          <t>Föryngringsavverkning</t>
        </is>
      </c>
      <c r="D49" s="1" t="n">
        <v>44757</v>
      </c>
      <c r="E49" s="1" t="n">
        <v>46241</v>
      </c>
      <c r="F49" t="inlineStr">
        <is>
          <t>UPPSALA LÄN</t>
        </is>
      </c>
      <c r="G49" t="inlineStr">
        <is>
          <t>KNIVSTA</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36473-2025</t>
        </is>
      </c>
      <c r="B50" t="inlineStr">
        <is>
          <t>avverkningsanmälan</t>
        </is>
      </c>
      <c r="C50" t="inlineStr">
        <is>
          <t>Föryngringsavverkning</t>
        </is>
      </c>
      <c r="D50" s="1" t="n">
        <v>45869</v>
      </c>
      <c r="E50" s="1" t="n">
        <v>46241</v>
      </c>
      <c r="F50" t="inlineStr">
        <is>
          <t>UPPSALA LÄN</t>
        </is>
      </c>
      <c r="G50" t="inlineStr">
        <is>
          <t>KNIVSTA</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11847-2023</t>
        </is>
      </c>
      <c r="B51" t="inlineStr">
        <is>
          <t>avverkningsanmälan</t>
        </is>
      </c>
      <c r="C51" t="inlineStr">
        <is>
          <t>Föryngringsavverkning</t>
        </is>
      </c>
      <c r="D51" s="1" t="n">
        <v>44995</v>
      </c>
      <c r="E51" s="1" t="n">
        <v>46241</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11450-2023</t>
        </is>
      </c>
      <c r="B52" t="inlineStr">
        <is>
          <t>avverkningsanmälan</t>
        </is>
      </c>
      <c r="C52" t="inlineStr">
        <is>
          <t>Föryngringsavverkning</t>
        </is>
      </c>
      <c r="D52" s="1" t="n">
        <v>44993</v>
      </c>
      <c r="E52" s="1" t="n">
        <v>46241</v>
      </c>
      <c r="F52" t="inlineStr">
        <is>
          <t>UPPSALA LÄN</t>
        </is>
      </c>
      <c r="G52" t="inlineStr">
        <is>
          <t>KNIVSTA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31875-2022</t>
        </is>
      </c>
      <c r="B53" t="inlineStr">
        <is>
          <t>avverkningsanmälan</t>
        </is>
      </c>
      <c r="C53" t="inlineStr">
        <is>
          <t>Föryngringsavverkning</t>
        </is>
      </c>
      <c r="D53" s="1" t="n">
        <v>44777</v>
      </c>
      <c r="E53" s="1" t="n">
        <v>46241</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23239-2023</t>
        </is>
      </c>
      <c r="B54" t="inlineStr">
        <is>
          <t>avverkningsanmälan</t>
        </is>
      </c>
      <c r="C54" t="inlineStr">
        <is>
          <t>Föryngringsavverkning</t>
        </is>
      </c>
      <c r="D54" s="1" t="n">
        <v>45075</v>
      </c>
      <c r="E54" s="1" t="n">
        <v>46241</v>
      </c>
      <c r="F54" t="inlineStr">
        <is>
          <t>UPPSALA LÄN</t>
        </is>
      </c>
      <c r="G54" t="inlineStr">
        <is>
          <t>KNIVSTA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46241</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46241</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19774-2026</t>
        </is>
      </c>
      <c r="B57" t="inlineStr">
        <is>
          <t>avverkningsanmälan</t>
        </is>
      </c>
      <c r="C57" t="inlineStr">
        <is>
          <t>Föryngringsavverkning</t>
        </is>
      </c>
      <c r="D57" s="1" t="n">
        <v>46135</v>
      </c>
      <c r="E57" s="1" t="n">
        <v>46241</v>
      </c>
      <c r="F57" t="inlineStr">
        <is>
          <t>UPPSALA LÄN</t>
        </is>
      </c>
      <c r="G57" t="inlineStr">
        <is>
          <t>KNIVSTA</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49090-2025</t>
        </is>
      </c>
      <c r="B58" t="inlineStr">
        <is>
          <t>avverkningsanmälan</t>
        </is>
      </c>
      <c r="C58" t="inlineStr">
        <is>
          <t>Föryngringsavverkning</t>
        </is>
      </c>
      <c r="D58" s="1" t="n">
        <v>45937</v>
      </c>
      <c r="E58" s="1" t="n">
        <v>46241</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66293-2021</t>
        </is>
      </c>
      <c r="B59" t="inlineStr">
        <is>
          <t>avverkningsanmälan</t>
        </is>
      </c>
      <c r="C59" t="inlineStr">
        <is>
          <t>Föryngringsavverkning</t>
        </is>
      </c>
      <c r="D59" s="1" t="n">
        <v>44518</v>
      </c>
      <c r="E59" s="1" t="n">
        <v>46241</v>
      </c>
      <c r="F59" t="inlineStr">
        <is>
          <t>UPPSALA LÄN</t>
        </is>
      </c>
      <c r="G59" t="inlineStr">
        <is>
          <t>KNIVSTA</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52666-2025</t>
        </is>
      </c>
      <c r="B60" t="inlineStr">
        <is>
          <t>avverkningsanmälan</t>
        </is>
      </c>
      <c r="C60" t="inlineStr">
        <is>
          <t>Föryngringsavverkning</t>
        </is>
      </c>
      <c r="D60" s="1" t="n">
        <v>45955</v>
      </c>
      <c r="E60" s="1" t="n">
        <v>46241</v>
      </c>
      <c r="F60" t="inlineStr">
        <is>
          <t>UPPSALA LÄN</t>
        </is>
      </c>
      <c r="G60" t="inlineStr">
        <is>
          <t>KNIVSTA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33974-2025</t>
        </is>
      </c>
      <c r="B61" t="inlineStr">
        <is>
          <t>avverkningsanmälan</t>
        </is>
      </c>
      <c r="C61" t="inlineStr">
        <is>
          <t>Föryngringsavverkning</t>
        </is>
      </c>
      <c r="D61" s="1" t="n">
        <v>45843</v>
      </c>
      <c r="E61" s="1" t="n">
        <v>46241</v>
      </c>
      <c r="F61" t="inlineStr">
        <is>
          <t>UPPSALA LÄN</t>
        </is>
      </c>
      <c r="G61" t="inlineStr">
        <is>
          <t>KNIVSTA</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20528-2026</t>
        </is>
      </c>
      <c r="B62" t="inlineStr">
        <is>
          <t>avverkningsanmälan</t>
        </is>
      </c>
      <c r="C62" t="inlineStr">
        <is>
          <t>Föryngringsavverkning</t>
        </is>
      </c>
      <c r="D62" s="1" t="n">
        <v>46140</v>
      </c>
      <c r="E62" s="1" t="n">
        <v>46241</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66284-2021</t>
        </is>
      </c>
      <c r="B63" t="inlineStr">
        <is>
          <t>avverkningsanmälan</t>
        </is>
      </c>
      <c r="C63" t="inlineStr">
        <is>
          <t>Föryngringsavverkning</t>
        </is>
      </c>
      <c r="D63" s="1" t="n">
        <v>44518</v>
      </c>
      <c r="E63" s="1" t="n">
        <v>46241</v>
      </c>
      <c r="F63" t="inlineStr">
        <is>
          <t>UPPSALA LÄN</t>
        </is>
      </c>
      <c r="G63" t="inlineStr">
        <is>
          <t>KNIVSTA</t>
        </is>
      </c>
      <c r="I63" t="n">
        <v>6.9</v>
      </c>
      <c r="J63" t="n">
        <v>0</v>
      </c>
      <c r="K63" t="n">
        <v>0</v>
      </c>
      <c r="L63" t="n">
        <v>0</v>
      </c>
      <c r="M63" t="n">
        <v>0</v>
      </c>
      <c r="N63" t="n">
        <v>0</v>
      </c>
      <c r="O63" t="n">
        <v>0</v>
      </c>
      <c r="P63" t="n">
        <v>0</v>
      </c>
      <c r="Q63" t="n">
        <v>0</v>
      </c>
      <c r="R63" t="n">
        <v>0</v>
      </c>
      <c r="S63" t="n">
        <v>0</v>
      </c>
      <c r="T63" t="n">
        <v>0</v>
      </c>
      <c r="U63" t="n">
        <v>0</v>
      </c>
      <c r="V63" s="2" t="inlineStr"/>
    </row>
    <row r="64" ht="15" customHeight="1">
      <c r="A64" t="inlineStr">
        <is>
          <t>A 19777-2026</t>
        </is>
      </c>
      <c r="B64" t="inlineStr">
        <is>
          <t>avverkningsanmälan</t>
        </is>
      </c>
      <c r="C64" t="inlineStr">
        <is>
          <t>Föryngringsavverkning</t>
        </is>
      </c>
      <c r="D64" s="1" t="n">
        <v>46135</v>
      </c>
      <c r="E64" s="1" t="n">
        <v>46241</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19676-2025</t>
        </is>
      </c>
      <c r="B65" t="inlineStr">
        <is>
          <t>avverkningsanmälan</t>
        </is>
      </c>
      <c r="C65" t="inlineStr">
        <is>
          <t>Föryngringsavverkning</t>
        </is>
      </c>
      <c r="D65" s="1" t="n">
        <v>45770</v>
      </c>
      <c r="E65" s="1" t="n">
        <v>46241</v>
      </c>
      <c r="F65" t="inlineStr">
        <is>
          <t>UPPSALA LÄN</t>
        </is>
      </c>
      <c r="G65" t="inlineStr">
        <is>
          <t>KNIVSTA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8343-2024</t>
        </is>
      </c>
      <c r="B66" t="inlineStr">
        <is>
          <t>avverkningsanmälan</t>
        </is>
      </c>
      <c r="C66" t="inlineStr">
        <is>
          <t>Föryngringsavverkning</t>
        </is>
      </c>
      <c r="D66" s="1" t="n">
        <v>45352</v>
      </c>
      <c r="E66" s="1" t="n">
        <v>46241</v>
      </c>
      <c r="F66" t="inlineStr">
        <is>
          <t>UPPSALA LÄN</t>
        </is>
      </c>
      <c r="G66" t="inlineStr">
        <is>
          <t>KNIVSTA</t>
        </is>
      </c>
      <c r="H66" t="inlineStr">
        <is>
          <t>Holmen skog AB</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46241</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30627-2023</t>
        </is>
      </c>
      <c r="B68" t="inlineStr">
        <is>
          <t>avverkningsanmälan</t>
        </is>
      </c>
      <c r="C68" t="inlineStr">
        <is>
          <t>Föryngringsavverkning</t>
        </is>
      </c>
      <c r="D68" s="1" t="n">
        <v>45112</v>
      </c>
      <c r="E68" s="1" t="n">
        <v>46241</v>
      </c>
      <c r="F68" t="inlineStr">
        <is>
          <t>UPPSALA LÄN</t>
        </is>
      </c>
      <c r="G68" t="inlineStr">
        <is>
          <t>KNIVSTA</t>
        </is>
      </c>
      <c r="H68" t="inlineStr">
        <is>
          <t>Holmen skog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1629-2024</t>
        </is>
      </c>
      <c r="B69" t="inlineStr">
        <is>
          <t>avverkningsanmälan</t>
        </is>
      </c>
      <c r="C69" t="inlineStr">
        <is>
          <t>Föryngringsavverkning</t>
        </is>
      </c>
      <c r="D69" s="1" t="n">
        <v>45306</v>
      </c>
      <c r="E69" s="1" t="n">
        <v>46241</v>
      </c>
      <c r="F69" t="inlineStr">
        <is>
          <t>UPPSALA LÄN</t>
        </is>
      </c>
      <c r="G69" t="inlineStr">
        <is>
          <t>KNIVSTA</t>
        </is>
      </c>
      <c r="H69" t="inlineStr">
        <is>
          <t>Holmen skog AB</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46241</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3375-2026</t>
        </is>
      </c>
      <c r="B71" t="inlineStr">
        <is>
          <t>avverkningsanmälan</t>
        </is>
      </c>
      <c r="C71" t="inlineStr">
        <is>
          <t>Föryngringsavverkning</t>
        </is>
      </c>
      <c r="D71" s="1" t="n">
        <v>46042</v>
      </c>
      <c r="E71" s="1" t="n">
        <v>46241</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46241</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5908-2026</t>
        </is>
      </c>
      <c r="B73" t="inlineStr">
        <is>
          <t>avverkningsanmälan</t>
        </is>
      </c>
      <c r="C73" t="inlineStr">
        <is>
          <t>Föryngringsavverkning</t>
        </is>
      </c>
      <c r="D73" s="1" t="n">
        <v>46052</v>
      </c>
      <c r="E73" s="1" t="n">
        <v>46241</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5910-2026</t>
        </is>
      </c>
      <c r="B74" t="inlineStr">
        <is>
          <t>avverkningsanmälan</t>
        </is>
      </c>
      <c r="C74" t="inlineStr">
        <is>
          <t>Föryngringsavverkning</t>
        </is>
      </c>
      <c r="D74" s="1" t="n">
        <v>46052</v>
      </c>
      <c r="E74" s="1" t="n">
        <v>46241</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45525-2023</t>
        </is>
      </c>
      <c r="B75" t="inlineStr">
        <is>
          <t>avverkningsanmälan</t>
        </is>
      </c>
      <c r="C75" t="inlineStr">
        <is>
          <t>Avverkning för annat ändamål</t>
        </is>
      </c>
      <c r="D75" s="1" t="n">
        <v>45194</v>
      </c>
      <c r="E75" s="1" t="n">
        <v>46241</v>
      </c>
      <c r="F75" t="inlineStr">
        <is>
          <t>UPPSALA LÄN</t>
        </is>
      </c>
      <c r="G75" t="inlineStr">
        <is>
          <t>KNIVSTA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23969-2026</t>
        </is>
      </c>
      <c r="B76" t="inlineStr">
        <is>
          <t>avverkningsanmälan</t>
        </is>
      </c>
      <c r="C76" t="inlineStr">
        <is>
          <t>Föryngringsavverkning</t>
        </is>
      </c>
      <c r="D76" s="1" t="n">
        <v>46167</v>
      </c>
      <c r="E76" s="1" t="n">
        <v>46241</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16773-2022</t>
        </is>
      </c>
      <c r="B77" t="inlineStr">
        <is>
          <t>avverkningsanmälan</t>
        </is>
      </c>
      <c r="C77" t="inlineStr">
        <is>
          <t>Avverkning för annat ändamål</t>
        </is>
      </c>
      <c r="D77" s="1" t="n">
        <v>44673</v>
      </c>
      <c r="E77" s="1" t="n">
        <v>46241</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30764-2023</t>
        </is>
      </c>
      <c r="B78" t="inlineStr">
        <is>
          <t>avverkningsanmälan</t>
        </is>
      </c>
      <c r="C78" t="inlineStr">
        <is>
          <t>Föryngringsavverkning</t>
        </is>
      </c>
      <c r="D78" s="1" t="n">
        <v>45112</v>
      </c>
      <c r="E78" s="1" t="n">
        <v>46241</v>
      </c>
      <c r="F78" t="inlineStr">
        <is>
          <t>UPPSALA LÄN</t>
        </is>
      </c>
      <c r="G78" t="inlineStr">
        <is>
          <t>KNIVSTA</t>
        </is>
      </c>
      <c r="H78" t="inlineStr">
        <is>
          <t>Holmen skog AB</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9744-2026</t>
        </is>
      </c>
      <c r="B79" t="inlineStr">
        <is>
          <t>avverkningsanmälan</t>
        </is>
      </c>
      <c r="C79" t="inlineStr">
        <is>
          <t>Föryngringsavverkning</t>
        </is>
      </c>
      <c r="D79" s="1" t="n">
        <v>46072</v>
      </c>
      <c r="E79" s="1" t="n">
        <v>46241</v>
      </c>
      <c r="F79" t="inlineStr">
        <is>
          <t>UPPSALA LÄN</t>
        </is>
      </c>
      <c r="G79" t="inlineStr">
        <is>
          <t>KNIVSTA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51849-2023</t>
        </is>
      </c>
      <c r="B80" t="inlineStr">
        <is>
          <t>avverkningsanmälan</t>
        </is>
      </c>
      <c r="C80" t="inlineStr">
        <is>
          <t>Föryngringsavverkning</t>
        </is>
      </c>
      <c r="D80" s="1" t="n">
        <v>45223</v>
      </c>
      <c r="E80" s="1" t="n">
        <v>46241</v>
      </c>
      <c r="F80" t="inlineStr">
        <is>
          <t>UPPSALA LÄN</t>
        </is>
      </c>
      <c r="G80" t="inlineStr">
        <is>
          <t>KNIVSTA</t>
        </is>
      </c>
      <c r="I80" t="n">
        <v>16.3</v>
      </c>
      <c r="J80" t="n">
        <v>0</v>
      </c>
      <c r="K80" t="n">
        <v>0</v>
      </c>
      <c r="L80" t="n">
        <v>0</v>
      </c>
      <c r="M80" t="n">
        <v>0</v>
      </c>
      <c r="N80" t="n">
        <v>0</v>
      </c>
      <c r="O80" t="n">
        <v>0</v>
      </c>
      <c r="P80" t="n">
        <v>0</v>
      </c>
      <c r="Q80" t="n">
        <v>0</v>
      </c>
      <c r="R80" t="n">
        <v>0</v>
      </c>
      <c r="S80" t="n">
        <v>0</v>
      </c>
      <c r="T80" t="n">
        <v>0</v>
      </c>
      <c r="U80" t="n">
        <v>0</v>
      </c>
      <c r="V80" s="2" t="inlineStr"/>
    </row>
    <row r="81" ht="15" customHeight="1">
      <c r="A81" t="inlineStr">
        <is>
          <t>A 60018-2024</t>
        </is>
      </c>
      <c r="B81" t="inlineStr">
        <is>
          <t>avverkningsanmälan</t>
        </is>
      </c>
      <c r="C81" t="inlineStr">
        <is>
          <t>Föryngringsavverkning</t>
        </is>
      </c>
      <c r="D81" s="1" t="n">
        <v>45642</v>
      </c>
      <c r="E81" s="1" t="n">
        <v>46241</v>
      </c>
      <c r="F81" t="inlineStr">
        <is>
          <t>UPPSALA LÄN</t>
        </is>
      </c>
      <c r="G81" t="inlineStr">
        <is>
          <t>KNIVSTA</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12027-2026</t>
        </is>
      </c>
      <c r="B82" t="inlineStr">
        <is>
          <t>avverkningsanmälan</t>
        </is>
      </c>
      <c r="C82" t="inlineStr">
        <is>
          <t>Avverkning för annat ändamål</t>
        </is>
      </c>
      <c r="D82" s="1" t="n">
        <v>46085</v>
      </c>
      <c r="E82" s="1" t="n">
        <v>46241</v>
      </c>
      <c r="F82" t="inlineStr">
        <is>
          <t>UPPSALA LÄN</t>
        </is>
      </c>
      <c r="G82" t="inlineStr">
        <is>
          <t>KNIVSTA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12774-2026</t>
        </is>
      </c>
      <c r="B83" t="inlineStr">
        <is>
          <t>avverkningsanmälan</t>
        </is>
      </c>
      <c r="C83" t="inlineStr">
        <is>
          <t>Föryngringsavverkning</t>
        </is>
      </c>
      <c r="D83" s="1" t="n">
        <v>46091</v>
      </c>
      <c r="E83" s="1" t="n">
        <v>46241</v>
      </c>
      <c r="F83" t="inlineStr">
        <is>
          <t>UPPSALA LÄN</t>
        </is>
      </c>
      <c r="G83" t="inlineStr">
        <is>
          <t>KNIVSTA</t>
        </is>
      </c>
      <c r="H83" t="inlineStr">
        <is>
          <t>Holmen skog AB</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17333-2024</t>
        </is>
      </c>
      <c r="B84" t="inlineStr">
        <is>
          <t>avverkningsanmälan</t>
        </is>
      </c>
      <c r="C84" t="inlineStr">
        <is>
          <t>Föryngringsavverkning</t>
        </is>
      </c>
      <c r="D84" s="1" t="n">
        <v>45414</v>
      </c>
      <c r="E84" s="1" t="n">
        <v>46241</v>
      </c>
      <c r="F84" t="inlineStr">
        <is>
          <t>UPPSALA LÄN</t>
        </is>
      </c>
      <c r="G84" t="inlineStr">
        <is>
          <t>KNIVSTA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13013-2026</t>
        </is>
      </c>
      <c r="B85" t="inlineStr">
        <is>
          <t>avverkningsanmälan</t>
        </is>
      </c>
      <c r="C85" t="inlineStr">
        <is>
          <t>Föryngringsavverkning</t>
        </is>
      </c>
      <c r="D85" s="1" t="n">
        <v>46092</v>
      </c>
      <c r="E85" s="1" t="n">
        <v>46241</v>
      </c>
      <c r="F85" t="inlineStr">
        <is>
          <t>UPPSALA LÄN</t>
        </is>
      </c>
      <c r="G85" t="inlineStr">
        <is>
          <t>KNIVSTA</t>
        </is>
      </c>
      <c r="H85" t="inlineStr">
        <is>
          <t>Holmen skog AB</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13011-2026</t>
        </is>
      </c>
      <c r="B86" t="inlineStr">
        <is>
          <t>avverkningsanmälan</t>
        </is>
      </c>
      <c r="C86" t="inlineStr">
        <is>
          <t>Föryngringsavverkning</t>
        </is>
      </c>
      <c r="D86" s="1" t="n">
        <v>46092</v>
      </c>
      <c r="E86" s="1" t="n">
        <v>46241</v>
      </c>
      <c r="F86" t="inlineStr">
        <is>
          <t>UPPSALA LÄN</t>
        </is>
      </c>
      <c r="G86" t="inlineStr">
        <is>
          <t>KNIVSTA</t>
        </is>
      </c>
      <c r="H86" t="inlineStr">
        <is>
          <t>Holmen skog AB</t>
        </is>
      </c>
      <c r="I86" t="n">
        <v>1.9</v>
      </c>
      <c r="J86" t="n">
        <v>0</v>
      </c>
      <c r="K86" t="n">
        <v>0</v>
      </c>
      <c r="L86" t="n">
        <v>0</v>
      </c>
      <c r="M86" t="n">
        <v>0</v>
      </c>
      <c r="N86" t="n">
        <v>0</v>
      </c>
      <c r="O86" t="n">
        <v>0</v>
      </c>
      <c r="P86" t="n">
        <v>0</v>
      </c>
      <c r="Q86" t="n">
        <v>0</v>
      </c>
      <c r="R86" t="n">
        <v>0</v>
      </c>
      <c r="S86" t="n">
        <v>0</v>
      </c>
      <c r="T86" t="n">
        <v>0</v>
      </c>
      <c r="U86" t="n">
        <v>0</v>
      </c>
      <c r="V86" s="2" t="inlineStr"/>
      <c r="Z86">
        <f>HYPERLINK("https://klasma.github.io/Logging_0330/knärot/A 13011-2026 karta knärot.png", "A 13011-2026")</f>
        <v/>
      </c>
      <c r="AA86">
        <f>HYPERLINK("https://klasma.github.io/Logging_0330/klagomål/A 13011-2026 FSC-klagomål.docx", "A 13011-2026")</f>
        <v/>
      </c>
      <c r="AB86">
        <f>HYPERLINK("https://klasma.github.io/Logging_0330/klagomålsmail/A 13011-2026 FSC-klagomål mail.docx", "A 13011-2026")</f>
        <v/>
      </c>
      <c r="AC86">
        <f>HYPERLINK("https://klasma.github.io/Logging_0330/tillsyn/A 13011-2026 tillsynsbegäran.docx", "A 13011-2026")</f>
        <v/>
      </c>
      <c r="AD86">
        <f>HYPERLINK("https://klasma.github.io/Logging_0330/tillsynsmail/A 13011-2026 tillsynsbegäran mail.docx", "A 13011-2026")</f>
        <v/>
      </c>
    </row>
    <row r="87" ht="15" customHeight="1">
      <c r="A87" t="inlineStr">
        <is>
          <t>A 1791-2024</t>
        </is>
      </c>
      <c r="B87" t="inlineStr">
        <is>
          <t>avverkningsanmälan</t>
        </is>
      </c>
      <c r="C87" t="inlineStr">
        <is>
          <t>Föryngringsavverkning</t>
        </is>
      </c>
      <c r="D87" s="1" t="n">
        <v>45307</v>
      </c>
      <c r="E87" s="1" t="n">
        <v>46241</v>
      </c>
      <c r="F87" t="inlineStr">
        <is>
          <t>UPPSALA LÄN</t>
        </is>
      </c>
      <c r="G87" t="inlineStr">
        <is>
          <t>KNIVSTA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13016-2026</t>
        </is>
      </c>
      <c r="B88" t="inlineStr">
        <is>
          <t>avverkningsanmälan</t>
        </is>
      </c>
      <c r="C88" t="inlineStr">
        <is>
          <t>Föryngringsavverkning</t>
        </is>
      </c>
      <c r="D88" s="1" t="n">
        <v>46092</v>
      </c>
      <c r="E88" s="1" t="n">
        <v>46241</v>
      </c>
      <c r="F88" t="inlineStr">
        <is>
          <t>UPPSALA LÄN</t>
        </is>
      </c>
      <c r="G88" t="inlineStr">
        <is>
          <t>KNIVSTA</t>
        </is>
      </c>
      <c r="H88" t="inlineStr">
        <is>
          <t>Holmen skog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46241</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46241</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46241</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46241</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46241</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46241</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46241</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26182-2022</t>
        </is>
      </c>
      <c r="B96" t="inlineStr">
        <is>
          <t>avverkningsanmälan</t>
        </is>
      </c>
      <c r="C96" t="inlineStr">
        <is>
          <t>Föryngringsavverkning</t>
        </is>
      </c>
      <c r="D96" s="1" t="n">
        <v>44735</v>
      </c>
      <c r="E96" s="1" t="n">
        <v>46241</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46241</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46241</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45916-2022</t>
        </is>
      </c>
      <c r="B99" t="inlineStr">
        <is>
          <t>avverkningsanmälan</t>
        </is>
      </c>
      <c r="C99" t="inlineStr">
        <is>
          <t>Föryngringsavverkning</t>
        </is>
      </c>
      <c r="D99" s="1" t="n">
        <v>44846</v>
      </c>
      <c r="E99" s="1" t="n">
        <v>46241</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17091-2023</t>
        </is>
      </c>
      <c r="B100" t="inlineStr">
        <is>
          <t>avverkningsanmälan</t>
        </is>
      </c>
      <c r="C100" t="inlineStr">
        <is>
          <t>Föryngringsavverkning</t>
        </is>
      </c>
      <c r="D100" s="1" t="n">
        <v>45034</v>
      </c>
      <c r="E100" s="1" t="n">
        <v>46241</v>
      </c>
      <c r="F100" t="inlineStr">
        <is>
          <t>UPPSALA LÄN</t>
        </is>
      </c>
      <c r="G100" t="inlineStr">
        <is>
          <t>KNIVSTA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794-2024</t>
        </is>
      </c>
      <c r="B101" t="inlineStr">
        <is>
          <t>avverkningsanmälan</t>
        </is>
      </c>
      <c r="C101" t="inlineStr">
        <is>
          <t>Föryngringsavverkning</t>
        </is>
      </c>
      <c r="D101" s="1" t="n">
        <v>45300</v>
      </c>
      <c r="E101" s="1" t="n">
        <v>46241</v>
      </c>
      <c r="F101" t="inlineStr">
        <is>
          <t>UPPSALA LÄN</t>
        </is>
      </c>
      <c r="G101" t="inlineStr">
        <is>
          <t>KNIVSTA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46241</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46241</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46241</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46241</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2026-08-07T01:52:21Z</dcterms:created>
  <dcterms:modified xmlns:dcterms="http://purl.org/dc/terms/" xmlns:xsi="http://www.w3.org/2001/XMLSchema-instance" xsi:type="dcterms:W3CDTF">2026-08-07T01:52:22Z</dcterms:modified>
</cp:coreProperties>
</file>