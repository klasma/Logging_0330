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46312</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46312</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46312</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46312</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46312</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46312</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46312</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46312</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46312</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46312</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46312</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37356-2026</t>
        </is>
      </c>
      <c r="B21" t="inlineStr">
        <is>
          <t>avverkningsanmälan</t>
        </is>
      </c>
      <c r="C21" t="inlineStr">
        <is>
          <t>Föryngringsavverkning</t>
        </is>
      </c>
      <c r="D21" s="1" t="n">
        <v>46275</v>
      </c>
      <c r="E21" s="1" t="n">
        <v>46312</v>
      </c>
      <c r="F21" t="inlineStr">
        <is>
          <t>UPPSALA LÄN</t>
        </is>
      </c>
      <c r="G21" t="inlineStr">
        <is>
          <t>KNIVSTA</t>
        </is>
      </c>
      <c r="H21" t="inlineStr">
        <is>
          <t>Holmen skog AB</t>
        </is>
      </c>
      <c r="I21" t="n">
        <v>5.8</v>
      </c>
      <c r="J21" t="n">
        <v>1</v>
      </c>
      <c r="K21" t="n">
        <v>0</v>
      </c>
      <c r="L21" t="n">
        <v>1</v>
      </c>
      <c r="M21" t="n">
        <v>0</v>
      </c>
      <c r="N21" t="n">
        <v>0</v>
      </c>
      <c r="O21" t="n">
        <v>0</v>
      </c>
      <c r="P21" t="n">
        <v>0</v>
      </c>
      <c r="Q21" t="n">
        <v>1</v>
      </c>
      <c r="R21" t="n">
        <v>0</v>
      </c>
      <c r="S21" t="n">
        <v>2</v>
      </c>
      <c r="T21" t="n">
        <v>2</v>
      </c>
      <c r="U21" t="n">
        <v>2</v>
      </c>
      <c r="V21" s="2" t="inlineStr">
        <is>
          <t>Talltita
Kransmossa</t>
        </is>
      </c>
      <c r="W21">
        <f>HYPERLINK("https://klasma.github.io/Logging_0330/artfynd/A 37356-2026 artfynd.xlsx", "A 37356-2026")</f>
        <v/>
      </c>
      <c r="X21">
        <f>HYPERLINK("https://klasma.github.io/Logging_0330/kartor/A 37356-2026 karta.png", "A 37356-2026")</f>
        <v/>
      </c>
      <c r="Y21">
        <f>HYPERLINK("https://klasma.github.io/Logging_0330/kartor_geotiff/A 37356-2026 georefererad karta.tif", "A 37356-2026")</f>
        <v/>
      </c>
      <c r="AA21">
        <f>HYPERLINK("https://klasma.github.io/Logging_0330/klagomål/A 37356-2026 FSC-klagomål.docx", "A 37356-2026")</f>
        <v/>
      </c>
      <c r="AB21">
        <f>HYPERLINK("https://klasma.github.io/Logging_0330/klagomålsmail/A 37356-2026 FSC-klagomål mail.docx", "A 37356-2026")</f>
        <v/>
      </c>
      <c r="AC21">
        <f>HYPERLINK("https://klasma.github.io/Logging_0330/tillsyn/A 37356-2026 tillsynsbegäran.docx", "A 37356-2026")</f>
        <v/>
      </c>
      <c r="AD21">
        <f>HYPERLINK("https://klasma.github.io/Logging_0330/tillsynsmail/A 37356-2026 tillsynsbegäran mail.docx", "A 37356-2026")</f>
        <v/>
      </c>
      <c r="AE21">
        <f>HYPERLINK("https://klasma.github.io/Logging_0330/fåglar/A 37356-2026 prioriterade fågelarter.docx", "A 37356-2026")</f>
        <v/>
      </c>
    </row>
    <row r="22" ht="15" customHeight="1">
      <c r="A22" t="inlineStr">
        <is>
          <t>A 34859-2025</t>
        </is>
      </c>
      <c r="B22" t="inlineStr">
        <is>
          <t>avverkningsanmälan</t>
        </is>
      </c>
      <c r="C22" t="inlineStr">
        <is>
          <t>Föryngringsavverkning</t>
        </is>
      </c>
      <c r="D22" s="1" t="n">
        <v>45849</v>
      </c>
      <c r="E22" s="1" t="n">
        <v>46312</v>
      </c>
      <c r="F22" t="inlineStr">
        <is>
          <t>UPPSALA LÄN</t>
        </is>
      </c>
      <c r="G22" t="inlineStr">
        <is>
          <t>KNIVSTA</t>
        </is>
      </c>
      <c r="H22" t="inlineStr">
        <is>
          <t>Holmen skog AB</t>
        </is>
      </c>
      <c r="I22" t="n">
        <v>6.1</v>
      </c>
      <c r="J22" t="n">
        <v>0</v>
      </c>
      <c r="K22" t="n">
        <v>2</v>
      </c>
      <c r="L22" t="n">
        <v>0</v>
      </c>
      <c r="M22" t="n">
        <v>0</v>
      </c>
      <c r="N22" t="n">
        <v>0</v>
      </c>
      <c r="O22" t="n">
        <v>0</v>
      </c>
      <c r="P22" t="n">
        <v>0</v>
      </c>
      <c r="Q22" t="n">
        <v>0</v>
      </c>
      <c r="R22" t="n">
        <v>0</v>
      </c>
      <c r="S22" t="n">
        <v>2</v>
      </c>
      <c r="T22" t="n">
        <v>2</v>
      </c>
      <c r="U22" t="n">
        <v>0</v>
      </c>
      <c r="V22" s="2" t="inlineStr">
        <is>
          <t>Mörk husmossa
Rostfläck</t>
        </is>
      </c>
      <c r="W22">
        <f>HYPERLINK("https://klasma.github.io/Logging_0330/artfynd/A 34859-2025 artfynd.xlsx", "A 34859-2025")</f>
        <v/>
      </c>
      <c r="X22">
        <f>HYPERLINK("https://klasma.github.io/Logging_0330/kartor/A 34859-2025 karta.png", "A 34859-2025")</f>
        <v/>
      </c>
      <c r="Y22">
        <f>HYPERLINK("https://klasma.github.io/Logging_0330/kartor_geotiff/A 34859-2025 georefererad karta.tif", "A 34859-2025")</f>
        <v/>
      </c>
      <c r="AA22">
        <f>HYPERLINK("https://klasma.github.io/Logging_0330/klagomål/A 34859-2025 FSC-klagomål.docx", "A 34859-2025")</f>
        <v/>
      </c>
      <c r="AB22">
        <f>HYPERLINK("https://klasma.github.io/Logging_0330/klagomålsmail/A 34859-2025 FSC-klagomål mail.docx", "A 34859-2025")</f>
        <v/>
      </c>
      <c r="AC22">
        <f>HYPERLINK("https://klasma.github.io/Logging_0330/tillsyn/A 34859-2025 tillsynsbegäran.docx", "A 34859-2025")</f>
        <v/>
      </c>
      <c r="AD22">
        <f>HYPERLINK("https://klasma.github.io/Logging_0330/tillsynsmail/A 34859-2025 tillsynsbegäran mail.docx", "A 34859-2025")</f>
        <v/>
      </c>
    </row>
    <row r="23" ht="15" customHeight="1">
      <c r="A23" t="inlineStr">
        <is>
          <t>S 194-2025</t>
        </is>
      </c>
      <c r="B23" t="inlineStr">
        <is>
          <t>samrådsanmälan</t>
        </is>
      </c>
      <c r="C23" t="inlineStr">
        <is>
          <t>Annan skogsbruksåtgärd</t>
        </is>
      </c>
      <c r="D23" s="1" t="n">
        <v>45679</v>
      </c>
      <c r="E23" s="1" t="n">
        <v>46312</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5402-2023</t>
        </is>
      </c>
      <c r="B24" t="inlineStr">
        <is>
          <t>avverkningsanmälan</t>
        </is>
      </c>
      <c r="C24" t="inlineStr">
        <is>
          <t>Föryngringsavverkning</t>
        </is>
      </c>
      <c r="D24" s="1" t="n">
        <v>44959</v>
      </c>
      <c r="E24" s="1" t="n">
        <v>46312</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46312</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46312</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33770-2023</t>
        </is>
      </c>
      <c r="B27" t="inlineStr">
        <is>
          <t>avverkningsanmälan</t>
        </is>
      </c>
      <c r="C27" t="inlineStr">
        <is>
          <t>Föryngringsavverkning</t>
        </is>
      </c>
      <c r="D27" s="1" t="n">
        <v>45133</v>
      </c>
      <c r="E27" s="1" t="n">
        <v>46312</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9561-2026</t>
        </is>
      </c>
      <c r="B28" t="inlineStr">
        <is>
          <t>avverkningsanmälan</t>
        </is>
      </c>
      <c r="C28" t="inlineStr">
        <is>
          <t>Föryngringsavverkning</t>
        </is>
      </c>
      <c r="D28" s="1" t="n">
        <v>46071</v>
      </c>
      <c r="E28" s="1" t="n">
        <v>46312</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13002-2026</t>
        </is>
      </c>
      <c r="B29" t="inlineStr">
        <is>
          <t>avverkningsanmälan</t>
        </is>
      </c>
      <c r="C29" t="inlineStr">
        <is>
          <t>Föryngringsavverkning</t>
        </is>
      </c>
      <c r="D29" s="1" t="n">
        <v>46092</v>
      </c>
      <c r="E29" s="1" t="n">
        <v>46312</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12991-2026</t>
        </is>
      </c>
      <c r="B30" t="inlineStr">
        <is>
          <t>avverkningsanmälan</t>
        </is>
      </c>
      <c r="C30" t="inlineStr">
        <is>
          <t>Föryngringsavverkning</t>
        </is>
      </c>
      <c r="D30" s="1" t="n">
        <v>46092</v>
      </c>
      <c r="E30" s="1" t="n">
        <v>46312</v>
      </c>
      <c r="F30" t="inlineStr">
        <is>
          <t>UPPSALA LÄN</t>
        </is>
      </c>
      <c r="G30" t="inlineStr">
        <is>
          <t>KNIVSTA</t>
        </is>
      </c>
      <c r="H30" t="inlineStr">
        <is>
          <t>Holmen skog AB</t>
        </is>
      </c>
      <c r="I30" t="n">
        <v>4.6</v>
      </c>
      <c r="J30" t="n">
        <v>1</v>
      </c>
      <c r="K30" t="n">
        <v>0</v>
      </c>
      <c r="L30" t="n">
        <v>0</v>
      </c>
      <c r="M30" t="n">
        <v>0</v>
      </c>
      <c r="N30" t="n">
        <v>0</v>
      </c>
      <c r="O30" t="n">
        <v>0</v>
      </c>
      <c r="P30" t="n">
        <v>0</v>
      </c>
      <c r="Q30" t="n">
        <v>0</v>
      </c>
      <c r="R30" t="n">
        <v>0</v>
      </c>
      <c r="S30" t="n">
        <v>1</v>
      </c>
      <c r="T30" t="n">
        <v>1</v>
      </c>
      <c r="U30" t="n">
        <v>1</v>
      </c>
      <c r="V30" s="2" t="inlineStr">
        <is>
          <t>Tjäder</t>
        </is>
      </c>
      <c r="W30">
        <f>HYPERLINK("https://klasma.github.io/Logging_0330/artfynd/A 12991-2026 artfynd.xlsx", "A 12991-2026")</f>
        <v/>
      </c>
      <c r="X30">
        <f>HYPERLINK("https://klasma.github.io/Logging_0330/kartor/A 12991-2026 karta.png", "A 12991-2026")</f>
        <v/>
      </c>
      <c r="Y30">
        <f>HYPERLINK("https://klasma.github.io/Logging_0330/kartor_geotiff/A 12991-2026 georefererad karta.tif", "A 12991-2026")</f>
        <v/>
      </c>
      <c r="AA30">
        <f>HYPERLINK("https://klasma.github.io/Logging_0330/klagomål/A 12991-2026 FSC-klagomål.docx", "A 12991-2026")</f>
        <v/>
      </c>
      <c r="AB30">
        <f>HYPERLINK("https://klasma.github.io/Logging_0330/klagomålsmail/A 12991-2026 FSC-klagomål mail.docx", "A 12991-2026")</f>
        <v/>
      </c>
      <c r="AC30">
        <f>HYPERLINK("https://klasma.github.io/Logging_0330/tillsyn/A 12991-2026 tillsynsbegäran.docx", "A 12991-2026")</f>
        <v/>
      </c>
      <c r="AD30">
        <f>HYPERLINK("https://klasma.github.io/Logging_0330/tillsynsmail/A 12991-2026 tillsynsbegäran mail.docx", "A 12991-2026")</f>
        <v/>
      </c>
      <c r="AE30">
        <f>HYPERLINK("https://klasma.github.io/Logging_0330/fåglar/A 12991-2026 prioriterade fågelarter.docx", "A 12991-2026")</f>
        <v/>
      </c>
    </row>
    <row r="31" ht="15" customHeight="1">
      <c r="A31" t="inlineStr">
        <is>
          <t>A 13380-2026</t>
        </is>
      </c>
      <c r="B31" t="inlineStr">
        <is>
          <t>avverkningsanmälan</t>
        </is>
      </c>
      <c r="C31" t="inlineStr">
        <is>
          <t>Föryngringsavverkning</t>
        </is>
      </c>
      <c r="D31" s="1" t="n">
        <v>46094</v>
      </c>
      <c r="E31" s="1" t="n">
        <v>46312</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11405-2025</t>
        </is>
      </c>
      <c r="B32" t="inlineStr">
        <is>
          <t>avverkningsanmälan</t>
        </is>
      </c>
      <c r="C32" t="inlineStr">
        <is>
          <t>Föryngringsavverkning</t>
        </is>
      </c>
      <c r="D32" s="1" t="n">
        <v>45726</v>
      </c>
      <c r="E32" s="1" t="n">
        <v>46312</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46312</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46312</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46312</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46312</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46312</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46312</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46312</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46312</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46312</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46312</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46312</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46312</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46312</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46312</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46312</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46312</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46312</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26182-2022</t>
        </is>
      </c>
      <c r="B50" t="inlineStr">
        <is>
          <t>avverkningsanmälan</t>
        </is>
      </c>
      <c r="C50" t="inlineStr">
        <is>
          <t>Föryngringsavverkning</t>
        </is>
      </c>
      <c r="D50" s="1" t="n">
        <v>44735</v>
      </c>
      <c r="E50" s="1" t="n">
        <v>46312</v>
      </c>
      <c r="F50" t="inlineStr">
        <is>
          <t>UPPSALA LÄN</t>
        </is>
      </c>
      <c r="G50" t="inlineStr">
        <is>
          <t>KNIVSTA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46312</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46312</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45525-2023</t>
        </is>
      </c>
      <c r="B53" t="inlineStr">
        <is>
          <t>avverkningsanmälan</t>
        </is>
      </c>
      <c r="C53" t="inlineStr">
        <is>
          <t>Avverkning för annat ändamål</t>
        </is>
      </c>
      <c r="D53" s="1" t="n">
        <v>45194</v>
      </c>
      <c r="E53" s="1" t="n">
        <v>46312</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46312</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46312</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16773-2022</t>
        </is>
      </c>
      <c r="B56" t="inlineStr">
        <is>
          <t>avverkningsanmälan</t>
        </is>
      </c>
      <c r="C56" t="inlineStr">
        <is>
          <t>Avverkning för annat ändamål</t>
        </is>
      </c>
      <c r="D56" s="1" t="n">
        <v>44673</v>
      </c>
      <c r="E56" s="1" t="n">
        <v>46312</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60018-2024</t>
        </is>
      </c>
      <c r="B57" t="inlineStr">
        <is>
          <t>avverkningsanmälan</t>
        </is>
      </c>
      <c r="C57" t="inlineStr">
        <is>
          <t>Föryngringsavverkning</t>
        </is>
      </c>
      <c r="D57" s="1" t="n">
        <v>45642</v>
      </c>
      <c r="E57" s="1" t="n">
        <v>46312</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1791-2024</t>
        </is>
      </c>
      <c r="B58" t="inlineStr">
        <is>
          <t>avverkningsanmälan</t>
        </is>
      </c>
      <c r="C58" t="inlineStr">
        <is>
          <t>Föryngringsavverkning</t>
        </is>
      </c>
      <c r="D58" s="1" t="n">
        <v>45307</v>
      </c>
      <c r="E58" s="1" t="n">
        <v>46312</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52666-2025</t>
        </is>
      </c>
      <c r="B59" t="inlineStr">
        <is>
          <t>avverkningsanmälan</t>
        </is>
      </c>
      <c r="C59" t="inlineStr">
        <is>
          <t>Föryngringsavverkning</t>
        </is>
      </c>
      <c r="D59" s="1" t="n">
        <v>45955</v>
      </c>
      <c r="E59" s="1" t="n">
        <v>46312</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33974-2025</t>
        </is>
      </c>
      <c r="B60" t="inlineStr">
        <is>
          <t>avverkningsanmälan</t>
        </is>
      </c>
      <c r="C60" t="inlineStr">
        <is>
          <t>Föryngringsavverkning</t>
        </is>
      </c>
      <c r="D60" s="1" t="n">
        <v>45843</v>
      </c>
      <c r="E60" s="1" t="n">
        <v>46312</v>
      </c>
      <c r="F60" t="inlineStr">
        <is>
          <t>UPPSALA LÄN</t>
        </is>
      </c>
      <c r="G60" t="inlineStr">
        <is>
          <t>KNIVSTA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20528-2026</t>
        </is>
      </c>
      <c r="B61" t="inlineStr">
        <is>
          <t>avverkningsanmälan</t>
        </is>
      </c>
      <c r="C61" t="inlineStr">
        <is>
          <t>Föryngringsavverkning</t>
        </is>
      </c>
      <c r="D61" s="1" t="n">
        <v>46140</v>
      </c>
      <c r="E61" s="1" t="n">
        <v>46312</v>
      </c>
      <c r="F61" t="inlineStr">
        <is>
          <t>UPPSALA LÄN</t>
        </is>
      </c>
      <c r="G61" t="inlineStr">
        <is>
          <t>KNIVSTA</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46312</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45453-2025</t>
        </is>
      </c>
      <c r="B63" t="inlineStr">
        <is>
          <t>avverkningsanmälan</t>
        </is>
      </c>
      <c r="C63" t="inlineStr">
        <is>
          <t>Föryngringsavverkning</t>
        </is>
      </c>
      <c r="D63" s="1" t="n">
        <v>45922</v>
      </c>
      <c r="E63" s="1" t="n">
        <v>46312</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46312</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46312</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46312</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46312</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23969-2026</t>
        </is>
      </c>
      <c r="B68" t="inlineStr">
        <is>
          <t>avverkningsanmälan</t>
        </is>
      </c>
      <c r="C68" t="inlineStr">
        <is>
          <t>Föryngringsavverkning</t>
        </is>
      </c>
      <c r="D68" s="1" t="n">
        <v>46167</v>
      </c>
      <c r="E68" s="1" t="n">
        <v>46312</v>
      </c>
      <c r="F68" t="inlineStr">
        <is>
          <t>UPPSALA LÄN</t>
        </is>
      </c>
      <c r="G68" t="inlineStr">
        <is>
          <t>KNIVSTA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46312</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46312</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3824-2026</t>
        </is>
      </c>
      <c r="B71" t="inlineStr">
        <is>
          <t>avverkningsanmälan</t>
        </is>
      </c>
      <c r="C71" t="inlineStr">
        <is>
          <t>Föryngringsavverkning</t>
        </is>
      </c>
      <c r="D71" s="1" t="n">
        <v>46043</v>
      </c>
      <c r="E71" s="1" t="n">
        <v>46312</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3375-2026</t>
        </is>
      </c>
      <c r="B72" t="inlineStr">
        <is>
          <t>avverkningsanmälan</t>
        </is>
      </c>
      <c r="C72" t="inlineStr">
        <is>
          <t>Föryngringsavverkning</t>
        </is>
      </c>
      <c r="D72" s="1" t="n">
        <v>46042</v>
      </c>
      <c r="E72" s="1" t="n">
        <v>46312</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30351-2022</t>
        </is>
      </c>
      <c r="B73" t="inlineStr">
        <is>
          <t>avverkningsanmälan</t>
        </is>
      </c>
      <c r="C73" t="inlineStr">
        <is>
          <t>Föryngringsavverkning</t>
        </is>
      </c>
      <c r="D73" s="1" t="n">
        <v>44757</v>
      </c>
      <c r="E73" s="1" t="n">
        <v>46312</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5908-2026</t>
        </is>
      </c>
      <c r="B74" t="inlineStr">
        <is>
          <t>avverkningsanmälan</t>
        </is>
      </c>
      <c r="C74" t="inlineStr">
        <is>
          <t>Föryngringsavverkning</t>
        </is>
      </c>
      <c r="D74" s="1" t="n">
        <v>46052</v>
      </c>
      <c r="E74" s="1" t="n">
        <v>46312</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5910-2026</t>
        </is>
      </c>
      <c r="B75" t="inlineStr">
        <is>
          <t>avverkningsanmälan</t>
        </is>
      </c>
      <c r="C75" t="inlineStr">
        <is>
          <t>Föryngringsavverkning</t>
        </is>
      </c>
      <c r="D75" s="1" t="n">
        <v>46052</v>
      </c>
      <c r="E75" s="1" t="n">
        <v>46312</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31875-2022</t>
        </is>
      </c>
      <c r="B76" t="inlineStr">
        <is>
          <t>avverkningsanmälan</t>
        </is>
      </c>
      <c r="C76" t="inlineStr">
        <is>
          <t>Föryngringsavverkning</t>
        </is>
      </c>
      <c r="D76" s="1" t="n">
        <v>44777</v>
      </c>
      <c r="E76" s="1" t="n">
        <v>46312</v>
      </c>
      <c r="F76" t="inlineStr">
        <is>
          <t>UPPSALA LÄN</t>
        </is>
      </c>
      <c r="G76" t="inlineStr">
        <is>
          <t>KNIVSTA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51849-2023</t>
        </is>
      </c>
      <c r="B77" t="inlineStr">
        <is>
          <t>avverkningsanmälan</t>
        </is>
      </c>
      <c r="C77" t="inlineStr">
        <is>
          <t>Föryngringsavverkning</t>
        </is>
      </c>
      <c r="D77" s="1" t="n">
        <v>45223</v>
      </c>
      <c r="E77" s="1" t="n">
        <v>46312</v>
      </c>
      <c r="F77" t="inlineStr">
        <is>
          <t>UPPSALA LÄN</t>
        </is>
      </c>
      <c r="G77" t="inlineStr">
        <is>
          <t>KNIVSTA</t>
        </is>
      </c>
      <c r="I77" t="n">
        <v>16.3</v>
      </c>
      <c r="J77" t="n">
        <v>0</v>
      </c>
      <c r="K77" t="n">
        <v>0</v>
      </c>
      <c r="L77" t="n">
        <v>0</v>
      </c>
      <c r="M77" t="n">
        <v>0</v>
      </c>
      <c r="N77" t="n">
        <v>0</v>
      </c>
      <c r="O77" t="n">
        <v>0</v>
      </c>
      <c r="P77" t="n">
        <v>0</v>
      </c>
      <c r="Q77" t="n">
        <v>0</v>
      </c>
      <c r="R77" t="n">
        <v>0</v>
      </c>
      <c r="S77" t="n">
        <v>0</v>
      </c>
      <c r="T77" t="n">
        <v>0</v>
      </c>
      <c r="U77" t="n">
        <v>0</v>
      </c>
      <c r="V77" s="2" t="inlineStr"/>
    </row>
    <row r="78" ht="15" customHeight="1">
      <c r="A78" t="inlineStr">
        <is>
          <t>A 9744-2026</t>
        </is>
      </c>
      <c r="B78" t="inlineStr">
        <is>
          <t>avverkningsanmälan</t>
        </is>
      </c>
      <c r="C78" t="inlineStr">
        <is>
          <t>Föryngringsavverkning</t>
        </is>
      </c>
      <c r="D78" s="1" t="n">
        <v>46072</v>
      </c>
      <c r="E78" s="1" t="n">
        <v>46312</v>
      </c>
      <c r="F78" t="inlineStr">
        <is>
          <t>UPPSALA LÄN</t>
        </is>
      </c>
      <c r="G78" t="inlineStr">
        <is>
          <t>KNIVSTA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12027-2026</t>
        </is>
      </c>
      <c r="B79" t="inlineStr">
        <is>
          <t>avverkningsanmälan</t>
        </is>
      </c>
      <c r="C79" t="inlineStr">
        <is>
          <t>Avverkning för annat ändamål</t>
        </is>
      </c>
      <c r="D79" s="1" t="n">
        <v>46085</v>
      </c>
      <c r="E79" s="1" t="n">
        <v>46312</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46312</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12774-2026</t>
        </is>
      </c>
      <c r="B81" t="inlineStr">
        <is>
          <t>avverkningsanmälan</t>
        </is>
      </c>
      <c r="C81" t="inlineStr">
        <is>
          <t>Föryngringsavverkning</t>
        </is>
      </c>
      <c r="D81" s="1" t="n">
        <v>46091</v>
      </c>
      <c r="E81" s="1" t="n">
        <v>46312</v>
      </c>
      <c r="F81" t="inlineStr">
        <is>
          <t>UPPSALA LÄN</t>
        </is>
      </c>
      <c r="G81" t="inlineStr">
        <is>
          <t>KNIVSTA</t>
        </is>
      </c>
      <c r="H81" t="inlineStr">
        <is>
          <t>Holmen skog AB</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13011-2026</t>
        </is>
      </c>
      <c r="B82" t="inlineStr">
        <is>
          <t>avverkningsanmälan</t>
        </is>
      </c>
      <c r="C82" t="inlineStr">
        <is>
          <t>Föryngringsavverkning</t>
        </is>
      </c>
      <c r="D82" s="1" t="n">
        <v>46092</v>
      </c>
      <c r="E82" s="1" t="n">
        <v>46312</v>
      </c>
      <c r="F82" t="inlineStr">
        <is>
          <t>UPPSALA LÄN</t>
        </is>
      </c>
      <c r="G82" t="inlineStr">
        <is>
          <t>KNIVSTA</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c r="Z82">
        <f>HYPERLINK("https://klasma.github.io/Logging_0330/knärot/A 13011-2026 karta knärot.png", "A 13011-2026")</f>
        <v/>
      </c>
      <c r="AA82">
        <f>HYPERLINK("https://klasma.github.io/Logging_0330/klagomål/A 13011-2026 FSC-klagomål.docx", "A 13011-2026")</f>
        <v/>
      </c>
      <c r="AB82">
        <f>HYPERLINK("https://klasma.github.io/Logging_0330/klagomålsmail/A 13011-2026 FSC-klagomål mail.docx", "A 13011-2026")</f>
        <v/>
      </c>
      <c r="AC82">
        <f>HYPERLINK("https://klasma.github.io/Logging_0330/tillsyn/A 13011-2026 tillsynsbegäran.docx", "A 13011-2026")</f>
        <v/>
      </c>
      <c r="AD82">
        <f>HYPERLINK("https://klasma.github.io/Logging_0330/tillsynsmail/A 13011-2026 tillsynsbegäran mail.docx", "A 13011-2026")</f>
        <v/>
      </c>
    </row>
    <row r="83" ht="15" customHeight="1">
      <c r="A83" t="inlineStr">
        <is>
          <t>A 13013-2026</t>
        </is>
      </c>
      <c r="B83" t="inlineStr">
        <is>
          <t>avverkningsanmälan</t>
        </is>
      </c>
      <c r="C83" t="inlineStr">
        <is>
          <t>Föryngringsavverkning</t>
        </is>
      </c>
      <c r="D83" s="1" t="n">
        <v>46092</v>
      </c>
      <c r="E83" s="1" t="n">
        <v>46312</v>
      </c>
      <c r="F83" t="inlineStr">
        <is>
          <t>UPPSALA LÄN</t>
        </is>
      </c>
      <c r="G83" t="inlineStr">
        <is>
          <t>KNIVSTA</t>
        </is>
      </c>
      <c r="H83" t="inlineStr">
        <is>
          <t>Holmen skog AB</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13001-2026</t>
        </is>
      </c>
      <c r="B84" t="inlineStr">
        <is>
          <t>avverkningsanmälan</t>
        </is>
      </c>
      <c r="C84" t="inlineStr">
        <is>
          <t>Föryngringsavverkning</t>
        </is>
      </c>
      <c r="D84" s="1" t="n">
        <v>46092</v>
      </c>
      <c r="E84" s="1" t="n">
        <v>46312</v>
      </c>
      <c r="F84" t="inlineStr">
        <is>
          <t>UPPSALA LÄN</t>
        </is>
      </c>
      <c r="G84" t="inlineStr">
        <is>
          <t>KNIVSTA</t>
        </is>
      </c>
      <c r="H84" t="inlineStr">
        <is>
          <t>Holmen skog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13005-2026</t>
        </is>
      </c>
      <c r="B85" t="inlineStr">
        <is>
          <t>avverkningsanmälan</t>
        </is>
      </c>
      <c r="C85" t="inlineStr">
        <is>
          <t>Föryngringsavverkning</t>
        </is>
      </c>
      <c r="D85" s="1" t="n">
        <v>46092</v>
      </c>
      <c r="E85" s="1" t="n">
        <v>46312</v>
      </c>
      <c r="F85" t="inlineStr">
        <is>
          <t>UPPSALA LÄN</t>
        </is>
      </c>
      <c r="G85" t="inlineStr">
        <is>
          <t>KNIVSTA</t>
        </is>
      </c>
      <c r="H85" t="inlineStr">
        <is>
          <t>Holmen skog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13016-2026</t>
        </is>
      </c>
      <c r="B86" t="inlineStr">
        <is>
          <t>avverkningsanmälan</t>
        </is>
      </c>
      <c r="C86" t="inlineStr">
        <is>
          <t>Föryngringsavverkning</t>
        </is>
      </c>
      <c r="D86" s="1" t="n">
        <v>46092</v>
      </c>
      <c r="E86" s="1" t="n">
        <v>46312</v>
      </c>
      <c r="F86" t="inlineStr">
        <is>
          <t>UPPSALA LÄN</t>
        </is>
      </c>
      <c r="G86" t="inlineStr">
        <is>
          <t>KNIVSTA</t>
        </is>
      </c>
      <c r="H86" t="inlineStr">
        <is>
          <t>Holmen skog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45916-2022</t>
        </is>
      </c>
      <c r="B87" t="inlineStr">
        <is>
          <t>avverkningsanmälan</t>
        </is>
      </c>
      <c r="C87" t="inlineStr">
        <is>
          <t>Föryngringsavverkning</t>
        </is>
      </c>
      <c r="D87" s="1" t="n">
        <v>44846</v>
      </c>
      <c r="E87" s="1" t="n">
        <v>46312</v>
      </c>
      <c r="F87" t="inlineStr">
        <is>
          <t>UPPSALA LÄN</t>
        </is>
      </c>
      <c r="G87" t="inlineStr">
        <is>
          <t>KNIVSTA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2629-2025</t>
        </is>
      </c>
      <c r="B88" t="inlineStr">
        <is>
          <t>avverkningsanmälan</t>
        </is>
      </c>
      <c r="C88" t="inlineStr">
        <is>
          <t>Föryngringsavverkning</t>
        </is>
      </c>
      <c r="D88" s="1" t="n">
        <v>45675</v>
      </c>
      <c r="E88" s="1" t="n">
        <v>46312</v>
      </c>
      <c r="F88" t="inlineStr">
        <is>
          <t>UPPSALA LÄN</t>
        </is>
      </c>
      <c r="G88" t="inlineStr">
        <is>
          <t>KNIVSTA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5320-2023</t>
        </is>
      </c>
      <c r="B89" t="inlineStr">
        <is>
          <t>avverkningsanmälan</t>
        </is>
      </c>
      <c r="C89" t="inlineStr">
        <is>
          <t>Föryngringsavverkning</t>
        </is>
      </c>
      <c r="D89" s="1" t="n">
        <v>44959</v>
      </c>
      <c r="E89" s="1" t="n">
        <v>46312</v>
      </c>
      <c r="F89" t="inlineStr">
        <is>
          <t>UPPSALA LÄN</t>
        </is>
      </c>
      <c r="G89" t="inlineStr">
        <is>
          <t>KNIVSTA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19774-2026</t>
        </is>
      </c>
      <c r="B90" t="inlineStr">
        <is>
          <t>avverkningsanmälan</t>
        </is>
      </c>
      <c r="C90" t="inlineStr">
        <is>
          <t>Föryngringsavverkning</t>
        </is>
      </c>
      <c r="D90" s="1" t="n">
        <v>46135</v>
      </c>
      <c r="E90" s="1" t="n">
        <v>46312</v>
      </c>
      <c r="F90" t="inlineStr">
        <is>
          <t>UPPSALA LÄN</t>
        </is>
      </c>
      <c r="G90" t="inlineStr">
        <is>
          <t>KNIVSTA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11452-2023</t>
        </is>
      </c>
      <c r="B91" t="inlineStr">
        <is>
          <t>avverkningsanmälan</t>
        </is>
      </c>
      <c r="C91" t="inlineStr">
        <is>
          <t>Föryngringsavverkning</t>
        </is>
      </c>
      <c r="D91" s="1" t="n">
        <v>44993</v>
      </c>
      <c r="E91" s="1" t="n">
        <v>46312</v>
      </c>
      <c r="F91" t="inlineStr">
        <is>
          <t>UPPSALA LÄN</t>
        </is>
      </c>
      <c r="G91" t="inlineStr">
        <is>
          <t>KNIVSTA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30627-2023</t>
        </is>
      </c>
      <c r="B92" t="inlineStr">
        <is>
          <t>avverkningsanmälan</t>
        </is>
      </c>
      <c r="C92" t="inlineStr">
        <is>
          <t>Föryngringsavverkning</t>
        </is>
      </c>
      <c r="D92" s="1" t="n">
        <v>45112</v>
      </c>
      <c r="E92" s="1" t="n">
        <v>46312</v>
      </c>
      <c r="F92" t="inlineStr">
        <is>
          <t>UPPSALA LÄN</t>
        </is>
      </c>
      <c r="G92" t="inlineStr">
        <is>
          <t>KNIVSTA</t>
        </is>
      </c>
      <c r="H92" t="inlineStr">
        <is>
          <t>Holmen skog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46312</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46312</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8343-2024</t>
        </is>
      </c>
      <c r="B95" t="inlineStr">
        <is>
          <t>avverkningsanmälan</t>
        </is>
      </c>
      <c r="C95" t="inlineStr">
        <is>
          <t>Föryngringsavverkning</t>
        </is>
      </c>
      <c r="D95" s="1" t="n">
        <v>45352</v>
      </c>
      <c r="E95" s="1" t="n">
        <v>46312</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37413-2026</t>
        </is>
      </c>
      <c r="B96" t="inlineStr">
        <is>
          <t>avverkningsanmälan</t>
        </is>
      </c>
      <c r="C96" t="inlineStr">
        <is>
          <t>Föryngringsavverkning</t>
        </is>
      </c>
      <c r="D96" s="1" t="n">
        <v>46275</v>
      </c>
      <c r="E96" s="1" t="n">
        <v>46312</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37437-2026</t>
        </is>
      </c>
      <c r="B97" t="inlineStr">
        <is>
          <t>avverkningsanmälan</t>
        </is>
      </c>
      <c r="C97" t="inlineStr">
        <is>
          <t>Föryngringsavverkning</t>
        </is>
      </c>
      <c r="D97" s="1" t="n">
        <v>46275</v>
      </c>
      <c r="E97" s="1" t="n">
        <v>46312</v>
      </c>
      <c r="F97" t="inlineStr">
        <is>
          <t>UPPSALA LÄN</t>
        </is>
      </c>
      <c r="G97" t="inlineStr">
        <is>
          <t>KNIVSTA</t>
        </is>
      </c>
      <c r="H97" t="inlineStr">
        <is>
          <t>Holmen skog AB</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19676-2025</t>
        </is>
      </c>
      <c r="B98" t="inlineStr">
        <is>
          <t>avverkningsanmälan</t>
        </is>
      </c>
      <c r="C98" t="inlineStr">
        <is>
          <t>Föryngringsavverkning</t>
        </is>
      </c>
      <c r="D98" s="1" t="n">
        <v>45770</v>
      </c>
      <c r="E98" s="1" t="n">
        <v>46312</v>
      </c>
      <c r="F98" t="inlineStr">
        <is>
          <t>UPPSALA LÄN</t>
        </is>
      </c>
      <c r="G98" t="inlineStr">
        <is>
          <t>KNIVSTA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39978-2026</t>
        </is>
      </c>
      <c r="B99" t="inlineStr">
        <is>
          <t>avverkningsanmälan</t>
        </is>
      </c>
      <c r="C99" t="inlineStr">
        <is>
          <t>Föryngringsavverkning</t>
        </is>
      </c>
      <c r="D99" s="1" t="n">
        <v>46293</v>
      </c>
      <c r="E99" s="1" t="n">
        <v>46312</v>
      </c>
      <c r="F99" t="inlineStr">
        <is>
          <t>UPPSALA LÄN</t>
        </is>
      </c>
      <c r="G99" t="inlineStr">
        <is>
          <t>KNIVSTA</t>
        </is>
      </c>
      <c r="H99" t="inlineStr">
        <is>
          <t>Holmen skog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46312</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46312</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46312</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19777-2026</t>
        </is>
      </c>
      <c r="B103" t="inlineStr">
        <is>
          <t>avverkningsanmälan</t>
        </is>
      </c>
      <c r="C103" t="inlineStr">
        <is>
          <t>Föryngringsavverkning</t>
        </is>
      </c>
      <c r="D103" s="1" t="n">
        <v>46135</v>
      </c>
      <c r="E103" s="1" t="n">
        <v>46312</v>
      </c>
      <c r="F103" t="inlineStr">
        <is>
          <t>UPPSALA LÄN</t>
        </is>
      </c>
      <c r="G103" t="inlineStr">
        <is>
          <t>KNIVSTA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46312</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46312</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34864-2025</t>
        </is>
      </c>
      <c r="B106" t="inlineStr">
        <is>
          <t>avverkningsanmälan</t>
        </is>
      </c>
      <c r="C106" t="inlineStr">
        <is>
          <t>Föryngringsavverkning</t>
        </is>
      </c>
      <c r="D106" s="1" t="n">
        <v>45849</v>
      </c>
      <c r="E106" s="1" t="n">
        <v>46312</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35318-2025</t>
        </is>
      </c>
      <c r="B107" t="inlineStr">
        <is>
          <t>avverkningsanmälan</t>
        </is>
      </c>
      <c r="C107" t="inlineStr">
        <is>
          <t>Föryngringsavverkning</t>
        </is>
      </c>
      <c r="D107" s="1" t="n">
        <v>45854</v>
      </c>
      <c r="E107" s="1" t="n">
        <v>46312</v>
      </c>
      <c r="F107" t="inlineStr">
        <is>
          <t>UPPSALA LÄN</t>
        </is>
      </c>
      <c r="G107" t="inlineStr">
        <is>
          <t>KNIVSTA</t>
        </is>
      </c>
      <c r="H107" t="inlineStr">
        <is>
          <t>Holmen skog AB</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36473-2025</t>
        </is>
      </c>
      <c r="B108" t="inlineStr">
        <is>
          <t>avverkningsanmälan</t>
        </is>
      </c>
      <c r="C108" t="inlineStr">
        <is>
          <t>Föryngringsavverkning</t>
        </is>
      </c>
      <c r="D108" s="1" t="n">
        <v>45869</v>
      </c>
      <c r="E108" s="1" t="n">
        <v>46312</v>
      </c>
      <c r="F108" t="inlineStr">
        <is>
          <t>UPPSALA LÄN</t>
        </is>
      </c>
      <c r="G108" t="inlineStr">
        <is>
          <t>KNIVSTA</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46312</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2026-10-17T02:02:19Z</dcterms:created>
  <dcterms:modified xmlns:dcterms="http://purl.org/dc/terms/" xmlns:xsi="http://www.w3.org/2001/XMLSchema-instance" xsi:type="dcterms:W3CDTF">2026-10-17T02:02:19Z</dcterms:modified>
</cp:coreProperties>
</file>