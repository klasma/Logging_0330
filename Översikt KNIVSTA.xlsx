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45512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45512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45512</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45512</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45512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45512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45512</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45512</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45512</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45512</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45512</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32197-2024</t>
        </is>
      </c>
      <c r="B13" s="1" t="n">
        <v>45511</v>
      </c>
      <c r="C13" s="1" t="n">
        <v>45512</v>
      </c>
      <c r="D13" t="inlineStr">
        <is>
          <t>UPPSALA LÄN</t>
        </is>
      </c>
      <c r="E13" t="inlineStr">
        <is>
          <t>KNIVSTA</t>
        </is>
      </c>
      <c r="G13" t="n">
        <v>1.3</v>
      </c>
      <c r="H13" t="n">
        <v>2</v>
      </c>
      <c r="I13" t="n">
        <v>2</v>
      </c>
      <c r="J13" t="n">
        <v>0</v>
      </c>
      <c r="K13" t="n">
        <v>1</v>
      </c>
      <c r="L13" t="n">
        <v>0</v>
      </c>
      <c r="M13" t="n">
        <v>0</v>
      </c>
      <c r="N13" t="n">
        <v>0</v>
      </c>
      <c r="O13" t="n">
        <v>1</v>
      </c>
      <c r="P13" t="n">
        <v>1</v>
      </c>
      <c r="Q13" t="n">
        <v>4</v>
      </c>
      <c r="R13" s="2" t="inlineStr">
        <is>
          <t>Bombmurkla
Kamjordstjärna
Svart trolldruva
Blåsippa</t>
        </is>
      </c>
      <c r="S13">
        <f>HYPERLINK("https://klasma.github.io/Logging_0330/artfynd/A 32197-2024 artfynd.xlsx", "A 32197-2024")</f>
        <v/>
      </c>
      <c r="T13">
        <f>HYPERLINK("https://klasma.github.io/Logging_0330/kartor/A 32197-2024 karta.png", "A 32197-2024")</f>
        <v/>
      </c>
      <c r="V13">
        <f>HYPERLINK("https://klasma.github.io/Logging_0330/klagomål/A 32197-2024 FSC-klagomål.docx", "A 32197-2024")</f>
        <v/>
      </c>
      <c r="W13">
        <f>HYPERLINK("https://klasma.github.io/Logging_0330/klagomålsmail/A 32197-2024 FSC-klagomål mail.docx", "A 32197-2024")</f>
        <v/>
      </c>
      <c r="X13">
        <f>HYPERLINK("https://klasma.github.io/Logging_0330/tillsyn/A 32197-2024 tillsynsbegäran.docx", "A 32197-2024")</f>
        <v/>
      </c>
      <c r="Y13">
        <f>HYPERLINK("https://klasma.github.io/Logging_0330/tillsynsmail/A 32197-2024 tillsynsbegäran mail.docx", "A 32197-2024")</f>
        <v/>
      </c>
    </row>
    <row r="14" ht="15" customHeight="1">
      <c r="A14" t="inlineStr">
        <is>
          <t>A 55535-2023</t>
        </is>
      </c>
      <c r="B14" s="1" t="n">
        <v>45238</v>
      </c>
      <c r="C14" s="1" t="n">
        <v>45512</v>
      </c>
      <c r="D14" t="inlineStr">
        <is>
          <t>UPPSALA LÄN</t>
        </is>
      </c>
      <c r="E14" t="inlineStr">
        <is>
          <t>KNIVSTA</t>
        </is>
      </c>
      <c r="G14" t="n">
        <v>5.7</v>
      </c>
      <c r="H14" t="n">
        <v>1</v>
      </c>
      <c r="I14" t="n">
        <v>1</v>
      </c>
      <c r="J14" t="n">
        <v>1</v>
      </c>
      <c r="K14" t="n">
        <v>0</v>
      </c>
      <c r="L14" t="n">
        <v>0</v>
      </c>
      <c r="M14" t="n">
        <v>0</v>
      </c>
      <c r="N14" t="n">
        <v>0</v>
      </c>
      <c r="O14" t="n">
        <v>1</v>
      </c>
      <c r="P14" t="n">
        <v>0</v>
      </c>
      <c r="Q14" t="n">
        <v>3</v>
      </c>
      <c r="R14" s="2" t="inlineStr">
        <is>
          <t>Fyrflikig jordstjärna
Svavelriska
Blåsippa</t>
        </is>
      </c>
      <c r="S14">
        <f>HYPERLINK("https://klasma.github.io/Logging_0330/artfynd/A 55535-2023 artfynd.xlsx", "A 55535-2023")</f>
        <v/>
      </c>
      <c r="T14">
        <f>HYPERLINK("https://klasma.github.io/Logging_0330/kartor/A 55535-2023 karta.png", "A 55535-2023")</f>
        <v/>
      </c>
      <c r="V14">
        <f>HYPERLINK("https://klasma.github.io/Logging_0330/klagomål/A 55535-2023 FSC-klagomål.docx", "A 55535-2023")</f>
        <v/>
      </c>
      <c r="W14">
        <f>HYPERLINK("https://klasma.github.io/Logging_0330/klagomålsmail/A 55535-2023 FSC-klagomål mail.docx", "A 55535-2023")</f>
        <v/>
      </c>
      <c r="X14">
        <f>HYPERLINK("https://klasma.github.io/Logging_0330/tillsyn/A 55535-2023 tillsynsbegäran.docx", "A 55535-2023")</f>
        <v/>
      </c>
      <c r="Y14">
        <f>HYPERLINK("https://klasma.github.io/Logging_0330/tillsynsmail/A 55535-2023 tillsynsbegäran mail.docx", "A 55535-2023")</f>
        <v/>
      </c>
    </row>
    <row r="15" ht="15" customHeight="1">
      <c r="A15" t="inlineStr">
        <is>
          <t>A 20778-2020</t>
        </is>
      </c>
      <c r="B15" s="1" t="n">
        <v>43949</v>
      </c>
      <c r="C15" s="1" t="n">
        <v>45512</v>
      </c>
      <c r="D15" t="inlineStr">
        <is>
          <t>UPPSALA LÄN</t>
        </is>
      </c>
      <c r="E15" t="inlineStr">
        <is>
          <t>KNIVSTA</t>
        </is>
      </c>
      <c r="G15" t="n">
        <v>2.9</v>
      </c>
      <c r="H15" t="n">
        <v>0</v>
      </c>
      <c r="I15" t="n">
        <v>1</v>
      </c>
      <c r="J15" t="n">
        <v>1</v>
      </c>
      <c r="K15" t="n">
        <v>0</v>
      </c>
      <c r="L15" t="n">
        <v>0</v>
      </c>
      <c r="M15" t="n">
        <v>0</v>
      </c>
      <c r="N15" t="n">
        <v>0</v>
      </c>
      <c r="O15" t="n">
        <v>1</v>
      </c>
      <c r="P15" t="n">
        <v>0</v>
      </c>
      <c r="Q15" t="n">
        <v>2</v>
      </c>
      <c r="R15" s="2" t="inlineStr">
        <is>
          <t>Gultoppig fingersvamp
Trådticka</t>
        </is>
      </c>
      <c r="S15">
        <f>HYPERLINK("https://klasma.github.io/Logging_0330/artfynd/A 20778-2020 artfynd.xlsx", "A 20778-2020")</f>
        <v/>
      </c>
      <c r="T15">
        <f>HYPERLINK("https://klasma.github.io/Logging_0330/kartor/A 20778-2020 karta.png", "A 20778-2020")</f>
        <v/>
      </c>
      <c r="V15">
        <f>HYPERLINK("https://klasma.github.io/Logging_0330/klagomål/A 20778-2020 FSC-klagomål.docx", "A 20778-2020")</f>
        <v/>
      </c>
      <c r="W15">
        <f>HYPERLINK("https://klasma.github.io/Logging_0330/klagomålsmail/A 20778-2020 FSC-klagomål mail.docx", "A 20778-2020")</f>
        <v/>
      </c>
      <c r="X15">
        <f>HYPERLINK("https://klasma.github.io/Logging_0330/tillsyn/A 20778-2020 tillsynsbegäran.docx", "A 20778-2020")</f>
        <v/>
      </c>
      <c r="Y15">
        <f>HYPERLINK("https://klasma.github.io/Logging_0330/tillsynsmail/A 20778-2020 tillsynsbegäran mail.docx", "A 20778-2020")</f>
        <v/>
      </c>
    </row>
    <row r="16" ht="15" customHeight="1">
      <c r="A16" t="inlineStr">
        <is>
          <t>A 24031-2020</t>
        </is>
      </c>
      <c r="B16" s="1" t="n">
        <v>43971</v>
      </c>
      <c r="C16" s="1" t="n">
        <v>45512</v>
      </c>
      <c r="D16" t="inlineStr">
        <is>
          <t>UPPSALA LÄN</t>
        </is>
      </c>
      <c r="E16" t="inlineStr">
        <is>
          <t>KNIVSTA</t>
        </is>
      </c>
      <c r="F16" t="inlineStr">
        <is>
          <t>Övriga statliga verk och myndigheter</t>
        </is>
      </c>
      <c r="G16" t="n">
        <v>2.4</v>
      </c>
      <c r="H16" t="n">
        <v>2</v>
      </c>
      <c r="I16" t="n">
        <v>0</v>
      </c>
      <c r="J16" t="n">
        <v>1</v>
      </c>
      <c r="K16" t="n">
        <v>0</v>
      </c>
      <c r="L16" t="n">
        <v>0</v>
      </c>
      <c r="M16" t="n">
        <v>0</v>
      </c>
      <c r="N16" t="n">
        <v>0</v>
      </c>
      <c r="O16" t="n">
        <v>1</v>
      </c>
      <c r="P16" t="n">
        <v>0</v>
      </c>
      <c r="Q16" t="n">
        <v>2</v>
      </c>
      <c r="R16" s="2" t="inlineStr">
        <is>
          <t>Grönsångare
Vanlig snok</t>
        </is>
      </c>
      <c r="S16">
        <f>HYPERLINK("https://klasma.github.io/Logging_0330/artfynd/A 24031-2020 artfynd.xlsx", "A 24031-2020")</f>
        <v/>
      </c>
      <c r="T16">
        <f>HYPERLINK("https://klasma.github.io/Logging_0330/kartor/A 24031-2020 karta.png", "A 24031-2020")</f>
        <v/>
      </c>
      <c r="V16">
        <f>HYPERLINK("https://klasma.github.io/Logging_0330/klagomål/A 24031-2020 FSC-klagomål.docx", "A 24031-2020")</f>
        <v/>
      </c>
      <c r="W16">
        <f>HYPERLINK("https://klasma.github.io/Logging_0330/klagomålsmail/A 24031-2020 FSC-klagomål mail.docx", "A 24031-2020")</f>
        <v/>
      </c>
      <c r="X16">
        <f>HYPERLINK("https://klasma.github.io/Logging_0330/tillsyn/A 24031-2020 tillsynsbegäran.docx", "A 24031-2020")</f>
        <v/>
      </c>
      <c r="Y16">
        <f>HYPERLINK("https://klasma.github.io/Logging_0330/tillsynsmail/A 24031-2020 tillsynsbegäran mail.docx", "A 24031-2020")</f>
        <v/>
      </c>
      <c r="Z16">
        <f>HYPERLINK("https://klasma.github.io/Logging_0330/fåglar/A 24031-2020 prioriterade fågelarter.docx", "A 24031-2020")</f>
        <v/>
      </c>
    </row>
    <row r="17" ht="15" customHeight="1">
      <c r="A17" t="inlineStr">
        <is>
          <t>A 10011-2023</t>
        </is>
      </c>
      <c r="B17" s="1" t="n">
        <v>44985</v>
      </c>
      <c r="C17" s="1" t="n">
        <v>45512</v>
      </c>
      <c r="D17" t="inlineStr">
        <is>
          <t>UPPSALA LÄN</t>
        </is>
      </c>
      <c r="E17" t="inlineStr">
        <is>
          <t>KNIVSTA</t>
        </is>
      </c>
      <c r="F17" t="inlineStr">
        <is>
          <t>Holmen skog AB</t>
        </is>
      </c>
      <c r="G17" t="n">
        <v>3.9</v>
      </c>
      <c r="H17" t="n">
        <v>1</v>
      </c>
      <c r="I17" t="n">
        <v>1</v>
      </c>
      <c r="J17" t="n">
        <v>0</v>
      </c>
      <c r="K17" t="n">
        <v>0</v>
      </c>
      <c r="L17" t="n">
        <v>0</v>
      </c>
      <c r="M17" t="n">
        <v>0</v>
      </c>
      <c r="N17" t="n">
        <v>0</v>
      </c>
      <c r="O17" t="n">
        <v>0</v>
      </c>
      <c r="P17" t="n">
        <v>0</v>
      </c>
      <c r="Q17" t="n">
        <v>2</v>
      </c>
      <c r="R17" s="2" t="inlineStr">
        <is>
          <t>Fällmossa
Blåsippa</t>
        </is>
      </c>
      <c r="S17">
        <f>HYPERLINK("https://klasma.github.io/Logging_0330/artfynd/A 10011-2023 artfynd.xlsx", "A 10011-2023")</f>
        <v/>
      </c>
      <c r="T17">
        <f>HYPERLINK("https://klasma.github.io/Logging_0330/kartor/A 10011-2023 karta.png", "A 10011-2023")</f>
        <v/>
      </c>
      <c r="V17">
        <f>HYPERLINK("https://klasma.github.io/Logging_0330/klagomål/A 10011-2023 FSC-klagomål.docx", "A 10011-2023")</f>
        <v/>
      </c>
      <c r="W17">
        <f>HYPERLINK("https://klasma.github.io/Logging_0330/klagomålsmail/A 10011-2023 FSC-klagomål mail.docx", "A 10011-2023")</f>
        <v/>
      </c>
      <c r="X17">
        <f>HYPERLINK("https://klasma.github.io/Logging_0330/tillsyn/A 10011-2023 tillsynsbegäran.docx", "A 10011-2023")</f>
        <v/>
      </c>
      <c r="Y17">
        <f>HYPERLINK("https://klasma.github.io/Logging_0330/tillsynsmail/A 10011-2023 tillsynsbegäran mail.docx", "A 10011-2023")</f>
        <v/>
      </c>
    </row>
    <row r="18" ht="15" customHeight="1">
      <c r="A18" t="inlineStr">
        <is>
          <t>A 22529-2024</t>
        </is>
      </c>
      <c r="B18" s="1" t="n">
        <v>45447</v>
      </c>
      <c r="C18" s="1" t="n">
        <v>45512</v>
      </c>
      <c r="D18" t="inlineStr">
        <is>
          <t>UPPSALA LÄN</t>
        </is>
      </c>
      <c r="E18" t="inlineStr">
        <is>
          <t>KNIVSTA</t>
        </is>
      </c>
      <c r="G18" t="n">
        <v>13.7</v>
      </c>
      <c r="H18" t="n">
        <v>2</v>
      </c>
      <c r="I18" t="n">
        <v>0</v>
      </c>
      <c r="J18" t="n">
        <v>0</v>
      </c>
      <c r="K18" t="n">
        <v>0</v>
      </c>
      <c r="L18" t="n">
        <v>0</v>
      </c>
      <c r="M18" t="n">
        <v>0</v>
      </c>
      <c r="N18" t="n">
        <v>0</v>
      </c>
      <c r="O18" t="n">
        <v>0</v>
      </c>
      <c r="P18" t="n">
        <v>0</v>
      </c>
      <c r="Q18" t="n">
        <v>2</v>
      </c>
      <c r="R18" s="2" t="inlineStr">
        <is>
          <t>Fläcknycklar
Revlummer</t>
        </is>
      </c>
      <c r="S18">
        <f>HYPERLINK("https://klasma.github.io/Logging_0330/artfynd/A 22529-2024 artfynd.xlsx", "A 22529-2024")</f>
        <v/>
      </c>
      <c r="T18">
        <f>HYPERLINK("https://klasma.github.io/Logging_0330/kartor/A 22529-2024 karta.png", "A 22529-2024")</f>
        <v/>
      </c>
      <c r="V18">
        <f>HYPERLINK("https://klasma.github.io/Logging_0330/klagomål/A 22529-2024 FSC-klagomål.docx", "A 22529-2024")</f>
        <v/>
      </c>
      <c r="W18">
        <f>HYPERLINK("https://klasma.github.io/Logging_0330/klagomålsmail/A 22529-2024 FSC-klagomål mail.docx", "A 22529-2024")</f>
        <v/>
      </c>
      <c r="X18">
        <f>HYPERLINK("https://klasma.github.io/Logging_0330/tillsyn/A 22529-2024 tillsynsbegäran.docx", "A 22529-2024")</f>
        <v/>
      </c>
      <c r="Y18">
        <f>HYPERLINK("https://klasma.github.io/Logging_0330/tillsynsmail/A 22529-2024 tillsynsbegäran mail.docx", "A 22529-2024")</f>
        <v/>
      </c>
    </row>
    <row r="19" ht="15" customHeight="1">
      <c r="A19" t="inlineStr">
        <is>
          <t>A 18172-2019</t>
        </is>
      </c>
      <c r="B19" s="1" t="n">
        <v>43558</v>
      </c>
      <c r="C19" s="1" t="n">
        <v>45512</v>
      </c>
      <c r="D19" t="inlineStr">
        <is>
          <t>UPPSALA LÄN</t>
        </is>
      </c>
      <c r="E19" t="inlineStr">
        <is>
          <t>KNIVSTA</t>
        </is>
      </c>
      <c r="G19" t="n">
        <v>6.7</v>
      </c>
      <c r="H19" t="n">
        <v>1</v>
      </c>
      <c r="I19" t="n">
        <v>0</v>
      </c>
      <c r="J19" t="n">
        <v>1</v>
      </c>
      <c r="K19" t="n">
        <v>0</v>
      </c>
      <c r="L19" t="n">
        <v>0</v>
      </c>
      <c r="M19" t="n">
        <v>0</v>
      </c>
      <c r="N19" t="n">
        <v>0</v>
      </c>
      <c r="O19" t="n">
        <v>1</v>
      </c>
      <c r="P19" t="n">
        <v>0</v>
      </c>
      <c r="Q19" t="n">
        <v>1</v>
      </c>
      <c r="R19" s="2" t="inlineStr">
        <is>
          <t>Spillkråka</t>
        </is>
      </c>
      <c r="S19">
        <f>HYPERLINK("https://klasma.github.io/Logging_0330/artfynd/A 18172-2019 artfynd.xlsx", "A 18172-2019")</f>
        <v/>
      </c>
      <c r="T19">
        <f>HYPERLINK("https://klasma.github.io/Logging_0330/kartor/A 18172-2019 karta.png", "A 18172-2019")</f>
        <v/>
      </c>
      <c r="V19">
        <f>HYPERLINK("https://klasma.github.io/Logging_0330/klagomål/A 18172-2019 FSC-klagomål.docx", "A 18172-2019")</f>
        <v/>
      </c>
      <c r="W19">
        <f>HYPERLINK("https://klasma.github.io/Logging_0330/klagomålsmail/A 18172-2019 FSC-klagomål mail.docx", "A 18172-2019")</f>
        <v/>
      </c>
      <c r="X19">
        <f>HYPERLINK("https://klasma.github.io/Logging_0330/tillsyn/A 18172-2019 tillsynsbegäran.docx", "A 18172-2019")</f>
        <v/>
      </c>
      <c r="Y19">
        <f>HYPERLINK("https://klasma.github.io/Logging_0330/tillsynsmail/A 18172-2019 tillsynsbegäran mail.docx", "A 18172-2019")</f>
        <v/>
      </c>
      <c r="Z19">
        <f>HYPERLINK("https://klasma.github.io/Logging_0330/fåglar/A 18172-2019 prioriterade fågelarter.docx", "A 18172-2019")</f>
        <v/>
      </c>
    </row>
    <row r="20" ht="15" customHeight="1">
      <c r="A20" t="inlineStr">
        <is>
          <t>A 36637-2019</t>
        </is>
      </c>
      <c r="B20" s="1" t="n">
        <v>43671</v>
      </c>
      <c r="C20" s="1" t="n">
        <v>45512</v>
      </c>
      <c r="D20" t="inlineStr">
        <is>
          <t>UPPSALA LÄN</t>
        </is>
      </c>
      <c r="E20" t="inlineStr">
        <is>
          <t>KNIVSTA</t>
        </is>
      </c>
      <c r="G20" t="n">
        <v>3</v>
      </c>
      <c r="H20" t="n">
        <v>1</v>
      </c>
      <c r="I20" t="n">
        <v>0</v>
      </c>
      <c r="J20" t="n">
        <v>0</v>
      </c>
      <c r="K20" t="n">
        <v>0</v>
      </c>
      <c r="L20" t="n">
        <v>0</v>
      </c>
      <c r="M20" t="n">
        <v>0</v>
      </c>
      <c r="N20" t="n">
        <v>0</v>
      </c>
      <c r="O20" t="n">
        <v>0</v>
      </c>
      <c r="P20" t="n">
        <v>0</v>
      </c>
      <c r="Q20" t="n">
        <v>1</v>
      </c>
      <c r="R20" s="2" t="inlineStr">
        <is>
          <t>Revlummer</t>
        </is>
      </c>
      <c r="S20">
        <f>HYPERLINK("https://klasma.github.io/Logging_0330/artfynd/A 36637-2019 artfynd.xlsx", "A 36637-2019")</f>
        <v/>
      </c>
      <c r="T20">
        <f>HYPERLINK("https://klasma.github.io/Logging_0330/kartor/A 36637-2019 karta.png", "A 36637-2019")</f>
        <v/>
      </c>
      <c r="V20">
        <f>HYPERLINK("https://klasma.github.io/Logging_0330/klagomål/A 36637-2019 FSC-klagomål.docx", "A 36637-2019")</f>
        <v/>
      </c>
      <c r="W20">
        <f>HYPERLINK("https://klasma.github.io/Logging_0330/klagomålsmail/A 36637-2019 FSC-klagomål mail.docx", "A 36637-2019")</f>
        <v/>
      </c>
      <c r="X20">
        <f>HYPERLINK("https://klasma.github.io/Logging_0330/tillsyn/A 36637-2019 tillsynsbegäran.docx", "A 36637-2019")</f>
        <v/>
      </c>
      <c r="Y20">
        <f>HYPERLINK("https://klasma.github.io/Logging_0330/tillsynsmail/A 36637-2019 tillsynsbegäran mail.docx", "A 36637-2019")</f>
        <v/>
      </c>
    </row>
    <row r="21" ht="15" customHeight="1">
      <c r="A21" t="inlineStr">
        <is>
          <t>A 16973-2021</t>
        </is>
      </c>
      <c r="B21" s="1" t="n">
        <v>44295</v>
      </c>
      <c r="C21" s="1" t="n">
        <v>45512</v>
      </c>
      <c r="D21" t="inlineStr">
        <is>
          <t>UPPSALA LÄN</t>
        </is>
      </c>
      <c r="E21" t="inlineStr">
        <is>
          <t>KNIVSTA</t>
        </is>
      </c>
      <c r="G21" t="n">
        <v>5.5</v>
      </c>
      <c r="H21" t="n">
        <v>0</v>
      </c>
      <c r="I21" t="n">
        <v>0</v>
      </c>
      <c r="J21" t="n">
        <v>1</v>
      </c>
      <c r="K21" t="n">
        <v>0</v>
      </c>
      <c r="L21" t="n">
        <v>0</v>
      </c>
      <c r="M21" t="n">
        <v>0</v>
      </c>
      <c r="N21" t="n">
        <v>0</v>
      </c>
      <c r="O21" t="n">
        <v>1</v>
      </c>
      <c r="P21" t="n">
        <v>0</v>
      </c>
      <c r="Q21" t="n">
        <v>1</v>
      </c>
      <c r="R21" s="2" t="inlineStr">
        <is>
          <t>Backklöver</t>
        </is>
      </c>
      <c r="S21">
        <f>HYPERLINK("https://klasma.github.io/Logging_0330/artfynd/A 16973-2021 artfynd.xlsx", "A 16973-2021")</f>
        <v/>
      </c>
      <c r="T21">
        <f>HYPERLINK("https://klasma.github.io/Logging_0330/kartor/A 16973-2021 karta.png", "A 16973-2021")</f>
        <v/>
      </c>
      <c r="V21">
        <f>HYPERLINK("https://klasma.github.io/Logging_0330/klagomål/A 16973-2021 FSC-klagomål.docx", "A 16973-2021")</f>
        <v/>
      </c>
      <c r="W21">
        <f>HYPERLINK("https://klasma.github.io/Logging_0330/klagomålsmail/A 16973-2021 FSC-klagomål mail.docx", "A 16973-2021")</f>
        <v/>
      </c>
      <c r="X21">
        <f>HYPERLINK("https://klasma.github.io/Logging_0330/tillsyn/A 16973-2021 tillsynsbegäran.docx", "A 16973-2021")</f>
        <v/>
      </c>
      <c r="Y21">
        <f>HYPERLINK("https://klasma.github.io/Logging_0330/tillsynsmail/A 16973-2021 tillsynsbegäran mail.docx", "A 16973-2021")</f>
        <v/>
      </c>
    </row>
    <row r="22" ht="15" customHeight="1">
      <c r="A22" t="inlineStr">
        <is>
          <t>A 9396-2022</t>
        </is>
      </c>
      <c r="B22" s="1" t="n">
        <v>44616</v>
      </c>
      <c r="C22" s="1" t="n">
        <v>45512</v>
      </c>
      <c r="D22" t="inlineStr">
        <is>
          <t>UPPSALA LÄN</t>
        </is>
      </c>
      <c r="E22" t="inlineStr">
        <is>
          <t>KNIVSTA</t>
        </is>
      </c>
      <c r="F22" t="inlineStr">
        <is>
          <t>Holmen skog AB</t>
        </is>
      </c>
      <c r="G22" t="n">
        <v>5.2</v>
      </c>
      <c r="H22" t="n">
        <v>0</v>
      </c>
      <c r="I22" t="n">
        <v>0</v>
      </c>
      <c r="J22" t="n">
        <v>0</v>
      </c>
      <c r="K22" t="n">
        <v>1</v>
      </c>
      <c r="L22" t="n">
        <v>0</v>
      </c>
      <c r="M22" t="n">
        <v>0</v>
      </c>
      <c r="N22" t="n">
        <v>0</v>
      </c>
      <c r="O22" t="n">
        <v>1</v>
      </c>
      <c r="P22" t="n">
        <v>1</v>
      </c>
      <c r="Q22" t="n">
        <v>1</v>
      </c>
      <c r="R22" s="2" t="inlineStr">
        <is>
          <t>Korkmusslingsmal</t>
        </is>
      </c>
      <c r="S22">
        <f>HYPERLINK("https://klasma.github.io/Logging_0330/artfynd/A 9396-2022 artfynd.xlsx", "A 9396-2022")</f>
        <v/>
      </c>
      <c r="T22">
        <f>HYPERLINK("https://klasma.github.io/Logging_0330/kartor/A 9396-2022 karta.png", "A 9396-2022")</f>
        <v/>
      </c>
      <c r="V22">
        <f>HYPERLINK("https://klasma.github.io/Logging_0330/klagomål/A 9396-2022 FSC-klagomål.docx", "A 9396-2022")</f>
        <v/>
      </c>
      <c r="W22">
        <f>HYPERLINK("https://klasma.github.io/Logging_0330/klagomålsmail/A 9396-2022 FSC-klagomål mail.docx", "A 9396-2022")</f>
        <v/>
      </c>
      <c r="X22">
        <f>HYPERLINK("https://klasma.github.io/Logging_0330/tillsyn/A 9396-2022 tillsynsbegäran.docx", "A 9396-2022")</f>
        <v/>
      </c>
      <c r="Y22">
        <f>HYPERLINK("https://klasma.github.io/Logging_0330/tillsynsmail/A 9396-2022 tillsynsbegäran mail.docx", "A 9396-2022")</f>
        <v/>
      </c>
    </row>
    <row r="23" ht="15" customHeight="1">
      <c r="A23" t="inlineStr">
        <is>
          <t>A 22467-2022</t>
        </is>
      </c>
      <c r="B23" s="1" t="n">
        <v>44713</v>
      </c>
      <c r="C23" s="1" t="n">
        <v>45512</v>
      </c>
      <c r="D23" t="inlineStr">
        <is>
          <t>UPPSALA LÄN</t>
        </is>
      </c>
      <c r="E23" t="inlineStr">
        <is>
          <t>KNIVSTA</t>
        </is>
      </c>
      <c r="G23" t="n">
        <v>2</v>
      </c>
      <c r="H23" t="n">
        <v>1</v>
      </c>
      <c r="I23" t="n">
        <v>0</v>
      </c>
      <c r="J23" t="n">
        <v>0</v>
      </c>
      <c r="K23" t="n">
        <v>0</v>
      </c>
      <c r="L23" t="n">
        <v>0</v>
      </c>
      <c r="M23" t="n">
        <v>0</v>
      </c>
      <c r="N23" t="n">
        <v>0</v>
      </c>
      <c r="O23" t="n">
        <v>0</v>
      </c>
      <c r="P23" t="n">
        <v>0</v>
      </c>
      <c r="Q23" t="n">
        <v>1</v>
      </c>
      <c r="R23" s="2" t="inlineStr">
        <is>
          <t>Gullviva</t>
        </is>
      </c>
      <c r="S23">
        <f>HYPERLINK("https://klasma.github.io/Logging_0330/artfynd/A 22467-2022 artfynd.xlsx", "A 22467-2022")</f>
        <v/>
      </c>
      <c r="T23">
        <f>HYPERLINK("https://klasma.github.io/Logging_0330/kartor/A 22467-2022 karta.png", "A 22467-2022")</f>
        <v/>
      </c>
      <c r="V23">
        <f>HYPERLINK("https://klasma.github.io/Logging_0330/klagomål/A 22467-2022 FSC-klagomål.docx", "A 22467-2022")</f>
        <v/>
      </c>
      <c r="W23">
        <f>HYPERLINK("https://klasma.github.io/Logging_0330/klagomålsmail/A 22467-2022 FSC-klagomål mail.docx", "A 22467-2022")</f>
        <v/>
      </c>
      <c r="X23">
        <f>HYPERLINK("https://klasma.github.io/Logging_0330/tillsyn/A 22467-2022 tillsynsbegäran.docx", "A 22467-2022")</f>
        <v/>
      </c>
      <c r="Y23">
        <f>HYPERLINK("https://klasma.github.io/Logging_0330/tillsynsmail/A 22467-2022 tillsynsbegäran mail.docx", "A 22467-2022")</f>
        <v/>
      </c>
    </row>
    <row r="24" ht="15" customHeight="1">
      <c r="A24" t="inlineStr">
        <is>
          <t>A 10973-2023</t>
        </is>
      </c>
      <c r="B24" s="1" t="n">
        <v>44991</v>
      </c>
      <c r="C24" s="1" t="n">
        <v>45512</v>
      </c>
      <c r="D24" t="inlineStr">
        <is>
          <t>UPPSALA LÄN</t>
        </is>
      </c>
      <c r="E24" t="inlineStr">
        <is>
          <t>KNIVSTA</t>
        </is>
      </c>
      <c r="F24" t="inlineStr">
        <is>
          <t>Holmen skog AB</t>
        </is>
      </c>
      <c r="G24" t="n">
        <v>3.2</v>
      </c>
      <c r="H24" t="n">
        <v>1</v>
      </c>
      <c r="I24" t="n">
        <v>0</v>
      </c>
      <c r="J24" t="n">
        <v>0</v>
      </c>
      <c r="K24" t="n">
        <v>0</v>
      </c>
      <c r="L24" t="n">
        <v>0</v>
      </c>
      <c r="M24" t="n">
        <v>0</v>
      </c>
      <c r="N24" t="n">
        <v>0</v>
      </c>
      <c r="O24" t="n">
        <v>0</v>
      </c>
      <c r="P24" t="n">
        <v>0</v>
      </c>
      <c r="Q24" t="n">
        <v>1</v>
      </c>
      <c r="R24" s="2" t="inlineStr">
        <is>
          <t>Blåsippa</t>
        </is>
      </c>
      <c r="S24">
        <f>HYPERLINK("https://klasma.github.io/Logging_0330/artfynd/A 10973-2023 artfynd.xlsx", "A 10973-2023")</f>
        <v/>
      </c>
      <c r="T24">
        <f>HYPERLINK("https://klasma.github.io/Logging_0330/kartor/A 10973-2023 karta.png", "A 10973-2023")</f>
        <v/>
      </c>
      <c r="V24">
        <f>HYPERLINK("https://klasma.github.io/Logging_0330/klagomål/A 10973-2023 FSC-klagomål.docx", "A 10973-2023")</f>
        <v/>
      </c>
      <c r="W24">
        <f>HYPERLINK("https://klasma.github.io/Logging_0330/klagomålsmail/A 10973-2023 FSC-klagomål mail.docx", "A 10973-2023")</f>
        <v/>
      </c>
      <c r="X24">
        <f>HYPERLINK("https://klasma.github.io/Logging_0330/tillsyn/A 10973-2023 tillsynsbegäran.docx", "A 10973-2023")</f>
        <v/>
      </c>
      <c r="Y24">
        <f>HYPERLINK("https://klasma.github.io/Logging_0330/tillsynsmail/A 10973-2023 tillsynsbegäran mail.docx", "A 10973-2023")</f>
        <v/>
      </c>
    </row>
    <row r="25" ht="15" customHeight="1">
      <c r="A25" t="inlineStr">
        <is>
          <t>A 33770-2023</t>
        </is>
      </c>
      <c r="B25" s="1" t="n">
        <v>45133</v>
      </c>
      <c r="C25" s="1" t="n">
        <v>45512</v>
      </c>
      <c r="D25" t="inlineStr">
        <is>
          <t>UPPSALA LÄN</t>
        </is>
      </c>
      <c r="E25" t="inlineStr">
        <is>
          <t>KNIVSTA</t>
        </is>
      </c>
      <c r="F25" t="inlineStr">
        <is>
          <t>Holmen skog AB</t>
        </is>
      </c>
      <c r="G25" t="n">
        <v>4</v>
      </c>
      <c r="H25" t="n">
        <v>1</v>
      </c>
      <c r="I25" t="n">
        <v>0</v>
      </c>
      <c r="J25" t="n">
        <v>1</v>
      </c>
      <c r="K25" t="n">
        <v>0</v>
      </c>
      <c r="L25" t="n">
        <v>0</v>
      </c>
      <c r="M25" t="n">
        <v>0</v>
      </c>
      <c r="N25" t="n">
        <v>0</v>
      </c>
      <c r="O25" t="n">
        <v>1</v>
      </c>
      <c r="P25" t="n">
        <v>0</v>
      </c>
      <c r="Q25" t="n">
        <v>1</v>
      </c>
      <c r="R25" s="2" t="inlineStr">
        <is>
          <t>Slaguggla</t>
        </is>
      </c>
      <c r="S25">
        <f>HYPERLINK("https://klasma.github.io/Logging_0330/artfynd/A 33770-2023 artfynd.xlsx", "A 33770-2023")</f>
        <v/>
      </c>
      <c r="T25">
        <f>HYPERLINK("https://klasma.github.io/Logging_0330/kartor/A 33770-2023 karta.png", "A 33770-2023")</f>
        <v/>
      </c>
      <c r="V25">
        <f>HYPERLINK("https://klasma.github.io/Logging_0330/klagomål/A 33770-2023 FSC-klagomål.docx", "A 33770-2023")</f>
        <v/>
      </c>
      <c r="W25">
        <f>HYPERLINK("https://klasma.github.io/Logging_0330/klagomålsmail/A 33770-2023 FSC-klagomål mail.docx", "A 33770-2023")</f>
        <v/>
      </c>
      <c r="X25">
        <f>HYPERLINK("https://klasma.github.io/Logging_0330/tillsyn/A 33770-2023 tillsynsbegäran.docx", "A 33770-2023")</f>
        <v/>
      </c>
      <c r="Y25">
        <f>HYPERLINK("https://klasma.github.io/Logging_0330/tillsynsmail/A 33770-2023 tillsynsbegäran mail.docx", "A 33770-2023")</f>
        <v/>
      </c>
      <c r="Z25">
        <f>HYPERLINK("https://klasma.github.io/Logging_0330/fåglar/A 33770-2023 prioriterade fågelarter.docx", "A 33770-2023")</f>
        <v/>
      </c>
    </row>
    <row r="26" ht="15" customHeight="1">
      <c r="A26" t="inlineStr">
        <is>
          <t>A 48995-2023</t>
        </is>
      </c>
      <c r="B26" s="1" t="n">
        <v>45209</v>
      </c>
      <c r="C26" s="1" t="n">
        <v>45512</v>
      </c>
      <c r="D26" t="inlineStr">
        <is>
          <t>UPPSALA LÄN</t>
        </is>
      </c>
      <c r="E26" t="inlineStr">
        <is>
          <t>KNIVSTA</t>
        </is>
      </c>
      <c r="G26" t="n">
        <v>13.5</v>
      </c>
      <c r="H26" t="n">
        <v>0</v>
      </c>
      <c r="I26" t="n">
        <v>1</v>
      </c>
      <c r="J26" t="n">
        <v>0</v>
      </c>
      <c r="K26" t="n">
        <v>0</v>
      </c>
      <c r="L26" t="n">
        <v>0</v>
      </c>
      <c r="M26" t="n">
        <v>0</v>
      </c>
      <c r="N26" t="n">
        <v>0</v>
      </c>
      <c r="O26" t="n">
        <v>0</v>
      </c>
      <c r="P26" t="n">
        <v>0</v>
      </c>
      <c r="Q26" t="n">
        <v>1</v>
      </c>
      <c r="R26" s="2" t="inlineStr">
        <is>
          <t>Tibast</t>
        </is>
      </c>
      <c r="S26">
        <f>HYPERLINK("https://klasma.github.io/Logging_0330/artfynd/A 48995-2023 artfynd.xlsx", "A 48995-2023")</f>
        <v/>
      </c>
      <c r="T26">
        <f>HYPERLINK("https://klasma.github.io/Logging_0330/kartor/A 48995-2023 karta.png", "A 48995-2023")</f>
        <v/>
      </c>
      <c r="V26">
        <f>HYPERLINK("https://klasma.github.io/Logging_0330/klagomål/A 48995-2023 FSC-klagomål.docx", "A 48995-2023")</f>
        <v/>
      </c>
      <c r="W26">
        <f>HYPERLINK("https://klasma.github.io/Logging_0330/klagomålsmail/A 48995-2023 FSC-klagomål mail.docx", "A 48995-2023")</f>
        <v/>
      </c>
      <c r="X26">
        <f>HYPERLINK("https://klasma.github.io/Logging_0330/tillsyn/A 48995-2023 tillsynsbegäran.docx", "A 48995-2023")</f>
        <v/>
      </c>
      <c r="Y26">
        <f>HYPERLINK("https://klasma.github.io/Logging_0330/tillsynsmail/A 48995-2023 tillsynsbegäran mail.docx", "A 48995-2023")</f>
        <v/>
      </c>
    </row>
    <row r="27" ht="15" customHeight="1">
      <c r="A27" t="inlineStr">
        <is>
          <t>A 21831-2024</t>
        </is>
      </c>
      <c r="B27" s="1" t="n">
        <v>45442</v>
      </c>
      <c r="C27" s="1" t="n">
        <v>45512</v>
      </c>
      <c r="D27" t="inlineStr">
        <is>
          <t>UPPSALA LÄN</t>
        </is>
      </c>
      <c r="E27" t="inlineStr">
        <is>
          <t>KNIVSTA</t>
        </is>
      </c>
      <c r="G27" t="n">
        <v>4.5</v>
      </c>
      <c r="H27" t="n">
        <v>1</v>
      </c>
      <c r="I27" t="n">
        <v>0</v>
      </c>
      <c r="J27" t="n">
        <v>0</v>
      </c>
      <c r="K27" t="n">
        <v>0</v>
      </c>
      <c r="L27" t="n">
        <v>0</v>
      </c>
      <c r="M27" t="n">
        <v>0</v>
      </c>
      <c r="N27" t="n">
        <v>0</v>
      </c>
      <c r="O27" t="n">
        <v>0</v>
      </c>
      <c r="P27" t="n">
        <v>0</v>
      </c>
      <c r="Q27" t="n">
        <v>1</v>
      </c>
      <c r="R27" s="2" t="inlineStr">
        <is>
          <t>Blåsippa</t>
        </is>
      </c>
      <c r="S27">
        <f>HYPERLINK("https://klasma.github.io/Logging_0330/artfynd/A 21831-2024 artfynd.xlsx", "A 21831-2024")</f>
        <v/>
      </c>
      <c r="T27">
        <f>HYPERLINK("https://klasma.github.io/Logging_0330/kartor/A 21831-2024 karta.png", "A 21831-2024")</f>
        <v/>
      </c>
      <c r="V27">
        <f>HYPERLINK("https://klasma.github.io/Logging_0330/klagomål/A 21831-2024 FSC-klagomål.docx", "A 21831-2024")</f>
        <v/>
      </c>
      <c r="W27">
        <f>HYPERLINK("https://klasma.github.io/Logging_0330/klagomålsmail/A 21831-2024 FSC-klagomål mail.docx", "A 21831-2024")</f>
        <v/>
      </c>
      <c r="X27">
        <f>HYPERLINK("https://klasma.github.io/Logging_0330/tillsyn/A 21831-2024 tillsynsbegäran.docx", "A 21831-2024")</f>
        <v/>
      </c>
      <c r="Y27">
        <f>HYPERLINK("https://klasma.github.io/Logging_0330/tillsynsmail/A 21831-2024 tillsynsbegäran mail.docx", "A 21831-2024")</f>
        <v/>
      </c>
    </row>
    <row r="28" ht="15" customHeight="1">
      <c r="A28" t="inlineStr">
        <is>
          <t>A 18506-2019</t>
        </is>
      </c>
      <c r="B28" s="1" t="n">
        <v>43559</v>
      </c>
      <c r="C28" s="1" t="n">
        <v>45512</v>
      </c>
      <c r="D28" t="inlineStr">
        <is>
          <t>UPPSALA LÄN</t>
        </is>
      </c>
      <c r="E28" t="inlineStr">
        <is>
          <t>KNIVSTA</t>
        </is>
      </c>
      <c r="F28" t="inlineStr">
        <is>
          <t>Holmen skog AB</t>
        </is>
      </c>
      <c r="G28" t="n">
        <v>1.2</v>
      </c>
      <c r="H28" t="n">
        <v>0</v>
      </c>
      <c r="I28" t="n">
        <v>0</v>
      </c>
      <c r="J28" t="n">
        <v>0</v>
      </c>
      <c r="K28" t="n">
        <v>0</v>
      </c>
      <c r="L28" t="n">
        <v>0</v>
      </c>
      <c r="M28" t="n">
        <v>0</v>
      </c>
      <c r="N28" t="n">
        <v>0</v>
      </c>
      <c r="O28" t="n">
        <v>0</v>
      </c>
      <c r="P28" t="n">
        <v>0</v>
      </c>
      <c r="Q28" t="n">
        <v>0</v>
      </c>
      <c r="R28" s="2" t="inlineStr"/>
    </row>
    <row r="29" ht="15" customHeight="1">
      <c r="A29" t="inlineStr">
        <is>
          <t>A 18503-2019</t>
        </is>
      </c>
      <c r="B29" s="1" t="n">
        <v>43559</v>
      </c>
      <c r="C29" s="1" t="n">
        <v>45512</v>
      </c>
      <c r="D29" t="inlineStr">
        <is>
          <t>UPPSALA LÄN</t>
        </is>
      </c>
      <c r="E29" t="inlineStr">
        <is>
          <t>KNIVSTA</t>
        </is>
      </c>
      <c r="F29" t="inlineStr">
        <is>
          <t>Holmen skog AB</t>
        </is>
      </c>
      <c r="G29" t="n">
        <v>2.7</v>
      </c>
      <c r="H29" t="n">
        <v>0</v>
      </c>
      <c r="I29" t="n">
        <v>0</v>
      </c>
      <c r="J29" t="n">
        <v>0</v>
      </c>
      <c r="K29" t="n">
        <v>0</v>
      </c>
      <c r="L29" t="n">
        <v>0</v>
      </c>
      <c r="M29" t="n">
        <v>0</v>
      </c>
      <c r="N29" t="n">
        <v>0</v>
      </c>
      <c r="O29" t="n">
        <v>0</v>
      </c>
      <c r="P29" t="n">
        <v>0</v>
      </c>
      <c r="Q29" t="n">
        <v>0</v>
      </c>
      <c r="R29" s="2" t="inlineStr"/>
    </row>
    <row r="30" ht="15" customHeight="1">
      <c r="A30" t="inlineStr">
        <is>
          <t>A 19512-2019</t>
        </is>
      </c>
      <c r="B30" s="1" t="n">
        <v>43565</v>
      </c>
      <c r="C30" s="1" t="n">
        <v>45512</v>
      </c>
      <c r="D30" t="inlineStr">
        <is>
          <t>UPPSALA LÄN</t>
        </is>
      </c>
      <c r="E30" t="inlineStr">
        <is>
          <t>KNIVSTA</t>
        </is>
      </c>
      <c r="G30" t="n">
        <v>5.6</v>
      </c>
      <c r="H30" t="n">
        <v>0</v>
      </c>
      <c r="I30" t="n">
        <v>0</v>
      </c>
      <c r="J30" t="n">
        <v>0</v>
      </c>
      <c r="K30" t="n">
        <v>0</v>
      </c>
      <c r="L30" t="n">
        <v>0</v>
      </c>
      <c r="M30" t="n">
        <v>0</v>
      </c>
      <c r="N30" t="n">
        <v>0</v>
      </c>
      <c r="O30" t="n">
        <v>0</v>
      </c>
      <c r="P30" t="n">
        <v>0</v>
      </c>
      <c r="Q30" t="n">
        <v>0</v>
      </c>
      <c r="R30" s="2" t="inlineStr"/>
    </row>
    <row r="31" ht="15" customHeight="1">
      <c r="A31" t="inlineStr">
        <is>
          <t>A 23051-2019</t>
        </is>
      </c>
      <c r="B31" s="1" t="n">
        <v>43591</v>
      </c>
      <c r="C31" s="1" t="n">
        <v>45512</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28551-2019</t>
        </is>
      </c>
      <c r="B32" s="1" t="n">
        <v>43626</v>
      </c>
      <c r="C32" s="1" t="n">
        <v>45512</v>
      </c>
      <c r="D32" t="inlineStr">
        <is>
          <t>UPPSALA LÄN</t>
        </is>
      </c>
      <c r="E32" t="inlineStr">
        <is>
          <t>KNIVSTA</t>
        </is>
      </c>
      <c r="G32" t="n">
        <v>11.1</v>
      </c>
      <c r="H32" t="n">
        <v>0</v>
      </c>
      <c r="I32" t="n">
        <v>0</v>
      </c>
      <c r="J32" t="n">
        <v>0</v>
      </c>
      <c r="K32" t="n">
        <v>0</v>
      </c>
      <c r="L32" t="n">
        <v>0</v>
      </c>
      <c r="M32" t="n">
        <v>0</v>
      </c>
      <c r="N32" t="n">
        <v>0</v>
      </c>
      <c r="O32" t="n">
        <v>0</v>
      </c>
      <c r="P32" t="n">
        <v>0</v>
      </c>
      <c r="Q32" t="n">
        <v>0</v>
      </c>
      <c r="R32" s="2" t="inlineStr"/>
    </row>
    <row r="33" ht="15" customHeight="1">
      <c r="A33" t="inlineStr">
        <is>
          <t>A 35059-2019</t>
        </is>
      </c>
      <c r="B33" s="1" t="n">
        <v>43661</v>
      </c>
      <c r="C33" s="1" t="n">
        <v>45512</v>
      </c>
      <c r="D33" t="inlineStr">
        <is>
          <t>UPPSALA LÄN</t>
        </is>
      </c>
      <c r="E33" t="inlineStr">
        <is>
          <t>KNIVSTA</t>
        </is>
      </c>
      <c r="G33" t="n">
        <v>1.3</v>
      </c>
      <c r="H33" t="n">
        <v>0</v>
      </c>
      <c r="I33" t="n">
        <v>0</v>
      </c>
      <c r="J33" t="n">
        <v>0</v>
      </c>
      <c r="K33" t="n">
        <v>0</v>
      </c>
      <c r="L33" t="n">
        <v>0</v>
      </c>
      <c r="M33" t="n">
        <v>0</v>
      </c>
      <c r="N33" t="n">
        <v>0</v>
      </c>
      <c r="O33" t="n">
        <v>0</v>
      </c>
      <c r="P33" t="n">
        <v>0</v>
      </c>
      <c r="Q33" t="n">
        <v>0</v>
      </c>
      <c r="R33" s="2" t="inlineStr"/>
    </row>
    <row r="34" ht="15" customHeight="1">
      <c r="A34" t="inlineStr">
        <is>
          <t>A 49082-2019</t>
        </is>
      </c>
      <c r="B34" s="1" t="n">
        <v>43731</v>
      </c>
      <c r="C34" s="1" t="n">
        <v>45512</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55170-2019</t>
        </is>
      </c>
      <c r="B35" s="1" t="n">
        <v>43756</v>
      </c>
      <c r="C35" s="1" t="n">
        <v>45512</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58146-2019</t>
        </is>
      </c>
      <c r="B36" s="1" t="n">
        <v>43769</v>
      </c>
      <c r="C36" s="1" t="n">
        <v>45512</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65903-2019</t>
        </is>
      </c>
      <c r="B37" s="1" t="n">
        <v>43800</v>
      </c>
      <c r="C37" s="1" t="n">
        <v>45512</v>
      </c>
      <c r="D37" t="inlineStr">
        <is>
          <t>UPPSALA LÄN</t>
        </is>
      </c>
      <c r="E37" t="inlineStr">
        <is>
          <t>KNIVSTA</t>
        </is>
      </c>
      <c r="G37" t="n">
        <v>1.7</v>
      </c>
      <c r="H37" t="n">
        <v>0</v>
      </c>
      <c r="I37" t="n">
        <v>0</v>
      </c>
      <c r="J37" t="n">
        <v>0</v>
      </c>
      <c r="K37" t="n">
        <v>0</v>
      </c>
      <c r="L37" t="n">
        <v>0</v>
      </c>
      <c r="M37" t="n">
        <v>0</v>
      </c>
      <c r="N37" t="n">
        <v>0</v>
      </c>
      <c r="O37" t="n">
        <v>0</v>
      </c>
      <c r="P37" t="n">
        <v>0</v>
      </c>
      <c r="Q37" t="n">
        <v>0</v>
      </c>
      <c r="R37" s="2" t="inlineStr"/>
    </row>
    <row r="38" ht="15" customHeight="1">
      <c r="A38" t="inlineStr">
        <is>
          <t>A 66607-2019</t>
        </is>
      </c>
      <c r="B38" s="1" t="n">
        <v>43809</v>
      </c>
      <c r="C38" s="1" t="n">
        <v>45512</v>
      </c>
      <c r="D38" t="inlineStr">
        <is>
          <t>UPPSALA LÄN</t>
        </is>
      </c>
      <c r="E38" t="inlineStr">
        <is>
          <t>KNIVSTA</t>
        </is>
      </c>
      <c r="G38" t="n">
        <v>2.4</v>
      </c>
      <c r="H38" t="n">
        <v>0</v>
      </c>
      <c r="I38" t="n">
        <v>0</v>
      </c>
      <c r="J38" t="n">
        <v>0</v>
      </c>
      <c r="K38" t="n">
        <v>0</v>
      </c>
      <c r="L38" t="n">
        <v>0</v>
      </c>
      <c r="M38" t="n">
        <v>0</v>
      </c>
      <c r="N38" t="n">
        <v>0</v>
      </c>
      <c r="O38" t="n">
        <v>0</v>
      </c>
      <c r="P38" t="n">
        <v>0</v>
      </c>
      <c r="Q38" t="n">
        <v>0</v>
      </c>
      <c r="R38" s="2" t="inlineStr"/>
    </row>
    <row r="39" ht="15" customHeight="1">
      <c r="A39" t="inlineStr">
        <is>
          <t>A 67165-2019</t>
        </is>
      </c>
      <c r="B39" s="1" t="n">
        <v>43811</v>
      </c>
      <c r="C39" s="1" t="n">
        <v>45512</v>
      </c>
      <c r="D39" t="inlineStr">
        <is>
          <t>UPPSALA LÄN</t>
        </is>
      </c>
      <c r="E39" t="inlineStr">
        <is>
          <t>KNIVSTA</t>
        </is>
      </c>
      <c r="G39" t="n">
        <v>8.9</v>
      </c>
      <c r="H39" t="n">
        <v>0</v>
      </c>
      <c r="I39" t="n">
        <v>0</v>
      </c>
      <c r="J39" t="n">
        <v>0</v>
      </c>
      <c r="K39" t="n">
        <v>0</v>
      </c>
      <c r="L39" t="n">
        <v>0</v>
      </c>
      <c r="M39" t="n">
        <v>0</v>
      </c>
      <c r="N39" t="n">
        <v>0</v>
      </c>
      <c r="O39" t="n">
        <v>0</v>
      </c>
      <c r="P39" t="n">
        <v>0</v>
      </c>
      <c r="Q39" t="n">
        <v>0</v>
      </c>
      <c r="R39" s="2" t="inlineStr"/>
    </row>
    <row r="40" ht="15" customHeight="1">
      <c r="A40" t="inlineStr">
        <is>
          <t>A 67166-2019</t>
        </is>
      </c>
      <c r="B40" s="1" t="n">
        <v>43811</v>
      </c>
      <c r="C40" s="1" t="n">
        <v>45512</v>
      </c>
      <c r="D40" t="inlineStr">
        <is>
          <t>UPPSALA LÄN</t>
        </is>
      </c>
      <c r="E40" t="inlineStr">
        <is>
          <t>KNIVSTA</t>
        </is>
      </c>
      <c r="G40" t="n">
        <v>4.5</v>
      </c>
      <c r="H40" t="n">
        <v>0</v>
      </c>
      <c r="I40" t="n">
        <v>0</v>
      </c>
      <c r="J40" t="n">
        <v>0</v>
      </c>
      <c r="K40" t="n">
        <v>0</v>
      </c>
      <c r="L40" t="n">
        <v>0</v>
      </c>
      <c r="M40" t="n">
        <v>0</v>
      </c>
      <c r="N40" t="n">
        <v>0</v>
      </c>
      <c r="O40" t="n">
        <v>0</v>
      </c>
      <c r="P40" t="n">
        <v>0</v>
      </c>
      <c r="Q40" t="n">
        <v>0</v>
      </c>
      <c r="R40" s="2" t="inlineStr"/>
    </row>
    <row r="41" ht="15" customHeight="1">
      <c r="A41" t="inlineStr">
        <is>
          <t>A 67598-2019</t>
        </is>
      </c>
      <c r="B41" s="1" t="n">
        <v>43815</v>
      </c>
      <c r="C41" s="1" t="n">
        <v>45512</v>
      </c>
      <c r="D41" t="inlineStr">
        <is>
          <t>UPPSALA LÄN</t>
        </is>
      </c>
      <c r="E41" t="inlineStr">
        <is>
          <t>KNIVSTA</t>
        </is>
      </c>
      <c r="F41" t="inlineStr">
        <is>
          <t>Övriga Aktiebolag</t>
        </is>
      </c>
      <c r="G41" t="n">
        <v>2.1</v>
      </c>
      <c r="H41" t="n">
        <v>0</v>
      </c>
      <c r="I41" t="n">
        <v>0</v>
      </c>
      <c r="J41" t="n">
        <v>0</v>
      </c>
      <c r="K41" t="n">
        <v>0</v>
      </c>
      <c r="L41" t="n">
        <v>0</v>
      </c>
      <c r="M41" t="n">
        <v>0</v>
      </c>
      <c r="N41" t="n">
        <v>0</v>
      </c>
      <c r="O41" t="n">
        <v>0</v>
      </c>
      <c r="P41" t="n">
        <v>0</v>
      </c>
      <c r="Q41" t="n">
        <v>0</v>
      </c>
      <c r="R41" s="2" t="inlineStr"/>
    </row>
    <row r="42" ht="15" customHeight="1">
      <c r="A42" t="inlineStr">
        <is>
          <t>A 2663-2020</t>
        </is>
      </c>
      <c r="B42" s="1" t="n">
        <v>43849</v>
      </c>
      <c r="C42" s="1" t="n">
        <v>45512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4567-2020</t>
        </is>
      </c>
      <c r="B43" s="1" t="n">
        <v>43858</v>
      </c>
      <c r="C43" s="1" t="n">
        <v>45512</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13547-2020</t>
        </is>
      </c>
      <c r="B44" s="1" t="n">
        <v>43902</v>
      </c>
      <c r="C44" s="1" t="n">
        <v>45512</v>
      </c>
      <c r="D44" t="inlineStr">
        <is>
          <t>UPPSALA LÄN</t>
        </is>
      </c>
      <c r="E44" t="inlineStr">
        <is>
          <t>KNIVSTA</t>
        </is>
      </c>
      <c r="G44" t="n">
        <v>5.9</v>
      </c>
      <c r="H44" t="n">
        <v>0</v>
      </c>
      <c r="I44" t="n">
        <v>0</v>
      </c>
      <c r="J44" t="n">
        <v>0</v>
      </c>
      <c r="K44" t="n">
        <v>0</v>
      </c>
      <c r="L44" t="n">
        <v>0</v>
      </c>
      <c r="M44" t="n">
        <v>0</v>
      </c>
      <c r="N44" t="n">
        <v>0</v>
      </c>
      <c r="O44" t="n">
        <v>0</v>
      </c>
      <c r="P44" t="n">
        <v>0</v>
      </c>
      <c r="Q44" t="n">
        <v>0</v>
      </c>
      <c r="R44" s="2" t="inlineStr"/>
    </row>
    <row r="45" ht="15" customHeight="1">
      <c r="A45" t="inlineStr">
        <is>
          <t>A 13996-2020</t>
        </is>
      </c>
      <c r="B45" s="1" t="n">
        <v>43906</v>
      </c>
      <c r="C45" s="1" t="n">
        <v>45512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14005-2020</t>
        </is>
      </c>
      <c r="B46" s="1" t="n">
        <v>43906</v>
      </c>
      <c r="C46" s="1" t="n">
        <v>45512</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20395-2020</t>
        </is>
      </c>
      <c r="B47" s="1" t="n">
        <v>43945</v>
      </c>
      <c r="C47" s="1" t="n">
        <v>45512</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25658-2020</t>
        </is>
      </c>
      <c r="B48" s="1" t="n">
        <v>43983</v>
      </c>
      <c r="C48" s="1" t="n">
        <v>45512</v>
      </c>
      <c r="D48" t="inlineStr">
        <is>
          <t>UPPSALA LÄN</t>
        </is>
      </c>
      <c r="E48" t="inlineStr">
        <is>
          <t>KNIVSTA</t>
        </is>
      </c>
      <c r="G48" t="n">
        <v>15.2</v>
      </c>
      <c r="H48" t="n">
        <v>0</v>
      </c>
      <c r="I48" t="n">
        <v>0</v>
      </c>
      <c r="J48" t="n">
        <v>0</v>
      </c>
      <c r="K48" t="n">
        <v>0</v>
      </c>
      <c r="L48" t="n">
        <v>0</v>
      </c>
      <c r="M48" t="n">
        <v>0</v>
      </c>
      <c r="N48" t="n">
        <v>0</v>
      </c>
      <c r="O48" t="n">
        <v>0</v>
      </c>
      <c r="P48" t="n">
        <v>0</v>
      </c>
      <c r="Q48" t="n">
        <v>0</v>
      </c>
      <c r="R48" s="2" t="inlineStr"/>
    </row>
    <row r="49" ht="15" customHeight="1">
      <c r="A49" t="inlineStr">
        <is>
          <t>A 32953-2020</t>
        </is>
      </c>
      <c r="B49" s="1" t="n">
        <v>44020</v>
      </c>
      <c r="C49" s="1" t="n">
        <v>45512</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44089-2020</t>
        </is>
      </c>
      <c r="B50" s="1" t="n">
        <v>44083</v>
      </c>
      <c r="C50" s="1" t="n">
        <v>45512</v>
      </c>
      <c r="D50" t="inlineStr">
        <is>
          <t>UPPSALA LÄN</t>
        </is>
      </c>
      <c r="E50" t="inlineStr">
        <is>
          <t>KNIVSTA</t>
        </is>
      </c>
      <c r="F50" t="inlineStr">
        <is>
          <t>Holmen skog AB</t>
        </is>
      </c>
      <c r="G50" t="n">
        <v>3.4</v>
      </c>
      <c r="H50" t="n">
        <v>0</v>
      </c>
      <c r="I50" t="n">
        <v>0</v>
      </c>
      <c r="J50" t="n">
        <v>0</v>
      </c>
      <c r="K50" t="n">
        <v>0</v>
      </c>
      <c r="L50" t="n">
        <v>0</v>
      </c>
      <c r="M50" t="n">
        <v>0</v>
      </c>
      <c r="N50" t="n">
        <v>0</v>
      </c>
      <c r="O50" t="n">
        <v>0</v>
      </c>
      <c r="P50" t="n">
        <v>0</v>
      </c>
      <c r="Q50" t="n">
        <v>0</v>
      </c>
      <c r="R50" s="2" t="inlineStr"/>
    </row>
    <row r="51" ht="15" customHeight="1">
      <c r="A51" t="inlineStr">
        <is>
          <t>A 46988-2020</t>
        </is>
      </c>
      <c r="B51" s="1" t="n">
        <v>44096</v>
      </c>
      <c r="C51" s="1" t="n">
        <v>45512</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57286-2020</t>
        </is>
      </c>
      <c r="B52" s="1" t="n">
        <v>44139</v>
      </c>
      <c r="C52" s="1" t="n">
        <v>45512</v>
      </c>
      <c r="D52" t="inlineStr">
        <is>
          <t>UPPSALA LÄN</t>
        </is>
      </c>
      <c r="E52" t="inlineStr">
        <is>
          <t>KNIVSTA</t>
        </is>
      </c>
      <c r="G52" t="n">
        <v>6</v>
      </c>
      <c r="H52" t="n">
        <v>0</v>
      </c>
      <c r="I52" t="n">
        <v>0</v>
      </c>
      <c r="J52" t="n">
        <v>0</v>
      </c>
      <c r="K52" t="n">
        <v>0</v>
      </c>
      <c r="L52" t="n">
        <v>0</v>
      </c>
      <c r="M52" t="n">
        <v>0</v>
      </c>
      <c r="N52" t="n">
        <v>0</v>
      </c>
      <c r="O52" t="n">
        <v>0</v>
      </c>
      <c r="P52" t="n">
        <v>0</v>
      </c>
      <c r="Q52" t="n">
        <v>0</v>
      </c>
      <c r="R52" s="2" t="inlineStr"/>
    </row>
    <row r="53" ht="15" customHeight="1">
      <c r="A53" t="inlineStr">
        <is>
          <t>A 57559-2020</t>
        </is>
      </c>
      <c r="B53" s="1" t="n">
        <v>44140</v>
      </c>
      <c r="C53" s="1" t="n">
        <v>45512</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68257-2020</t>
        </is>
      </c>
      <c r="B54" s="1" t="n">
        <v>44182</v>
      </c>
      <c r="C54" s="1" t="n">
        <v>45512</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9725-2021</t>
        </is>
      </c>
      <c r="B55" s="1" t="n">
        <v>44252</v>
      </c>
      <c r="C55" s="1" t="n">
        <v>45512</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12864-2021</t>
        </is>
      </c>
      <c r="B56" s="1" t="n">
        <v>44271</v>
      </c>
      <c r="C56" s="1" t="n">
        <v>45512</v>
      </c>
      <c r="D56" t="inlineStr">
        <is>
          <t>UPPSALA LÄN</t>
        </is>
      </c>
      <c r="E56" t="inlineStr">
        <is>
          <t>KNIVSTA</t>
        </is>
      </c>
      <c r="F56" t="inlineStr">
        <is>
          <t>Kyrkan</t>
        </is>
      </c>
      <c r="G56" t="n">
        <v>4.7</v>
      </c>
      <c r="H56" t="n">
        <v>0</v>
      </c>
      <c r="I56" t="n">
        <v>0</v>
      </c>
      <c r="J56" t="n">
        <v>0</v>
      </c>
      <c r="K56" t="n">
        <v>0</v>
      </c>
      <c r="L56" t="n">
        <v>0</v>
      </c>
      <c r="M56" t="n">
        <v>0</v>
      </c>
      <c r="N56" t="n">
        <v>0</v>
      </c>
      <c r="O56" t="n">
        <v>0</v>
      </c>
      <c r="P56" t="n">
        <v>0</v>
      </c>
      <c r="Q56" t="n">
        <v>0</v>
      </c>
      <c r="R56" s="2" t="inlineStr"/>
    </row>
    <row r="57" ht="15" customHeight="1">
      <c r="A57" t="inlineStr">
        <is>
          <t>A 18897-2021</t>
        </is>
      </c>
      <c r="B57" s="1" t="n">
        <v>44308</v>
      </c>
      <c r="C57" s="1" t="n">
        <v>45512</v>
      </c>
      <c r="D57" t="inlineStr">
        <is>
          <t>UPPSALA LÄN</t>
        </is>
      </c>
      <c r="E57" t="inlineStr">
        <is>
          <t>KNIVSTA</t>
        </is>
      </c>
      <c r="F57" t="inlineStr">
        <is>
          <t>Holmen skog AB</t>
        </is>
      </c>
      <c r="G57" t="n">
        <v>1.2</v>
      </c>
      <c r="H57" t="n">
        <v>0</v>
      </c>
      <c r="I57" t="n">
        <v>0</v>
      </c>
      <c r="J57" t="n">
        <v>0</v>
      </c>
      <c r="K57" t="n">
        <v>0</v>
      </c>
      <c r="L57" t="n">
        <v>0</v>
      </c>
      <c r="M57" t="n">
        <v>0</v>
      </c>
      <c r="N57" t="n">
        <v>0</v>
      </c>
      <c r="O57" t="n">
        <v>0</v>
      </c>
      <c r="P57" t="n">
        <v>0</v>
      </c>
      <c r="Q57" t="n">
        <v>0</v>
      </c>
      <c r="R57" s="2" t="inlineStr"/>
    </row>
    <row r="58" ht="15" customHeight="1">
      <c r="A58" t="inlineStr">
        <is>
          <t>A 19796-2021</t>
        </is>
      </c>
      <c r="B58" s="1" t="n">
        <v>44313</v>
      </c>
      <c r="C58" s="1" t="n">
        <v>45512</v>
      </c>
      <c r="D58" t="inlineStr">
        <is>
          <t>UPPSALA LÄN</t>
        </is>
      </c>
      <c r="E58" t="inlineStr">
        <is>
          <t>KNIVSTA</t>
        </is>
      </c>
      <c r="G58" t="n">
        <v>14.6</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45512</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20827-2021</t>
        </is>
      </c>
      <c r="B60" s="1" t="n">
        <v>44318</v>
      </c>
      <c r="C60" s="1" t="n">
        <v>45512</v>
      </c>
      <c r="D60" t="inlineStr">
        <is>
          <t>UPPSALA LÄN</t>
        </is>
      </c>
      <c r="E60" t="inlineStr">
        <is>
          <t>KNIVSTA</t>
        </is>
      </c>
      <c r="G60" t="n">
        <v>3</v>
      </c>
      <c r="H60" t="n">
        <v>0</v>
      </c>
      <c r="I60" t="n">
        <v>0</v>
      </c>
      <c r="J60" t="n">
        <v>0</v>
      </c>
      <c r="K60" t="n">
        <v>0</v>
      </c>
      <c r="L60" t="n">
        <v>0</v>
      </c>
      <c r="M60" t="n">
        <v>0</v>
      </c>
      <c r="N60" t="n">
        <v>0</v>
      </c>
      <c r="O60" t="n">
        <v>0</v>
      </c>
      <c r="P60" t="n">
        <v>0</v>
      </c>
      <c r="Q60" t="n">
        <v>0</v>
      </c>
      <c r="R60" s="2" t="inlineStr"/>
    </row>
    <row r="61" ht="15" customHeight="1">
      <c r="A61" t="inlineStr">
        <is>
          <t>A 25259-2021</t>
        </is>
      </c>
      <c r="B61" s="1" t="n">
        <v>44342</v>
      </c>
      <c r="C61" s="1" t="n">
        <v>45512</v>
      </c>
      <c r="D61" t="inlineStr">
        <is>
          <t>UPPSALA LÄN</t>
        </is>
      </c>
      <c r="E61" t="inlineStr">
        <is>
          <t>KNIVSTA</t>
        </is>
      </c>
      <c r="F61" t="inlineStr">
        <is>
          <t>Holmen skog AB</t>
        </is>
      </c>
      <c r="G61" t="n">
        <v>1</v>
      </c>
      <c r="H61" t="n">
        <v>0</v>
      </c>
      <c r="I61" t="n">
        <v>0</v>
      </c>
      <c r="J61" t="n">
        <v>0</v>
      </c>
      <c r="K61" t="n">
        <v>0</v>
      </c>
      <c r="L61" t="n">
        <v>0</v>
      </c>
      <c r="M61" t="n">
        <v>0</v>
      </c>
      <c r="N61" t="n">
        <v>0</v>
      </c>
      <c r="O61" t="n">
        <v>0</v>
      </c>
      <c r="P61" t="n">
        <v>0</v>
      </c>
      <c r="Q61" t="n">
        <v>0</v>
      </c>
      <c r="R61" s="2" t="inlineStr"/>
    </row>
    <row r="62" ht="15" customHeight="1">
      <c r="A62" t="inlineStr">
        <is>
          <t>A 25359-2021</t>
        </is>
      </c>
      <c r="B62" s="1" t="n">
        <v>44342</v>
      </c>
      <c r="C62" s="1" t="n">
        <v>45512</v>
      </c>
      <c r="D62" t="inlineStr">
        <is>
          <t>UPPSALA LÄN</t>
        </is>
      </c>
      <c r="E62" t="inlineStr">
        <is>
          <t>KNIVSTA</t>
        </is>
      </c>
      <c r="F62" t="inlineStr">
        <is>
          <t>Holmen skog AB</t>
        </is>
      </c>
      <c r="G62" t="n">
        <v>4.6</v>
      </c>
      <c r="H62" t="n">
        <v>0</v>
      </c>
      <c r="I62" t="n">
        <v>0</v>
      </c>
      <c r="J62" t="n">
        <v>0</v>
      </c>
      <c r="K62" t="n">
        <v>0</v>
      </c>
      <c r="L62" t="n">
        <v>0</v>
      </c>
      <c r="M62" t="n">
        <v>0</v>
      </c>
      <c r="N62" t="n">
        <v>0</v>
      </c>
      <c r="O62" t="n">
        <v>0</v>
      </c>
      <c r="P62" t="n">
        <v>0</v>
      </c>
      <c r="Q62" t="n">
        <v>0</v>
      </c>
      <c r="R62" s="2" t="inlineStr"/>
    </row>
    <row r="63" ht="15" customHeight="1">
      <c r="A63" t="inlineStr">
        <is>
          <t>A 28468-2021</t>
        </is>
      </c>
      <c r="B63" s="1" t="n">
        <v>44356</v>
      </c>
      <c r="C63" s="1" t="n">
        <v>45512</v>
      </c>
      <c r="D63" t="inlineStr">
        <is>
          <t>UPPSALA LÄN</t>
        </is>
      </c>
      <c r="E63" t="inlineStr">
        <is>
          <t>KNIVSTA</t>
        </is>
      </c>
      <c r="F63" t="inlineStr">
        <is>
          <t>Holmen skog AB</t>
        </is>
      </c>
      <c r="G63" t="n">
        <v>3.5</v>
      </c>
      <c r="H63" t="n">
        <v>0</v>
      </c>
      <c r="I63" t="n">
        <v>0</v>
      </c>
      <c r="J63" t="n">
        <v>0</v>
      </c>
      <c r="K63" t="n">
        <v>0</v>
      </c>
      <c r="L63" t="n">
        <v>0</v>
      </c>
      <c r="M63" t="n">
        <v>0</v>
      </c>
      <c r="N63" t="n">
        <v>0</v>
      </c>
      <c r="O63" t="n">
        <v>0</v>
      </c>
      <c r="P63" t="n">
        <v>0</v>
      </c>
      <c r="Q63" t="n">
        <v>0</v>
      </c>
      <c r="R63" s="2" t="inlineStr"/>
    </row>
    <row r="64" ht="15" customHeight="1">
      <c r="A64" t="inlineStr">
        <is>
          <t>A 31143-2021</t>
        </is>
      </c>
      <c r="B64" s="1" t="n">
        <v>44368</v>
      </c>
      <c r="C64" s="1" t="n">
        <v>45512</v>
      </c>
      <c r="D64" t="inlineStr">
        <is>
          <t>UPPSALA LÄN</t>
        </is>
      </c>
      <c r="E64" t="inlineStr">
        <is>
          <t>KNIVSTA</t>
        </is>
      </c>
      <c r="G64" t="n">
        <v>13.1</v>
      </c>
      <c r="H64" t="n">
        <v>0</v>
      </c>
      <c r="I64" t="n">
        <v>0</v>
      </c>
      <c r="J64" t="n">
        <v>0</v>
      </c>
      <c r="K64" t="n">
        <v>0</v>
      </c>
      <c r="L64" t="n">
        <v>0</v>
      </c>
      <c r="M64" t="n">
        <v>0</v>
      </c>
      <c r="N64" t="n">
        <v>0</v>
      </c>
      <c r="O64" t="n">
        <v>0</v>
      </c>
      <c r="P64" t="n">
        <v>0</v>
      </c>
      <c r="Q64" t="n">
        <v>0</v>
      </c>
      <c r="R64" s="2" t="inlineStr"/>
    </row>
    <row r="65" ht="15" customHeight="1">
      <c r="A65" t="inlineStr">
        <is>
          <t>A 32975-2021</t>
        </is>
      </c>
      <c r="B65" s="1" t="n">
        <v>44376</v>
      </c>
      <c r="C65" s="1" t="n">
        <v>45512</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35232-2021</t>
        </is>
      </c>
      <c r="B66" s="1" t="n">
        <v>44384</v>
      </c>
      <c r="C66" s="1" t="n">
        <v>45512</v>
      </c>
      <c r="D66" t="inlineStr">
        <is>
          <t>UPPSALA LÄN</t>
        </is>
      </c>
      <c r="E66" t="inlineStr">
        <is>
          <t>KNIVSTA</t>
        </is>
      </c>
      <c r="G66" t="n">
        <v>1.1</v>
      </c>
      <c r="H66" t="n">
        <v>0</v>
      </c>
      <c r="I66" t="n">
        <v>0</v>
      </c>
      <c r="J66" t="n">
        <v>0</v>
      </c>
      <c r="K66" t="n">
        <v>0</v>
      </c>
      <c r="L66" t="n">
        <v>0</v>
      </c>
      <c r="M66" t="n">
        <v>0</v>
      </c>
      <c r="N66" t="n">
        <v>0</v>
      </c>
      <c r="O66" t="n">
        <v>0</v>
      </c>
      <c r="P66" t="n">
        <v>0</v>
      </c>
      <c r="Q66" t="n">
        <v>0</v>
      </c>
      <c r="R66" s="2" t="inlineStr"/>
    </row>
    <row r="67" ht="15" customHeight="1">
      <c r="A67" t="inlineStr">
        <is>
          <t>A 47652-2021</t>
        </is>
      </c>
      <c r="B67" s="1" t="n">
        <v>44448</v>
      </c>
      <c r="C67" s="1" t="n">
        <v>45512</v>
      </c>
      <c r="D67" t="inlineStr">
        <is>
          <t>UPPSALA LÄN</t>
        </is>
      </c>
      <c r="E67" t="inlineStr">
        <is>
          <t>KNIVSTA</t>
        </is>
      </c>
      <c r="G67" t="n">
        <v>2.7</v>
      </c>
      <c r="H67" t="n">
        <v>0</v>
      </c>
      <c r="I67" t="n">
        <v>0</v>
      </c>
      <c r="J67" t="n">
        <v>0</v>
      </c>
      <c r="K67" t="n">
        <v>0</v>
      </c>
      <c r="L67" t="n">
        <v>0</v>
      </c>
      <c r="M67" t="n">
        <v>0</v>
      </c>
      <c r="N67" t="n">
        <v>0</v>
      </c>
      <c r="O67" t="n">
        <v>0</v>
      </c>
      <c r="P67" t="n">
        <v>0</v>
      </c>
      <c r="Q67" t="n">
        <v>0</v>
      </c>
      <c r="R67" s="2" t="inlineStr"/>
    </row>
    <row r="68" ht="15" customHeight="1">
      <c r="A68" t="inlineStr">
        <is>
          <t>A 47654-2021</t>
        </is>
      </c>
      <c r="B68" s="1" t="n">
        <v>44448</v>
      </c>
      <c r="C68" s="1" t="n">
        <v>45512</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54155-2021</t>
        </is>
      </c>
      <c r="B69" s="1" t="n">
        <v>44470</v>
      </c>
      <c r="C69" s="1" t="n">
        <v>45512</v>
      </c>
      <c r="D69" t="inlineStr">
        <is>
          <t>UPPSALA LÄN</t>
        </is>
      </c>
      <c r="E69" t="inlineStr">
        <is>
          <t>KNIVSTA</t>
        </is>
      </c>
      <c r="G69" t="n">
        <v>3.2</v>
      </c>
      <c r="H69" t="n">
        <v>0</v>
      </c>
      <c r="I69" t="n">
        <v>0</v>
      </c>
      <c r="J69" t="n">
        <v>0</v>
      </c>
      <c r="K69" t="n">
        <v>0</v>
      </c>
      <c r="L69" t="n">
        <v>0</v>
      </c>
      <c r="M69" t="n">
        <v>0</v>
      </c>
      <c r="N69" t="n">
        <v>0</v>
      </c>
      <c r="O69" t="n">
        <v>0</v>
      </c>
      <c r="P69" t="n">
        <v>0</v>
      </c>
      <c r="Q69" t="n">
        <v>0</v>
      </c>
      <c r="R69" s="2" t="inlineStr"/>
    </row>
    <row r="70" ht="15" customHeight="1">
      <c r="A70" t="inlineStr">
        <is>
          <t>A 60885-2021</t>
        </is>
      </c>
      <c r="B70" s="1" t="n">
        <v>44497</v>
      </c>
      <c r="C70" s="1" t="n">
        <v>45512</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62441-2021</t>
        </is>
      </c>
      <c r="B71" s="1" t="n">
        <v>44503</v>
      </c>
      <c r="C71" s="1" t="n">
        <v>45512</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63460-2021</t>
        </is>
      </c>
      <c r="B72" s="1" t="n">
        <v>44508</v>
      </c>
      <c r="C72" s="1" t="n">
        <v>45512</v>
      </c>
      <c r="D72" t="inlineStr">
        <is>
          <t>UPPSALA LÄN</t>
        </is>
      </c>
      <c r="E72" t="inlineStr">
        <is>
          <t>KNIVSTA</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62451-2021</t>
        </is>
      </c>
      <c r="B73" s="1" t="n">
        <v>44509</v>
      </c>
      <c r="C73" s="1" t="n">
        <v>45512</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64044-2021</t>
        </is>
      </c>
      <c r="B74" s="1" t="n">
        <v>44510</v>
      </c>
      <c r="C74" s="1" t="n">
        <v>45512</v>
      </c>
      <c r="D74" t="inlineStr">
        <is>
          <t>UPPSALA LÄN</t>
        </is>
      </c>
      <c r="E74" t="inlineStr">
        <is>
          <t>KNIVSTA</t>
        </is>
      </c>
      <c r="G74" t="n">
        <v>0.5</v>
      </c>
      <c r="H74" t="n">
        <v>0</v>
      </c>
      <c r="I74" t="n">
        <v>0</v>
      </c>
      <c r="J74" t="n">
        <v>0</v>
      </c>
      <c r="K74" t="n">
        <v>0</v>
      </c>
      <c r="L74" t="n">
        <v>0</v>
      </c>
      <c r="M74" t="n">
        <v>0</v>
      </c>
      <c r="N74" t="n">
        <v>0</v>
      </c>
      <c r="O74" t="n">
        <v>0</v>
      </c>
      <c r="P74" t="n">
        <v>0</v>
      </c>
      <c r="Q74" t="n">
        <v>0</v>
      </c>
      <c r="R74" s="2" t="inlineStr"/>
    </row>
    <row r="75" ht="15" customHeight="1">
      <c r="A75" t="inlineStr">
        <is>
          <t>A 66256-2021</t>
        </is>
      </c>
      <c r="B75" s="1" t="n">
        <v>44518</v>
      </c>
      <c r="C75" s="1" t="n">
        <v>45512</v>
      </c>
      <c r="D75" t="inlineStr">
        <is>
          <t>UPPSALA LÄN</t>
        </is>
      </c>
      <c r="E75" t="inlineStr">
        <is>
          <t>KNIVSTA</t>
        </is>
      </c>
      <c r="G75" t="n">
        <v>0.3</v>
      </c>
      <c r="H75" t="n">
        <v>0</v>
      </c>
      <c r="I75" t="n">
        <v>0</v>
      </c>
      <c r="J75" t="n">
        <v>0</v>
      </c>
      <c r="K75" t="n">
        <v>0</v>
      </c>
      <c r="L75" t="n">
        <v>0</v>
      </c>
      <c r="M75" t="n">
        <v>0</v>
      </c>
      <c r="N75" t="n">
        <v>0</v>
      </c>
      <c r="O75" t="n">
        <v>0</v>
      </c>
      <c r="P75" t="n">
        <v>0</v>
      </c>
      <c r="Q75" t="n">
        <v>0</v>
      </c>
      <c r="R75" s="2" t="inlineStr"/>
    </row>
    <row r="76" ht="15" customHeight="1">
      <c r="A76" t="inlineStr">
        <is>
          <t>A 66298-2021</t>
        </is>
      </c>
      <c r="B76" s="1" t="n">
        <v>44518</v>
      </c>
      <c r="C76" s="1" t="n">
        <v>45512</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66310-2021</t>
        </is>
      </c>
      <c r="B77" s="1" t="n">
        <v>44518</v>
      </c>
      <c r="C77" s="1" t="n">
        <v>45512</v>
      </c>
      <c r="D77" t="inlineStr">
        <is>
          <t>UPPSALA LÄN</t>
        </is>
      </c>
      <c r="E77" t="inlineStr">
        <is>
          <t>KNIVSTA</t>
        </is>
      </c>
      <c r="G77" t="n">
        <v>14.1</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45512</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66293-2021</t>
        </is>
      </c>
      <c r="B79" s="1" t="n">
        <v>44518</v>
      </c>
      <c r="C79" s="1" t="n">
        <v>45512</v>
      </c>
      <c r="D79" t="inlineStr">
        <is>
          <t>UPPSALA LÄN</t>
        </is>
      </c>
      <c r="E79" t="inlineStr">
        <is>
          <t>KNIVSTA</t>
        </is>
      </c>
      <c r="G79" t="n">
        <v>2.6</v>
      </c>
      <c r="H79" t="n">
        <v>0</v>
      </c>
      <c r="I79" t="n">
        <v>0</v>
      </c>
      <c r="J79" t="n">
        <v>0</v>
      </c>
      <c r="K79" t="n">
        <v>0</v>
      </c>
      <c r="L79" t="n">
        <v>0</v>
      </c>
      <c r="M79" t="n">
        <v>0</v>
      </c>
      <c r="N79" t="n">
        <v>0</v>
      </c>
      <c r="O79" t="n">
        <v>0</v>
      </c>
      <c r="P79" t="n">
        <v>0</v>
      </c>
      <c r="Q79" t="n">
        <v>0</v>
      </c>
      <c r="R79" s="2" t="inlineStr"/>
    </row>
    <row r="80" ht="15" customHeight="1">
      <c r="A80" t="inlineStr">
        <is>
          <t>A 66336-2021</t>
        </is>
      </c>
      <c r="B80" s="1" t="n">
        <v>44518</v>
      </c>
      <c r="C80" s="1" t="n">
        <v>45512</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66305-2021</t>
        </is>
      </c>
      <c r="B81" s="1" t="n">
        <v>44518</v>
      </c>
      <c r="C81" s="1" t="n">
        <v>45512</v>
      </c>
      <c r="D81" t="inlineStr">
        <is>
          <t>UPPSALA LÄN</t>
        </is>
      </c>
      <c r="E81" t="inlineStr">
        <is>
          <t>KNIVSTA</t>
        </is>
      </c>
      <c r="G81" t="n">
        <v>8.300000000000001</v>
      </c>
      <c r="H81" t="n">
        <v>0</v>
      </c>
      <c r="I81" t="n">
        <v>0</v>
      </c>
      <c r="J81" t="n">
        <v>0</v>
      </c>
      <c r="K81" t="n">
        <v>0</v>
      </c>
      <c r="L81" t="n">
        <v>0</v>
      </c>
      <c r="M81" t="n">
        <v>0</v>
      </c>
      <c r="N81" t="n">
        <v>0</v>
      </c>
      <c r="O81" t="n">
        <v>0</v>
      </c>
      <c r="P81" t="n">
        <v>0</v>
      </c>
      <c r="Q81" t="n">
        <v>0</v>
      </c>
      <c r="R81" s="2" t="inlineStr"/>
    </row>
    <row r="82" ht="15" customHeight="1">
      <c r="A82" t="inlineStr">
        <is>
          <t>A 70700-2021</t>
        </is>
      </c>
      <c r="B82" s="1" t="n">
        <v>44537</v>
      </c>
      <c r="C82" s="1" t="n">
        <v>45512</v>
      </c>
      <c r="D82" t="inlineStr">
        <is>
          <t>UPPSALA LÄN</t>
        </is>
      </c>
      <c r="E82" t="inlineStr">
        <is>
          <t>KNIVSTA</t>
        </is>
      </c>
      <c r="F82" t="inlineStr">
        <is>
          <t>Holmen skog AB</t>
        </is>
      </c>
      <c r="G82" t="n">
        <v>1.5</v>
      </c>
      <c r="H82" t="n">
        <v>0</v>
      </c>
      <c r="I82" t="n">
        <v>0</v>
      </c>
      <c r="J82" t="n">
        <v>0</v>
      </c>
      <c r="K82" t="n">
        <v>0</v>
      </c>
      <c r="L82" t="n">
        <v>0</v>
      </c>
      <c r="M82" t="n">
        <v>0</v>
      </c>
      <c r="N82" t="n">
        <v>0</v>
      </c>
      <c r="O82" t="n">
        <v>0</v>
      </c>
      <c r="P82" t="n">
        <v>0</v>
      </c>
      <c r="Q82" t="n">
        <v>0</v>
      </c>
      <c r="R82" s="2" t="inlineStr"/>
    </row>
    <row r="83" ht="15" customHeight="1">
      <c r="A83" t="inlineStr">
        <is>
          <t>A 72471-2021</t>
        </is>
      </c>
      <c r="B83" s="1" t="n">
        <v>44545</v>
      </c>
      <c r="C83" s="1" t="n">
        <v>45512</v>
      </c>
      <c r="D83" t="inlineStr">
        <is>
          <t>UPPSALA LÄN</t>
        </is>
      </c>
      <c r="E83" t="inlineStr">
        <is>
          <t>KNIVSTA</t>
        </is>
      </c>
      <c r="F83" t="inlineStr">
        <is>
          <t>Holmen skog AB</t>
        </is>
      </c>
      <c r="G83" t="n">
        <v>3.2</v>
      </c>
      <c r="H83" t="n">
        <v>0</v>
      </c>
      <c r="I83" t="n">
        <v>0</v>
      </c>
      <c r="J83" t="n">
        <v>0</v>
      </c>
      <c r="K83" t="n">
        <v>0</v>
      </c>
      <c r="L83" t="n">
        <v>0</v>
      </c>
      <c r="M83" t="n">
        <v>0</v>
      </c>
      <c r="N83" t="n">
        <v>0</v>
      </c>
      <c r="O83" t="n">
        <v>0</v>
      </c>
      <c r="P83" t="n">
        <v>0</v>
      </c>
      <c r="Q83" t="n">
        <v>0</v>
      </c>
      <c r="R83" s="2" t="inlineStr"/>
    </row>
    <row r="84" ht="15" customHeight="1">
      <c r="A84" t="inlineStr">
        <is>
          <t>A 72883-2021</t>
        </is>
      </c>
      <c r="B84" s="1" t="n">
        <v>44547</v>
      </c>
      <c r="C84" s="1" t="n">
        <v>45512</v>
      </c>
      <c r="D84" t="inlineStr">
        <is>
          <t>UPPSALA LÄN</t>
        </is>
      </c>
      <c r="E84" t="inlineStr">
        <is>
          <t>KNIVSTA</t>
        </is>
      </c>
      <c r="F84" t="inlineStr">
        <is>
          <t>Holmen skog AB</t>
        </is>
      </c>
      <c r="G84" t="n">
        <v>7.7</v>
      </c>
      <c r="H84" t="n">
        <v>0</v>
      </c>
      <c r="I84" t="n">
        <v>0</v>
      </c>
      <c r="J84" t="n">
        <v>0</v>
      </c>
      <c r="K84" t="n">
        <v>0</v>
      </c>
      <c r="L84" t="n">
        <v>0</v>
      </c>
      <c r="M84" t="n">
        <v>0</v>
      </c>
      <c r="N84" t="n">
        <v>0</v>
      </c>
      <c r="O84" t="n">
        <v>0</v>
      </c>
      <c r="P84" t="n">
        <v>0</v>
      </c>
      <c r="Q84" t="n">
        <v>0</v>
      </c>
      <c r="R84" s="2" t="inlineStr"/>
    </row>
    <row r="85" ht="15" customHeight="1">
      <c r="A85" t="inlineStr">
        <is>
          <t>A 72885-2021</t>
        </is>
      </c>
      <c r="B85" s="1" t="n">
        <v>44547</v>
      </c>
      <c r="C85" s="1" t="n">
        <v>45512</v>
      </c>
      <c r="D85" t="inlineStr">
        <is>
          <t>UPPSALA LÄN</t>
        </is>
      </c>
      <c r="E85" t="inlineStr">
        <is>
          <t>KNIVSTA</t>
        </is>
      </c>
      <c r="F85" t="inlineStr">
        <is>
          <t>Holmen skog AB</t>
        </is>
      </c>
      <c r="G85" t="n">
        <v>5.3</v>
      </c>
      <c r="H85" t="n">
        <v>0</v>
      </c>
      <c r="I85" t="n">
        <v>0</v>
      </c>
      <c r="J85" t="n">
        <v>0</v>
      </c>
      <c r="K85" t="n">
        <v>0</v>
      </c>
      <c r="L85" t="n">
        <v>0</v>
      </c>
      <c r="M85" t="n">
        <v>0</v>
      </c>
      <c r="N85" t="n">
        <v>0</v>
      </c>
      <c r="O85" t="n">
        <v>0</v>
      </c>
      <c r="P85" t="n">
        <v>0</v>
      </c>
      <c r="Q85" t="n">
        <v>0</v>
      </c>
      <c r="R85" s="2" t="inlineStr"/>
    </row>
    <row r="86" ht="15" customHeight="1">
      <c r="A86" t="inlineStr">
        <is>
          <t>A 72967-2021</t>
        </is>
      </c>
      <c r="B86" s="1" t="n">
        <v>44548</v>
      </c>
      <c r="C86" s="1" t="n">
        <v>45512</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72966-2021</t>
        </is>
      </c>
      <c r="B87" s="1" t="n">
        <v>44548</v>
      </c>
      <c r="C87" s="1" t="n">
        <v>45512</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73754-2021</t>
        </is>
      </c>
      <c r="B88" s="1" t="n">
        <v>44552</v>
      </c>
      <c r="C88" s="1" t="n">
        <v>45512</v>
      </c>
      <c r="D88" t="inlineStr">
        <is>
          <t>UPPSALA LÄN</t>
        </is>
      </c>
      <c r="E88" t="inlineStr">
        <is>
          <t>KNIVSTA</t>
        </is>
      </c>
      <c r="F88" t="inlineStr">
        <is>
          <t>Holmen skog AB</t>
        </is>
      </c>
      <c r="G88" t="n">
        <v>8.6</v>
      </c>
      <c r="H88" t="n">
        <v>0</v>
      </c>
      <c r="I88" t="n">
        <v>0</v>
      </c>
      <c r="J88" t="n">
        <v>0</v>
      </c>
      <c r="K88" t="n">
        <v>0</v>
      </c>
      <c r="L88" t="n">
        <v>0</v>
      </c>
      <c r="M88" t="n">
        <v>0</v>
      </c>
      <c r="N88" t="n">
        <v>0</v>
      </c>
      <c r="O88" t="n">
        <v>0</v>
      </c>
      <c r="P88" t="n">
        <v>0</v>
      </c>
      <c r="Q88" t="n">
        <v>0</v>
      </c>
      <c r="R88" s="2" t="inlineStr"/>
    </row>
    <row r="89" ht="15" customHeight="1">
      <c r="A89" t="inlineStr">
        <is>
          <t>A 1323-2022</t>
        </is>
      </c>
      <c r="B89" s="1" t="n">
        <v>44572</v>
      </c>
      <c r="C89" s="1" t="n">
        <v>45512</v>
      </c>
      <c r="D89" t="inlineStr">
        <is>
          <t>UPPSALA LÄN</t>
        </is>
      </c>
      <c r="E89" t="inlineStr">
        <is>
          <t>KNIVSTA</t>
        </is>
      </c>
      <c r="F89" t="inlineStr">
        <is>
          <t>Holmen skog AB</t>
        </is>
      </c>
      <c r="G89" t="n">
        <v>1.8</v>
      </c>
      <c r="H89" t="n">
        <v>0</v>
      </c>
      <c r="I89" t="n">
        <v>0</v>
      </c>
      <c r="J89" t="n">
        <v>0</v>
      </c>
      <c r="K89" t="n">
        <v>0</v>
      </c>
      <c r="L89" t="n">
        <v>0</v>
      </c>
      <c r="M89" t="n">
        <v>0</v>
      </c>
      <c r="N89" t="n">
        <v>0</v>
      </c>
      <c r="O89" t="n">
        <v>0</v>
      </c>
      <c r="P89" t="n">
        <v>0</v>
      </c>
      <c r="Q89" t="n">
        <v>0</v>
      </c>
      <c r="R89" s="2" t="inlineStr"/>
    </row>
    <row r="90" ht="15" customHeight="1">
      <c r="A90" t="inlineStr">
        <is>
          <t>A 8576-2022</t>
        </is>
      </c>
      <c r="B90" s="1" t="n">
        <v>44613</v>
      </c>
      <c r="C90" s="1" t="n">
        <v>45512</v>
      </c>
      <c r="D90" t="inlineStr">
        <is>
          <t>UPPSALA LÄN</t>
        </is>
      </c>
      <c r="E90" t="inlineStr">
        <is>
          <t>KNIVSTA</t>
        </is>
      </c>
      <c r="G90" t="n">
        <v>3.6</v>
      </c>
      <c r="H90" t="n">
        <v>0</v>
      </c>
      <c r="I90" t="n">
        <v>0</v>
      </c>
      <c r="J90" t="n">
        <v>0</v>
      </c>
      <c r="K90" t="n">
        <v>0</v>
      </c>
      <c r="L90" t="n">
        <v>0</v>
      </c>
      <c r="M90" t="n">
        <v>0</v>
      </c>
      <c r="N90" t="n">
        <v>0</v>
      </c>
      <c r="O90" t="n">
        <v>0</v>
      </c>
      <c r="P90" t="n">
        <v>0</v>
      </c>
      <c r="Q90" t="n">
        <v>0</v>
      </c>
      <c r="R90" s="2" t="inlineStr"/>
    </row>
    <row r="91" ht="15" customHeight="1">
      <c r="A91" t="inlineStr">
        <is>
          <t>A 16773-2022</t>
        </is>
      </c>
      <c r="B91" s="1" t="n">
        <v>44673</v>
      </c>
      <c r="C91" s="1" t="n">
        <v>45512</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16775-2022</t>
        </is>
      </c>
      <c r="B92" s="1" t="n">
        <v>44673</v>
      </c>
      <c r="C92" s="1" t="n">
        <v>45512</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ht="15" customHeight="1">
      <c r="A93" t="inlineStr">
        <is>
          <t>A 18258-2022</t>
        </is>
      </c>
      <c r="B93" s="1" t="n">
        <v>44685</v>
      </c>
      <c r="C93" s="1" t="n">
        <v>45512</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18820-2022</t>
        </is>
      </c>
      <c r="B94" s="1" t="n">
        <v>44690</v>
      </c>
      <c r="C94" s="1" t="n">
        <v>45512</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24132-2022</t>
        </is>
      </c>
      <c r="B95" s="1" t="n">
        <v>44725</v>
      </c>
      <c r="C95" s="1" t="n">
        <v>45512</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26182-2022</t>
        </is>
      </c>
      <c r="B96" s="1" t="n">
        <v>44735</v>
      </c>
      <c r="C96" s="1" t="n">
        <v>45512</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26239-2022</t>
        </is>
      </c>
      <c r="B97" s="1" t="n">
        <v>44735</v>
      </c>
      <c r="C97" s="1" t="n">
        <v>45512</v>
      </c>
      <c r="D97" t="inlineStr">
        <is>
          <t>UPPSALA LÄN</t>
        </is>
      </c>
      <c r="E97" t="inlineStr">
        <is>
          <t>KNIVSTA</t>
        </is>
      </c>
      <c r="G97" t="n">
        <v>4.4</v>
      </c>
      <c r="H97" t="n">
        <v>0</v>
      </c>
      <c r="I97" t="n">
        <v>0</v>
      </c>
      <c r="J97" t="n">
        <v>0</v>
      </c>
      <c r="K97" t="n">
        <v>0</v>
      </c>
      <c r="L97" t="n">
        <v>0</v>
      </c>
      <c r="M97" t="n">
        <v>0</v>
      </c>
      <c r="N97" t="n">
        <v>0</v>
      </c>
      <c r="O97" t="n">
        <v>0</v>
      </c>
      <c r="P97" t="n">
        <v>0</v>
      </c>
      <c r="Q97" t="n">
        <v>0</v>
      </c>
      <c r="R97" s="2" t="inlineStr"/>
    </row>
    <row r="98" ht="15" customHeight="1">
      <c r="A98" t="inlineStr">
        <is>
          <t>A 30351-2022</t>
        </is>
      </c>
      <c r="B98" s="1" t="n">
        <v>44757</v>
      </c>
      <c r="C98" s="1" t="n">
        <v>45512</v>
      </c>
      <c r="D98" t="inlineStr">
        <is>
          <t>UPPSALA LÄN</t>
        </is>
      </c>
      <c r="E98" t="inlineStr">
        <is>
          <t>KNIVSTA</t>
        </is>
      </c>
      <c r="G98" t="n">
        <v>5.7</v>
      </c>
      <c r="H98" t="n">
        <v>0</v>
      </c>
      <c r="I98" t="n">
        <v>0</v>
      </c>
      <c r="J98" t="n">
        <v>0</v>
      </c>
      <c r="K98" t="n">
        <v>0</v>
      </c>
      <c r="L98" t="n">
        <v>0</v>
      </c>
      <c r="M98" t="n">
        <v>0</v>
      </c>
      <c r="N98" t="n">
        <v>0</v>
      </c>
      <c r="O98" t="n">
        <v>0</v>
      </c>
      <c r="P98" t="n">
        <v>0</v>
      </c>
      <c r="Q98" t="n">
        <v>0</v>
      </c>
      <c r="R98" s="2" t="inlineStr"/>
    </row>
    <row r="99" ht="15" customHeight="1">
      <c r="A99" t="inlineStr">
        <is>
          <t>A 31875-2022</t>
        </is>
      </c>
      <c r="B99" s="1" t="n">
        <v>44777</v>
      </c>
      <c r="C99" s="1" t="n">
        <v>45512</v>
      </c>
      <c r="D99" t="inlineStr">
        <is>
          <t>UPPSALA LÄN</t>
        </is>
      </c>
      <c r="E99" t="inlineStr">
        <is>
          <t>KNIVSTA</t>
        </is>
      </c>
      <c r="G99" t="n">
        <v>0.7</v>
      </c>
      <c r="H99" t="n">
        <v>0</v>
      </c>
      <c r="I99" t="n">
        <v>0</v>
      </c>
      <c r="J99" t="n">
        <v>0</v>
      </c>
      <c r="K99" t="n">
        <v>0</v>
      </c>
      <c r="L99" t="n">
        <v>0</v>
      </c>
      <c r="M99" t="n">
        <v>0</v>
      </c>
      <c r="N99" t="n">
        <v>0</v>
      </c>
      <c r="O99" t="n">
        <v>0</v>
      </c>
      <c r="P99" t="n">
        <v>0</v>
      </c>
      <c r="Q99" t="n">
        <v>0</v>
      </c>
      <c r="R99" s="2" t="inlineStr"/>
    </row>
    <row r="100" ht="15" customHeight="1">
      <c r="A100" t="inlineStr">
        <is>
          <t>A 34078-2022</t>
        </is>
      </c>
      <c r="B100" s="1" t="n">
        <v>44791</v>
      </c>
      <c r="C100" s="1" t="n">
        <v>45512</v>
      </c>
      <c r="D100" t="inlineStr">
        <is>
          <t>UPPSALA LÄN</t>
        </is>
      </c>
      <c r="E100" t="inlineStr">
        <is>
          <t>KNIVSTA</t>
        </is>
      </c>
      <c r="F100" t="inlineStr">
        <is>
          <t>Övriga statliga verk och myndigheter</t>
        </is>
      </c>
      <c r="G100" t="n">
        <v>1.8</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45512</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46149-2022</t>
        </is>
      </c>
      <c r="B102" s="1" t="n">
        <v>44847</v>
      </c>
      <c r="C102" s="1" t="n">
        <v>45512</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5402-2023</t>
        </is>
      </c>
      <c r="B103" s="1" t="n">
        <v>44959</v>
      </c>
      <c r="C103" s="1" t="n">
        <v>45512</v>
      </c>
      <c r="D103" t="inlineStr">
        <is>
          <t>UPPSALA LÄN</t>
        </is>
      </c>
      <c r="E103" t="inlineStr">
        <is>
          <t>KNIVSTA</t>
        </is>
      </c>
      <c r="G103" t="n">
        <v>4.3</v>
      </c>
      <c r="H103" t="n">
        <v>0</v>
      </c>
      <c r="I103" t="n">
        <v>0</v>
      </c>
      <c r="J103" t="n">
        <v>0</v>
      </c>
      <c r="K103" t="n">
        <v>0</v>
      </c>
      <c r="L103" t="n">
        <v>0</v>
      </c>
      <c r="M103" t="n">
        <v>0</v>
      </c>
      <c r="N103" t="n">
        <v>0</v>
      </c>
      <c r="O103" t="n">
        <v>0</v>
      </c>
      <c r="P103" t="n">
        <v>0</v>
      </c>
      <c r="Q103" t="n">
        <v>0</v>
      </c>
      <c r="R103" s="2" t="inlineStr"/>
    </row>
    <row r="104" ht="15" customHeight="1">
      <c r="A104" t="inlineStr">
        <is>
          <t>A 11191-2023</t>
        </is>
      </c>
      <c r="B104" s="1" t="n">
        <v>44987</v>
      </c>
      <c r="C104" s="1" t="n">
        <v>45512</v>
      </c>
      <c r="D104" t="inlineStr">
        <is>
          <t>UPPSALA LÄN</t>
        </is>
      </c>
      <c r="E104" t="inlineStr">
        <is>
          <t>KNIVSTA</t>
        </is>
      </c>
      <c r="G104" t="n">
        <v>2</v>
      </c>
      <c r="H104" t="n">
        <v>0</v>
      </c>
      <c r="I104" t="n">
        <v>0</v>
      </c>
      <c r="J104" t="n">
        <v>0</v>
      </c>
      <c r="K104" t="n">
        <v>0</v>
      </c>
      <c r="L104" t="n">
        <v>0</v>
      </c>
      <c r="M104" t="n">
        <v>0</v>
      </c>
      <c r="N104" t="n">
        <v>0</v>
      </c>
      <c r="O104" t="n">
        <v>0</v>
      </c>
      <c r="P104" t="n">
        <v>0</v>
      </c>
      <c r="Q104" t="n">
        <v>0</v>
      </c>
      <c r="R104" s="2" t="inlineStr"/>
    </row>
    <row r="105" ht="15" customHeight="1">
      <c r="A105" t="inlineStr">
        <is>
          <t>A 10898-2023</t>
        </is>
      </c>
      <c r="B105" s="1" t="n">
        <v>44991</v>
      </c>
      <c r="C105" s="1" t="n">
        <v>45512</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10914-2023</t>
        </is>
      </c>
      <c r="B106" s="1" t="n">
        <v>44991</v>
      </c>
      <c r="C106" s="1" t="n">
        <v>45512</v>
      </c>
      <c r="D106" t="inlineStr">
        <is>
          <t>UPPSALA LÄN</t>
        </is>
      </c>
      <c r="E106" t="inlineStr">
        <is>
          <t>KNIVSTA</t>
        </is>
      </c>
      <c r="F106" t="inlineStr">
        <is>
          <t>Holmen skog AB</t>
        </is>
      </c>
      <c r="G106" t="n">
        <v>1.1</v>
      </c>
      <c r="H106" t="n">
        <v>0</v>
      </c>
      <c r="I106" t="n">
        <v>0</v>
      </c>
      <c r="J106" t="n">
        <v>0</v>
      </c>
      <c r="K106" t="n">
        <v>0</v>
      </c>
      <c r="L106" t="n">
        <v>0</v>
      </c>
      <c r="M106" t="n">
        <v>0</v>
      </c>
      <c r="N106" t="n">
        <v>0</v>
      </c>
      <c r="O106" t="n">
        <v>0</v>
      </c>
      <c r="P106" t="n">
        <v>0</v>
      </c>
      <c r="Q106" t="n">
        <v>0</v>
      </c>
      <c r="R106" s="2" t="inlineStr"/>
    </row>
    <row r="107" ht="15" customHeight="1">
      <c r="A107" t="inlineStr">
        <is>
          <t>A 11452-2023</t>
        </is>
      </c>
      <c r="B107" s="1" t="n">
        <v>44993</v>
      </c>
      <c r="C107" s="1" t="n">
        <v>45512</v>
      </c>
      <c r="D107" t="inlineStr">
        <is>
          <t>UPPSALA LÄN</t>
        </is>
      </c>
      <c r="E107" t="inlineStr">
        <is>
          <t>KNIVSTA</t>
        </is>
      </c>
      <c r="G107" t="n">
        <v>2.5</v>
      </c>
      <c r="H107" t="n">
        <v>0</v>
      </c>
      <c r="I107" t="n">
        <v>0</v>
      </c>
      <c r="J107" t="n">
        <v>0</v>
      </c>
      <c r="K107" t="n">
        <v>0</v>
      </c>
      <c r="L107" t="n">
        <v>0</v>
      </c>
      <c r="M107" t="n">
        <v>0</v>
      </c>
      <c r="N107" t="n">
        <v>0</v>
      </c>
      <c r="O107" t="n">
        <v>0</v>
      </c>
      <c r="P107" t="n">
        <v>0</v>
      </c>
      <c r="Q107" t="n">
        <v>0</v>
      </c>
      <c r="R107" s="2" t="inlineStr"/>
    </row>
    <row r="108" ht="15" customHeight="1">
      <c r="A108" t="inlineStr">
        <is>
          <t>A 11450-2023</t>
        </is>
      </c>
      <c r="B108" s="1" t="n">
        <v>44993</v>
      </c>
      <c r="C108" s="1" t="n">
        <v>45512</v>
      </c>
      <c r="D108" t="inlineStr">
        <is>
          <t>UPPSALA LÄN</t>
        </is>
      </c>
      <c r="E108" t="inlineStr">
        <is>
          <t>KNIVSTA</t>
        </is>
      </c>
      <c r="G108" t="n">
        <v>1.4</v>
      </c>
      <c r="H108" t="n">
        <v>0</v>
      </c>
      <c r="I108" t="n">
        <v>0</v>
      </c>
      <c r="J108" t="n">
        <v>0</v>
      </c>
      <c r="K108" t="n">
        <v>0</v>
      </c>
      <c r="L108" t="n">
        <v>0</v>
      </c>
      <c r="M108" t="n">
        <v>0</v>
      </c>
      <c r="N108" t="n">
        <v>0</v>
      </c>
      <c r="O108" t="n">
        <v>0</v>
      </c>
      <c r="P108" t="n">
        <v>0</v>
      </c>
      <c r="Q108" t="n">
        <v>0</v>
      </c>
      <c r="R108" s="2" t="inlineStr"/>
    </row>
    <row r="109" ht="15" customHeight="1">
      <c r="A109" t="inlineStr">
        <is>
          <t>A 11845-2023</t>
        </is>
      </c>
      <c r="B109" s="1" t="n">
        <v>44995</v>
      </c>
      <c r="C109" s="1" t="n">
        <v>45512</v>
      </c>
      <c r="D109" t="inlineStr">
        <is>
          <t>UPPSALA LÄN</t>
        </is>
      </c>
      <c r="E109" t="inlineStr">
        <is>
          <t>KNIVSTA</t>
        </is>
      </c>
      <c r="G109" t="n">
        <v>0.6</v>
      </c>
      <c r="H109" t="n">
        <v>0</v>
      </c>
      <c r="I109" t="n">
        <v>0</v>
      </c>
      <c r="J109" t="n">
        <v>0</v>
      </c>
      <c r="K109" t="n">
        <v>0</v>
      </c>
      <c r="L109" t="n">
        <v>0</v>
      </c>
      <c r="M109" t="n">
        <v>0</v>
      </c>
      <c r="N109" t="n">
        <v>0</v>
      </c>
      <c r="O109" t="n">
        <v>0</v>
      </c>
      <c r="P109" t="n">
        <v>0</v>
      </c>
      <c r="Q109" t="n">
        <v>0</v>
      </c>
      <c r="R109" s="2" t="inlineStr"/>
    </row>
    <row r="110" ht="15" customHeight="1">
      <c r="A110" t="inlineStr">
        <is>
          <t>A 11847-2023</t>
        </is>
      </c>
      <c r="B110" s="1" t="n">
        <v>44995</v>
      </c>
      <c r="C110" s="1" t="n">
        <v>45512</v>
      </c>
      <c r="D110" t="inlineStr">
        <is>
          <t>UPPSALA LÄN</t>
        </is>
      </c>
      <c r="E110" t="inlineStr">
        <is>
          <t>KNIVSTA</t>
        </is>
      </c>
      <c r="G110" t="n">
        <v>2.1</v>
      </c>
      <c r="H110" t="n">
        <v>0</v>
      </c>
      <c r="I110" t="n">
        <v>0</v>
      </c>
      <c r="J110" t="n">
        <v>0</v>
      </c>
      <c r="K110" t="n">
        <v>0</v>
      </c>
      <c r="L110" t="n">
        <v>0</v>
      </c>
      <c r="M110" t="n">
        <v>0</v>
      </c>
      <c r="N110" t="n">
        <v>0</v>
      </c>
      <c r="O110" t="n">
        <v>0</v>
      </c>
      <c r="P110" t="n">
        <v>0</v>
      </c>
      <c r="Q110" t="n">
        <v>0</v>
      </c>
      <c r="R110" s="2" t="inlineStr"/>
    </row>
    <row r="111" ht="15" customHeight="1">
      <c r="A111" t="inlineStr">
        <is>
          <t>A 11841-2023</t>
        </is>
      </c>
      <c r="B111" s="1" t="n">
        <v>44995</v>
      </c>
      <c r="C111" s="1" t="n">
        <v>45512</v>
      </c>
      <c r="D111" t="inlineStr">
        <is>
          <t>UPPSALA LÄN</t>
        </is>
      </c>
      <c r="E111" t="inlineStr">
        <is>
          <t>KNIVSTA</t>
        </is>
      </c>
      <c r="G111" t="n">
        <v>3.9</v>
      </c>
      <c r="H111" t="n">
        <v>0</v>
      </c>
      <c r="I111" t="n">
        <v>0</v>
      </c>
      <c r="J111" t="n">
        <v>0</v>
      </c>
      <c r="K111" t="n">
        <v>0</v>
      </c>
      <c r="L111" t="n">
        <v>0</v>
      </c>
      <c r="M111" t="n">
        <v>0</v>
      </c>
      <c r="N111" t="n">
        <v>0</v>
      </c>
      <c r="O111" t="n">
        <v>0</v>
      </c>
      <c r="P111" t="n">
        <v>0</v>
      </c>
      <c r="Q111" t="n">
        <v>0</v>
      </c>
      <c r="R111" s="2" t="inlineStr"/>
    </row>
    <row r="112" ht="15" customHeight="1">
      <c r="A112" t="inlineStr">
        <is>
          <t>A 15441-2023</t>
        </is>
      </c>
      <c r="B112" s="1" t="n">
        <v>45016</v>
      </c>
      <c r="C112" s="1" t="n">
        <v>45512</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16300-2023</t>
        </is>
      </c>
      <c r="B113" s="1" t="n">
        <v>45028</v>
      </c>
      <c r="C113" s="1" t="n">
        <v>45512</v>
      </c>
      <c r="D113" t="inlineStr">
        <is>
          <t>UPPSALA LÄN</t>
        </is>
      </c>
      <c r="E113" t="inlineStr">
        <is>
          <t>KNIVSTA</t>
        </is>
      </c>
      <c r="G113" t="n">
        <v>4</v>
      </c>
      <c r="H113" t="n">
        <v>0</v>
      </c>
      <c r="I113" t="n">
        <v>0</v>
      </c>
      <c r="J113" t="n">
        <v>0</v>
      </c>
      <c r="K113" t="n">
        <v>0</v>
      </c>
      <c r="L113" t="n">
        <v>0</v>
      </c>
      <c r="M113" t="n">
        <v>0</v>
      </c>
      <c r="N113" t="n">
        <v>0</v>
      </c>
      <c r="O113" t="n">
        <v>0</v>
      </c>
      <c r="P113" t="n">
        <v>0</v>
      </c>
      <c r="Q113" t="n">
        <v>0</v>
      </c>
      <c r="R113" s="2" t="inlineStr"/>
    </row>
    <row r="114" ht="15" customHeight="1">
      <c r="A114" t="inlineStr">
        <is>
          <t>A 16310-2023</t>
        </is>
      </c>
      <c r="B114" s="1" t="n">
        <v>45028</v>
      </c>
      <c r="C114" s="1" t="n">
        <v>45512</v>
      </c>
      <c r="D114" t="inlineStr">
        <is>
          <t>UPPSALA LÄN</t>
        </is>
      </c>
      <c r="E114" t="inlineStr">
        <is>
          <t>KNIVSTA</t>
        </is>
      </c>
      <c r="G114" t="n">
        <v>2.8</v>
      </c>
      <c r="H114" t="n">
        <v>0</v>
      </c>
      <c r="I114" t="n">
        <v>0</v>
      </c>
      <c r="J114" t="n">
        <v>0</v>
      </c>
      <c r="K114" t="n">
        <v>0</v>
      </c>
      <c r="L114" t="n">
        <v>0</v>
      </c>
      <c r="M114" t="n">
        <v>0</v>
      </c>
      <c r="N114" t="n">
        <v>0</v>
      </c>
      <c r="O114" t="n">
        <v>0</v>
      </c>
      <c r="P114" t="n">
        <v>0</v>
      </c>
      <c r="Q114" t="n">
        <v>0</v>
      </c>
      <c r="R114" s="2" t="inlineStr"/>
    </row>
    <row r="115" ht="15" customHeight="1">
      <c r="A115" t="inlineStr">
        <is>
          <t>A 16305-2023</t>
        </is>
      </c>
      <c r="B115" s="1" t="n">
        <v>45028</v>
      </c>
      <c r="C115" s="1" t="n">
        <v>45512</v>
      </c>
      <c r="D115" t="inlineStr">
        <is>
          <t>UPPSALA LÄN</t>
        </is>
      </c>
      <c r="E115" t="inlineStr">
        <is>
          <t>KNIVSTA</t>
        </is>
      </c>
      <c r="G115" t="n">
        <v>7.2</v>
      </c>
      <c r="H115" t="n">
        <v>0</v>
      </c>
      <c r="I115" t="n">
        <v>0</v>
      </c>
      <c r="J115" t="n">
        <v>0</v>
      </c>
      <c r="K115" t="n">
        <v>0</v>
      </c>
      <c r="L115" t="n">
        <v>0</v>
      </c>
      <c r="M115" t="n">
        <v>0</v>
      </c>
      <c r="N115" t="n">
        <v>0</v>
      </c>
      <c r="O115" t="n">
        <v>0</v>
      </c>
      <c r="P115" t="n">
        <v>0</v>
      </c>
      <c r="Q115" t="n">
        <v>0</v>
      </c>
      <c r="R115" s="2" t="inlineStr"/>
    </row>
    <row r="116" ht="15" customHeight="1">
      <c r="A116" t="inlineStr">
        <is>
          <t>A 16639-2023</t>
        </is>
      </c>
      <c r="B116" s="1" t="n">
        <v>45030</v>
      </c>
      <c r="C116" s="1" t="n">
        <v>45512</v>
      </c>
      <c r="D116" t="inlineStr">
        <is>
          <t>UPPSALA LÄN</t>
        </is>
      </c>
      <c r="E116" t="inlineStr">
        <is>
          <t>KNIVSTA</t>
        </is>
      </c>
      <c r="G116" t="n">
        <v>7</v>
      </c>
      <c r="H116" t="n">
        <v>0</v>
      </c>
      <c r="I116" t="n">
        <v>0</v>
      </c>
      <c r="J116" t="n">
        <v>0</v>
      </c>
      <c r="K116" t="n">
        <v>0</v>
      </c>
      <c r="L116" t="n">
        <v>0</v>
      </c>
      <c r="M116" t="n">
        <v>0</v>
      </c>
      <c r="N116" t="n">
        <v>0</v>
      </c>
      <c r="O116" t="n">
        <v>0</v>
      </c>
      <c r="P116" t="n">
        <v>0</v>
      </c>
      <c r="Q116" t="n">
        <v>0</v>
      </c>
      <c r="R116" s="2" t="inlineStr"/>
    </row>
    <row r="117" ht="15" customHeight="1">
      <c r="A117" t="inlineStr">
        <is>
          <t>A 17091-2023</t>
        </is>
      </c>
      <c r="B117" s="1" t="n">
        <v>45034</v>
      </c>
      <c r="C117" s="1" t="n">
        <v>45512</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17094-2023</t>
        </is>
      </c>
      <c r="B118" s="1" t="n">
        <v>45034</v>
      </c>
      <c r="C118" s="1" t="n">
        <v>45512</v>
      </c>
      <c r="D118" t="inlineStr">
        <is>
          <t>UPPSALA LÄN</t>
        </is>
      </c>
      <c r="E118" t="inlineStr">
        <is>
          <t>KNIVSTA</t>
        </is>
      </c>
      <c r="G118" t="n">
        <v>0.8</v>
      </c>
      <c r="H118" t="n">
        <v>0</v>
      </c>
      <c r="I118" t="n">
        <v>0</v>
      </c>
      <c r="J118" t="n">
        <v>0</v>
      </c>
      <c r="K118" t="n">
        <v>0</v>
      </c>
      <c r="L118" t="n">
        <v>0</v>
      </c>
      <c r="M118" t="n">
        <v>0</v>
      </c>
      <c r="N118" t="n">
        <v>0</v>
      </c>
      <c r="O118" t="n">
        <v>0</v>
      </c>
      <c r="P118" t="n">
        <v>0</v>
      </c>
      <c r="Q118" t="n">
        <v>0</v>
      </c>
      <c r="R118" s="2" t="inlineStr"/>
    </row>
    <row r="119" ht="15" customHeight="1">
      <c r="A119" t="inlineStr">
        <is>
          <t>A 17101-2023</t>
        </is>
      </c>
      <c r="B119" s="1" t="n">
        <v>45034</v>
      </c>
      <c r="C119" s="1" t="n">
        <v>45512</v>
      </c>
      <c r="D119" t="inlineStr">
        <is>
          <t>UPPSALA LÄN</t>
        </is>
      </c>
      <c r="E119" t="inlineStr">
        <is>
          <t>KNIVSTA</t>
        </is>
      </c>
      <c r="G119" t="n">
        <v>4.2</v>
      </c>
      <c r="H119" t="n">
        <v>0</v>
      </c>
      <c r="I119" t="n">
        <v>0</v>
      </c>
      <c r="J119" t="n">
        <v>0</v>
      </c>
      <c r="K119" t="n">
        <v>0</v>
      </c>
      <c r="L119" t="n">
        <v>0</v>
      </c>
      <c r="M119" t="n">
        <v>0</v>
      </c>
      <c r="N119" t="n">
        <v>0</v>
      </c>
      <c r="O119" t="n">
        <v>0</v>
      </c>
      <c r="P119" t="n">
        <v>0</v>
      </c>
      <c r="Q119" t="n">
        <v>0</v>
      </c>
      <c r="R119" s="2" t="inlineStr"/>
    </row>
    <row r="120" ht="15" customHeight="1">
      <c r="A120" t="inlineStr">
        <is>
          <t>A 23042-2023</t>
        </is>
      </c>
      <c r="B120" s="1" t="n">
        <v>45075</v>
      </c>
      <c r="C120" s="1" t="n">
        <v>45512</v>
      </c>
      <c r="D120" t="inlineStr">
        <is>
          <t>UPPSALA LÄN</t>
        </is>
      </c>
      <c r="E120" t="inlineStr">
        <is>
          <t>KNIVSTA</t>
        </is>
      </c>
      <c r="G120" t="n">
        <v>1.6</v>
      </c>
      <c r="H120" t="n">
        <v>0</v>
      </c>
      <c r="I120" t="n">
        <v>0</v>
      </c>
      <c r="J120" t="n">
        <v>0</v>
      </c>
      <c r="K120" t="n">
        <v>0</v>
      </c>
      <c r="L120" t="n">
        <v>0</v>
      </c>
      <c r="M120" t="n">
        <v>0</v>
      </c>
      <c r="N120" t="n">
        <v>0</v>
      </c>
      <c r="O120" t="n">
        <v>0</v>
      </c>
      <c r="P120" t="n">
        <v>0</v>
      </c>
      <c r="Q120" t="n">
        <v>0</v>
      </c>
      <c r="R120" s="2" t="inlineStr"/>
    </row>
    <row r="121" ht="15" customHeight="1">
      <c r="A121" t="inlineStr">
        <is>
          <t>A 23239-2023</t>
        </is>
      </c>
      <c r="B121" s="1" t="n">
        <v>45075</v>
      </c>
      <c r="C121" s="1" t="n">
        <v>45512</v>
      </c>
      <c r="D121" t="inlineStr">
        <is>
          <t>UPPSALA LÄN</t>
        </is>
      </c>
      <c r="E121" t="inlineStr">
        <is>
          <t>KNIVSTA</t>
        </is>
      </c>
      <c r="G121" t="n">
        <v>1.8</v>
      </c>
      <c r="H121" t="n">
        <v>0</v>
      </c>
      <c r="I121" t="n">
        <v>0</v>
      </c>
      <c r="J121" t="n">
        <v>0</v>
      </c>
      <c r="K121" t="n">
        <v>0</v>
      </c>
      <c r="L121" t="n">
        <v>0</v>
      </c>
      <c r="M121" t="n">
        <v>0</v>
      </c>
      <c r="N121" t="n">
        <v>0</v>
      </c>
      <c r="O121" t="n">
        <v>0</v>
      </c>
      <c r="P121" t="n">
        <v>0</v>
      </c>
      <c r="Q121" t="n">
        <v>0</v>
      </c>
      <c r="R121" s="2" t="inlineStr"/>
    </row>
    <row r="122" ht="15" customHeight="1">
      <c r="A122" t="inlineStr">
        <is>
          <t>A 23466-2023</t>
        </is>
      </c>
      <c r="B122" s="1" t="n">
        <v>45076</v>
      </c>
      <c r="C122" s="1" t="n">
        <v>45512</v>
      </c>
      <c r="D122" t="inlineStr">
        <is>
          <t>UPPSALA LÄN</t>
        </is>
      </c>
      <c r="E122" t="inlineStr">
        <is>
          <t>KNIVSTA</t>
        </is>
      </c>
      <c r="G122" t="n">
        <v>2.6</v>
      </c>
      <c r="H122" t="n">
        <v>0</v>
      </c>
      <c r="I122" t="n">
        <v>0</v>
      </c>
      <c r="J122" t="n">
        <v>0</v>
      </c>
      <c r="K122" t="n">
        <v>0</v>
      </c>
      <c r="L122" t="n">
        <v>0</v>
      </c>
      <c r="M122" t="n">
        <v>0</v>
      </c>
      <c r="N122" t="n">
        <v>0</v>
      </c>
      <c r="O122" t="n">
        <v>0</v>
      </c>
      <c r="P122" t="n">
        <v>0</v>
      </c>
      <c r="Q122" t="n">
        <v>0</v>
      </c>
      <c r="R122" s="2" t="inlineStr"/>
    </row>
    <row r="123" ht="15" customHeight="1">
      <c r="A123" t="inlineStr">
        <is>
          <t>A 29220-2023</t>
        </is>
      </c>
      <c r="B123" s="1" t="n">
        <v>45097</v>
      </c>
      <c r="C123" s="1" t="n">
        <v>45512</v>
      </c>
      <c r="D123" t="inlineStr">
        <is>
          <t>UPPSALA LÄN</t>
        </is>
      </c>
      <c r="E123" t="inlineStr">
        <is>
          <t>KNIVSTA</t>
        </is>
      </c>
      <c r="G123" t="n">
        <v>21.3</v>
      </c>
      <c r="H123" t="n">
        <v>0</v>
      </c>
      <c r="I123" t="n">
        <v>0</v>
      </c>
      <c r="J123" t="n">
        <v>0</v>
      </c>
      <c r="K123" t="n">
        <v>0</v>
      </c>
      <c r="L123" t="n">
        <v>0</v>
      </c>
      <c r="M123" t="n">
        <v>0</v>
      </c>
      <c r="N123" t="n">
        <v>0</v>
      </c>
      <c r="O123" t="n">
        <v>0</v>
      </c>
      <c r="P123" t="n">
        <v>0</v>
      </c>
      <c r="Q123" t="n">
        <v>0</v>
      </c>
      <c r="R123" s="2" t="inlineStr"/>
    </row>
    <row r="124" ht="15" customHeight="1">
      <c r="A124" t="inlineStr">
        <is>
          <t>A 30111-2023</t>
        </is>
      </c>
      <c r="B124" s="1" t="n">
        <v>45110</v>
      </c>
      <c r="C124" s="1" t="n">
        <v>45512</v>
      </c>
      <c r="D124" t="inlineStr">
        <is>
          <t>UPPSALA LÄN</t>
        </is>
      </c>
      <c r="E124" t="inlineStr">
        <is>
          <t>KNIVSTA</t>
        </is>
      </c>
      <c r="F124" t="inlineStr">
        <is>
          <t>Holmen skog AB</t>
        </is>
      </c>
      <c r="G124" t="n">
        <v>2.8</v>
      </c>
      <c r="H124" t="n">
        <v>0</v>
      </c>
      <c r="I124" t="n">
        <v>0</v>
      </c>
      <c r="J124" t="n">
        <v>0</v>
      </c>
      <c r="K124" t="n">
        <v>0</v>
      </c>
      <c r="L124" t="n">
        <v>0</v>
      </c>
      <c r="M124" t="n">
        <v>0</v>
      </c>
      <c r="N124" t="n">
        <v>0</v>
      </c>
      <c r="O124" t="n">
        <v>0</v>
      </c>
      <c r="P124" t="n">
        <v>0</v>
      </c>
      <c r="Q124" t="n">
        <v>0</v>
      </c>
      <c r="R124" s="2" t="inlineStr"/>
    </row>
    <row r="125" ht="15" customHeight="1">
      <c r="A125" t="inlineStr">
        <is>
          <t>A 30128-2023</t>
        </is>
      </c>
      <c r="B125" s="1" t="n">
        <v>45110</v>
      </c>
      <c r="C125" s="1" t="n">
        <v>45512</v>
      </c>
      <c r="D125" t="inlineStr">
        <is>
          <t>UPPSALA LÄN</t>
        </is>
      </c>
      <c r="E125" t="inlineStr">
        <is>
          <t>KNIVSTA</t>
        </is>
      </c>
      <c r="F125" t="inlineStr">
        <is>
          <t>Holmen skog AB</t>
        </is>
      </c>
      <c r="G125" t="n">
        <v>1.5</v>
      </c>
      <c r="H125" t="n">
        <v>0</v>
      </c>
      <c r="I125" t="n">
        <v>0</v>
      </c>
      <c r="J125" t="n">
        <v>0</v>
      </c>
      <c r="K125" t="n">
        <v>0</v>
      </c>
      <c r="L125" t="n">
        <v>0</v>
      </c>
      <c r="M125" t="n">
        <v>0</v>
      </c>
      <c r="N125" t="n">
        <v>0</v>
      </c>
      <c r="O125" t="n">
        <v>0</v>
      </c>
      <c r="P125" t="n">
        <v>0</v>
      </c>
      <c r="Q125" t="n">
        <v>0</v>
      </c>
      <c r="R125" s="2" t="inlineStr"/>
    </row>
    <row r="126" ht="15" customHeight="1">
      <c r="A126" t="inlineStr">
        <is>
          <t>A 30167-2023</t>
        </is>
      </c>
      <c r="B126" s="1" t="n">
        <v>45110</v>
      </c>
      <c r="C126" s="1" t="n">
        <v>45512</v>
      </c>
      <c r="D126" t="inlineStr">
        <is>
          <t>UPPSALA LÄN</t>
        </is>
      </c>
      <c r="E126" t="inlineStr">
        <is>
          <t>KNIVSTA</t>
        </is>
      </c>
      <c r="F126" t="inlineStr">
        <is>
          <t>Holmen skog AB</t>
        </is>
      </c>
      <c r="G126" t="n">
        <v>1</v>
      </c>
      <c r="H126" t="n">
        <v>0</v>
      </c>
      <c r="I126" t="n">
        <v>0</v>
      </c>
      <c r="J126" t="n">
        <v>0</v>
      </c>
      <c r="K126" t="n">
        <v>0</v>
      </c>
      <c r="L126" t="n">
        <v>0</v>
      </c>
      <c r="M126" t="n">
        <v>0</v>
      </c>
      <c r="N126" t="n">
        <v>0</v>
      </c>
      <c r="O126" t="n">
        <v>0</v>
      </c>
      <c r="P126" t="n">
        <v>0</v>
      </c>
      <c r="Q126" t="n">
        <v>0</v>
      </c>
      <c r="R126" s="2" t="inlineStr"/>
    </row>
    <row r="127" ht="15" customHeight="1">
      <c r="A127" t="inlineStr">
        <is>
          <t>A 30178-2023</t>
        </is>
      </c>
      <c r="B127" s="1" t="n">
        <v>45110</v>
      </c>
      <c r="C127" s="1" t="n">
        <v>45512</v>
      </c>
      <c r="D127" t="inlineStr">
        <is>
          <t>UPPSALA LÄN</t>
        </is>
      </c>
      <c r="E127" t="inlineStr">
        <is>
          <t>KNIVSTA</t>
        </is>
      </c>
      <c r="F127" t="inlineStr">
        <is>
          <t>Holmen skog AB</t>
        </is>
      </c>
      <c r="G127" t="n">
        <v>2.9</v>
      </c>
      <c r="H127" t="n">
        <v>0</v>
      </c>
      <c r="I127" t="n">
        <v>0</v>
      </c>
      <c r="J127" t="n">
        <v>0</v>
      </c>
      <c r="K127" t="n">
        <v>0</v>
      </c>
      <c r="L127" t="n">
        <v>0</v>
      </c>
      <c r="M127" t="n">
        <v>0</v>
      </c>
      <c r="N127" t="n">
        <v>0</v>
      </c>
      <c r="O127" t="n">
        <v>0</v>
      </c>
      <c r="P127" t="n">
        <v>0</v>
      </c>
      <c r="Q127" t="n">
        <v>0</v>
      </c>
      <c r="R127" s="2" t="inlineStr"/>
    </row>
    <row r="128" ht="15" customHeight="1">
      <c r="A128" t="inlineStr">
        <is>
          <t>A 30693-2023</t>
        </is>
      </c>
      <c r="B128" s="1" t="n">
        <v>45112</v>
      </c>
      <c r="C128" s="1" t="n">
        <v>45512</v>
      </c>
      <c r="D128" t="inlineStr">
        <is>
          <t>UPPSALA LÄN</t>
        </is>
      </c>
      <c r="E128" t="inlineStr">
        <is>
          <t>KNIVSTA</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30719-2023</t>
        </is>
      </c>
      <c r="B129" s="1" t="n">
        <v>45112</v>
      </c>
      <c r="C129" s="1" t="n">
        <v>45512</v>
      </c>
      <c r="D129" t="inlineStr">
        <is>
          <t>UPPSALA LÄN</t>
        </is>
      </c>
      <c r="E129" t="inlineStr">
        <is>
          <t>KNIVSTA</t>
        </is>
      </c>
      <c r="F129" t="inlineStr">
        <is>
          <t>Holmen skog AB</t>
        </is>
      </c>
      <c r="G129" t="n">
        <v>4.9</v>
      </c>
      <c r="H129" t="n">
        <v>0</v>
      </c>
      <c r="I129" t="n">
        <v>0</v>
      </c>
      <c r="J129" t="n">
        <v>0</v>
      </c>
      <c r="K129" t="n">
        <v>0</v>
      </c>
      <c r="L129" t="n">
        <v>0</v>
      </c>
      <c r="M129" t="n">
        <v>0</v>
      </c>
      <c r="N129" t="n">
        <v>0</v>
      </c>
      <c r="O129" t="n">
        <v>0</v>
      </c>
      <c r="P129" t="n">
        <v>0</v>
      </c>
      <c r="Q129" t="n">
        <v>0</v>
      </c>
      <c r="R129" s="2" t="inlineStr"/>
    </row>
    <row r="130" ht="15" customHeight="1">
      <c r="A130" t="inlineStr">
        <is>
          <t>A 30627-2023</t>
        </is>
      </c>
      <c r="B130" s="1" t="n">
        <v>45112</v>
      </c>
      <c r="C130" s="1" t="n">
        <v>45512</v>
      </c>
      <c r="D130" t="inlineStr">
        <is>
          <t>UPPSALA LÄN</t>
        </is>
      </c>
      <c r="E130" t="inlineStr">
        <is>
          <t>KNIVSTA</t>
        </is>
      </c>
      <c r="F130" t="inlineStr">
        <is>
          <t>Holmen skog AB</t>
        </is>
      </c>
      <c r="G130" t="n">
        <v>1.6</v>
      </c>
      <c r="H130" t="n">
        <v>0</v>
      </c>
      <c r="I130" t="n">
        <v>0</v>
      </c>
      <c r="J130" t="n">
        <v>0</v>
      </c>
      <c r="K130" t="n">
        <v>0</v>
      </c>
      <c r="L130" t="n">
        <v>0</v>
      </c>
      <c r="M130" t="n">
        <v>0</v>
      </c>
      <c r="N130" t="n">
        <v>0</v>
      </c>
      <c r="O130" t="n">
        <v>0</v>
      </c>
      <c r="P130" t="n">
        <v>0</v>
      </c>
      <c r="Q130" t="n">
        <v>0</v>
      </c>
      <c r="R130" s="2" t="inlineStr"/>
    </row>
    <row r="131" ht="15" customHeight="1">
      <c r="A131" t="inlineStr">
        <is>
          <t>A 30764-2023</t>
        </is>
      </c>
      <c r="B131" s="1" t="n">
        <v>45112</v>
      </c>
      <c r="C131" s="1" t="n">
        <v>45512</v>
      </c>
      <c r="D131" t="inlineStr">
        <is>
          <t>UPPSALA LÄN</t>
        </is>
      </c>
      <c r="E131" t="inlineStr">
        <is>
          <t>KNIVSTA</t>
        </is>
      </c>
      <c r="F131" t="inlineStr">
        <is>
          <t>Holmen skog AB</t>
        </is>
      </c>
      <c r="G131" t="n">
        <v>0.9</v>
      </c>
      <c r="H131" t="n">
        <v>0</v>
      </c>
      <c r="I131" t="n">
        <v>0</v>
      </c>
      <c r="J131" t="n">
        <v>0</v>
      </c>
      <c r="K131" t="n">
        <v>0</v>
      </c>
      <c r="L131" t="n">
        <v>0</v>
      </c>
      <c r="M131" t="n">
        <v>0</v>
      </c>
      <c r="N131" t="n">
        <v>0</v>
      </c>
      <c r="O131" t="n">
        <v>0</v>
      </c>
      <c r="P131" t="n">
        <v>0</v>
      </c>
      <c r="Q131" t="n">
        <v>0</v>
      </c>
      <c r="R131" s="2" t="inlineStr"/>
    </row>
    <row r="132" ht="15" customHeight="1">
      <c r="A132" t="inlineStr">
        <is>
          <t>A 32654-2023</t>
        </is>
      </c>
      <c r="B132" s="1" t="n">
        <v>45121</v>
      </c>
      <c r="C132" s="1" t="n">
        <v>45512</v>
      </c>
      <c r="D132" t="inlineStr">
        <is>
          <t>UPPSALA LÄN</t>
        </is>
      </c>
      <c r="E132" t="inlineStr">
        <is>
          <t>KNIVSTA</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32658-2023</t>
        </is>
      </c>
      <c r="B133" s="1" t="n">
        <v>45121</v>
      </c>
      <c r="C133" s="1" t="n">
        <v>45512</v>
      </c>
      <c r="D133" t="inlineStr">
        <is>
          <t>UPPSALA LÄN</t>
        </is>
      </c>
      <c r="E133" t="inlineStr">
        <is>
          <t>KNIVSTA</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32663-2023</t>
        </is>
      </c>
      <c r="B134" s="1" t="n">
        <v>45121</v>
      </c>
      <c r="C134" s="1" t="n">
        <v>45512</v>
      </c>
      <c r="D134" t="inlineStr">
        <is>
          <t>UPPSALA LÄN</t>
        </is>
      </c>
      <c r="E134" t="inlineStr">
        <is>
          <t>KNIVSTA</t>
        </is>
      </c>
      <c r="F134" t="inlineStr">
        <is>
          <t>Holmen skog AB</t>
        </is>
      </c>
      <c r="G134" t="n">
        <v>0.7</v>
      </c>
      <c r="H134" t="n">
        <v>0</v>
      </c>
      <c r="I134" t="n">
        <v>0</v>
      </c>
      <c r="J134" t="n">
        <v>0</v>
      </c>
      <c r="K134" t="n">
        <v>0</v>
      </c>
      <c r="L134" t="n">
        <v>0</v>
      </c>
      <c r="M134" t="n">
        <v>0</v>
      </c>
      <c r="N134" t="n">
        <v>0</v>
      </c>
      <c r="O134" t="n">
        <v>0</v>
      </c>
      <c r="P134" t="n">
        <v>0</v>
      </c>
      <c r="Q134" t="n">
        <v>0</v>
      </c>
      <c r="R134" s="2" t="inlineStr"/>
    </row>
    <row r="135" ht="15" customHeight="1">
      <c r="A135" t="inlineStr">
        <is>
          <t>A 33776-2023</t>
        </is>
      </c>
      <c r="B135" s="1" t="n">
        <v>45133</v>
      </c>
      <c r="C135" s="1" t="n">
        <v>45512</v>
      </c>
      <c r="D135" t="inlineStr">
        <is>
          <t>UPPSALA LÄN</t>
        </is>
      </c>
      <c r="E135" t="inlineStr">
        <is>
          <t>KNIVSTA</t>
        </is>
      </c>
      <c r="F135" t="inlineStr">
        <is>
          <t>Holmen skog AB</t>
        </is>
      </c>
      <c r="G135" t="n">
        <v>3.9</v>
      </c>
      <c r="H135" t="n">
        <v>0</v>
      </c>
      <c r="I135" t="n">
        <v>0</v>
      </c>
      <c r="J135" t="n">
        <v>0</v>
      </c>
      <c r="K135" t="n">
        <v>0</v>
      </c>
      <c r="L135" t="n">
        <v>0</v>
      </c>
      <c r="M135" t="n">
        <v>0</v>
      </c>
      <c r="N135" t="n">
        <v>0</v>
      </c>
      <c r="O135" t="n">
        <v>0</v>
      </c>
      <c r="P135" t="n">
        <v>0</v>
      </c>
      <c r="Q135" t="n">
        <v>0</v>
      </c>
      <c r="R135" s="2" t="inlineStr"/>
    </row>
    <row r="136" ht="15" customHeight="1">
      <c r="A136" t="inlineStr">
        <is>
          <t>A 33777-2023</t>
        </is>
      </c>
      <c r="B136" s="1" t="n">
        <v>45133</v>
      </c>
      <c r="C136" s="1" t="n">
        <v>45512</v>
      </c>
      <c r="D136" t="inlineStr">
        <is>
          <t>UPPSALA LÄN</t>
        </is>
      </c>
      <c r="E136" t="inlineStr">
        <is>
          <t>KNIVSTA</t>
        </is>
      </c>
      <c r="F136" t="inlineStr">
        <is>
          <t>Holmen skog AB</t>
        </is>
      </c>
      <c r="G136" t="n">
        <v>2.3</v>
      </c>
      <c r="H136" t="n">
        <v>0</v>
      </c>
      <c r="I136" t="n">
        <v>0</v>
      </c>
      <c r="J136" t="n">
        <v>0</v>
      </c>
      <c r="K136" t="n">
        <v>0</v>
      </c>
      <c r="L136" t="n">
        <v>0</v>
      </c>
      <c r="M136" t="n">
        <v>0</v>
      </c>
      <c r="N136" t="n">
        <v>0</v>
      </c>
      <c r="O136" t="n">
        <v>0</v>
      </c>
      <c r="P136" t="n">
        <v>0</v>
      </c>
      <c r="Q136" t="n">
        <v>0</v>
      </c>
      <c r="R136" s="2" t="inlineStr"/>
    </row>
    <row r="137" ht="15" customHeight="1">
      <c r="A137" t="inlineStr">
        <is>
          <t>A 38584-2023</t>
        </is>
      </c>
      <c r="B137" s="1" t="n">
        <v>45162</v>
      </c>
      <c r="C137" s="1" t="n">
        <v>45512</v>
      </c>
      <c r="D137" t="inlineStr">
        <is>
          <t>UPPSALA LÄN</t>
        </is>
      </c>
      <c r="E137" t="inlineStr">
        <is>
          <t>KNIVSTA</t>
        </is>
      </c>
      <c r="F137" t="inlineStr">
        <is>
          <t>Holmen skog AB</t>
        </is>
      </c>
      <c r="G137" t="n">
        <v>6</v>
      </c>
      <c r="H137" t="n">
        <v>0</v>
      </c>
      <c r="I137" t="n">
        <v>0</v>
      </c>
      <c r="J137" t="n">
        <v>0</v>
      </c>
      <c r="K137" t="n">
        <v>0</v>
      </c>
      <c r="L137" t="n">
        <v>0</v>
      </c>
      <c r="M137" t="n">
        <v>0</v>
      </c>
      <c r="N137" t="n">
        <v>0</v>
      </c>
      <c r="O137" t="n">
        <v>0</v>
      </c>
      <c r="P137" t="n">
        <v>0</v>
      </c>
      <c r="Q137" t="n">
        <v>0</v>
      </c>
      <c r="R137" s="2" t="inlineStr"/>
    </row>
    <row r="138" ht="15" customHeight="1">
      <c r="A138" t="inlineStr">
        <is>
          <t>A 40024-2023</t>
        </is>
      </c>
      <c r="B138" s="1" t="n">
        <v>45167</v>
      </c>
      <c r="C138" s="1" t="n">
        <v>45512</v>
      </c>
      <c r="D138" t="inlineStr">
        <is>
          <t>UPPSALA LÄN</t>
        </is>
      </c>
      <c r="E138" t="inlineStr">
        <is>
          <t>KNIVSTA</t>
        </is>
      </c>
      <c r="G138" t="n">
        <v>5.3</v>
      </c>
      <c r="H138" t="n">
        <v>0</v>
      </c>
      <c r="I138" t="n">
        <v>0</v>
      </c>
      <c r="J138" t="n">
        <v>0</v>
      </c>
      <c r="K138" t="n">
        <v>0</v>
      </c>
      <c r="L138" t="n">
        <v>0</v>
      </c>
      <c r="M138" t="n">
        <v>0</v>
      </c>
      <c r="N138" t="n">
        <v>0</v>
      </c>
      <c r="O138" t="n">
        <v>0</v>
      </c>
      <c r="P138" t="n">
        <v>0</v>
      </c>
      <c r="Q138" t="n">
        <v>0</v>
      </c>
      <c r="R138" s="2" t="inlineStr"/>
    </row>
    <row r="139" ht="15" customHeight="1">
      <c r="A139" t="inlineStr">
        <is>
          <t>A 43699-2023</t>
        </is>
      </c>
      <c r="B139" s="1" t="n">
        <v>45187</v>
      </c>
      <c r="C139" s="1" t="n">
        <v>45512</v>
      </c>
      <c r="D139" t="inlineStr">
        <is>
          <t>UPPSALA LÄN</t>
        </is>
      </c>
      <c r="E139" t="inlineStr">
        <is>
          <t>KNIVSTA</t>
        </is>
      </c>
      <c r="G139" t="n">
        <v>5.2</v>
      </c>
      <c r="H139" t="n">
        <v>0</v>
      </c>
      <c r="I139" t="n">
        <v>0</v>
      </c>
      <c r="J139" t="n">
        <v>0</v>
      </c>
      <c r="K139" t="n">
        <v>0</v>
      </c>
      <c r="L139" t="n">
        <v>0</v>
      </c>
      <c r="M139" t="n">
        <v>0</v>
      </c>
      <c r="N139" t="n">
        <v>0</v>
      </c>
      <c r="O139" t="n">
        <v>0</v>
      </c>
      <c r="P139" t="n">
        <v>0</v>
      </c>
      <c r="Q139" t="n">
        <v>0</v>
      </c>
      <c r="R139" s="2" t="inlineStr"/>
    </row>
    <row r="140" ht="15" customHeight="1">
      <c r="A140" t="inlineStr">
        <is>
          <t>A 43905-2023</t>
        </is>
      </c>
      <c r="B140" s="1" t="n">
        <v>45187</v>
      </c>
      <c r="C140" s="1" t="n">
        <v>45512</v>
      </c>
      <c r="D140" t="inlineStr">
        <is>
          <t>UPPSALA LÄN</t>
        </is>
      </c>
      <c r="E140" t="inlineStr">
        <is>
          <t>KNIVSTA</t>
        </is>
      </c>
      <c r="F140" t="inlineStr">
        <is>
          <t>Kyrkan</t>
        </is>
      </c>
      <c r="G140" t="n">
        <v>2.4</v>
      </c>
      <c r="H140" t="n">
        <v>0</v>
      </c>
      <c r="I140" t="n">
        <v>0</v>
      </c>
      <c r="J140" t="n">
        <v>0</v>
      </c>
      <c r="K140" t="n">
        <v>0</v>
      </c>
      <c r="L140" t="n">
        <v>0</v>
      </c>
      <c r="M140" t="n">
        <v>0</v>
      </c>
      <c r="N140" t="n">
        <v>0</v>
      </c>
      <c r="O140" t="n">
        <v>0</v>
      </c>
      <c r="P140" t="n">
        <v>0</v>
      </c>
      <c r="Q140" t="n">
        <v>0</v>
      </c>
      <c r="R140" s="2" t="inlineStr"/>
    </row>
    <row r="141" ht="15" customHeight="1">
      <c r="A141" t="inlineStr">
        <is>
          <t>A 43908-2023</t>
        </is>
      </c>
      <c r="B141" s="1" t="n">
        <v>45187</v>
      </c>
      <c r="C141" s="1" t="n">
        <v>45512</v>
      </c>
      <c r="D141" t="inlineStr">
        <is>
          <t>UPPSALA LÄN</t>
        </is>
      </c>
      <c r="E141" t="inlineStr">
        <is>
          <t>KNIVSTA</t>
        </is>
      </c>
      <c r="F141" t="inlineStr">
        <is>
          <t>Kyrkan</t>
        </is>
      </c>
      <c r="G141" t="n">
        <v>1.7</v>
      </c>
      <c r="H141" t="n">
        <v>0</v>
      </c>
      <c r="I141" t="n">
        <v>0</v>
      </c>
      <c r="J141" t="n">
        <v>0</v>
      </c>
      <c r="K141" t="n">
        <v>0</v>
      </c>
      <c r="L141" t="n">
        <v>0</v>
      </c>
      <c r="M141" t="n">
        <v>0</v>
      </c>
      <c r="N141" t="n">
        <v>0</v>
      </c>
      <c r="O141" t="n">
        <v>0</v>
      </c>
      <c r="P141" t="n">
        <v>0</v>
      </c>
      <c r="Q141" t="n">
        <v>0</v>
      </c>
      <c r="R141" s="2" t="inlineStr"/>
    </row>
    <row r="142" ht="15" customHeight="1">
      <c r="A142" t="inlineStr">
        <is>
          <t>A 45525-2023</t>
        </is>
      </c>
      <c r="B142" s="1" t="n">
        <v>45194</v>
      </c>
      <c r="C142" s="1" t="n">
        <v>45512</v>
      </c>
      <c r="D142" t="inlineStr">
        <is>
          <t>UPPSALA LÄN</t>
        </is>
      </c>
      <c r="E142" t="inlineStr">
        <is>
          <t>KNIVSTA</t>
        </is>
      </c>
      <c r="G142" t="n">
        <v>0.7</v>
      </c>
      <c r="H142" t="n">
        <v>0</v>
      </c>
      <c r="I142" t="n">
        <v>0</v>
      </c>
      <c r="J142" t="n">
        <v>0</v>
      </c>
      <c r="K142" t="n">
        <v>0</v>
      </c>
      <c r="L142" t="n">
        <v>0</v>
      </c>
      <c r="M142" t="n">
        <v>0</v>
      </c>
      <c r="N142" t="n">
        <v>0</v>
      </c>
      <c r="O142" t="n">
        <v>0</v>
      </c>
      <c r="P142" t="n">
        <v>0</v>
      </c>
      <c r="Q142" t="n">
        <v>0</v>
      </c>
      <c r="R142" s="2" t="inlineStr"/>
    </row>
    <row r="143" ht="15" customHeight="1">
      <c r="A143" t="inlineStr">
        <is>
          <t>A 46160-2023</t>
        </is>
      </c>
      <c r="B143" s="1" t="n">
        <v>45196</v>
      </c>
      <c r="C143" s="1" t="n">
        <v>45512</v>
      </c>
      <c r="D143" t="inlineStr">
        <is>
          <t>UPPSALA LÄN</t>
        </is>
      </c>
      <c r="E143" t="inlineStr">
        <is>
          <t>KNIVSTA</t>
        </is>
      </c>
      <c r="G143" t="n">
        <v>0.5</v>
      </c>
      <c r="H143" t="n">
        <v>0</v>
      </c>
      <c r="I143" t="n">
        <v>0</v>
      </c>
      <c r="J143" t="n">
        <v>0</v>
      </c>
      <c r="K143" t="n">
        <v>0</v>
      </c>
      <c r="L143" t="n">
        <v>0</v>
      </c>
      <c r="M143" t="n">
        <v>0</v>
      </c>
      <c r="N143" t="n">
        <v>0</v>
      </c>
      <c r="O143" t="n">
        <v>0</v>
      </c>
      <c r="P143" t="n">
        <v>0</v>
      </c>
      <c r="Q143" t="n">
        <v>0</v>
      </c>
      <c r="R143" s="2" t="inlineStr"/>
    </row>
    <row r="144" ht="15" customHeight="1">
      <c r="A144" t="inlineStr">
        <is>
          <t>A 49894-2023</t>
        </is>
      </c>
      <c r="B144" s="1" t="n">
        <v>45213</v>
      </c>
      <c r="C144" s="1" t="n">
        <v>45512</v>
      </c>
      <c r="D144" t="inlineStr">
        <is>
          <t>UPPSALA LÄN</t>
        </is>
      </c>
      <c r="E144" t="inlineStr">
        <is>
          <t>KNIVSTA</t>
        </is>
      </c>
      <c r="G144" t="n">
        <v>17.8</v>
      </c>
      <c r="H144" t="n">
        <v>0</v>
      </c>
      <c r="I144" t="n">
        <v>0</v>
      </c>
      <c r="J144" t="n">
        <v>0</v>
      </c>
      <c r="K144" t="n">
        <v>0</v>
      </c>
      <c r="L144" t="n">
        <v>0</v>
      </c>
      <c r="M144" t="n">
        <v>0</v>
      </c>
      <c r="N144" t="n">
        <v>0</v>
      </c>
      <c r="O144" t="n">
        <v>0</v>
      </c>
      <c r="P144" t="n">
        <v>0</v>
      </c>
      <c r="Q144" t="n">
        <v>0</v>
      </c>
      <c r="R144" s="2" t="inlineStr"/>
    </row>
    <row r="145" ht="15" customHeight="1">
      <c r="A145" t="inlineStr">
        <is>
          <t>A 49896-2023</t>
        </is>
      </c>
      <c r="B145" s="1" t="n">
        <v>45213</v>
      </c>
      <c r="C145" s="1" t="n">
        <v>45512</v>
      </c>
      <c r="D145" t="inlineStr">
        <is>
          <t>UPPSALA LÄN</t>
        </is>
      </c>
      <c r="E145" t="inlineStr">
        <is>
          <t>KNIVSTA</t>
        </is>
      </c>
      <c r="G145" t="n">
        <v>4.8</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45512</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45512</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45512</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45512</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45512</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45512</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45512</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45512</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45512</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45512</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45512</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45512</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45512</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45512</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45512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45512</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45512</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45512</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45512</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45512</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45512</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45512</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45512</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45512</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45512</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45512</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45512</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45512</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45512</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45512</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45512</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45512</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45512</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c r="A179" t="inlineStr">
        <is>
          <t>A 31070-2024</t>
        </is>
      </c>
      <c r="B179" s="1" t="n">
        <v>45502</v>
      </c>
      <c r="C179" s="1" t="n">
        <v>45512</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2024-08-08T10:09:51Z</dcterms:created>
  <dcterms:modified xmlns:dcterms="http://purl.org/dc/terms/" xmlns:xsi="http://www.w3.org/2001/XMLSchema-instance" xsi:type="dcterms:W3CDTF">2024-08-08T10:09:52Z</dcterms:modified>
</cp:coreProperties>
</file>