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46248</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46248</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46248</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46248</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46248</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46248</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46248</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46248</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46248</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46248</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17101-2023</t>
        </is>
      </c>
      <c r="B12" t="inlineStr">
        <is>
          <t>avverkningsanmälan</t>
        </is>
      </c>
      <c r="C12" t="inlineStr">
        <is>
          <t>Föryngringsavverkning</t>
        </is>
      </c>
      <c r="D12" s="1" t="n">
        <v>45034</v>
      </c>
      <c r="E12" s="1" t="n">
        <v>46248</v>
      </c>
      <c r="F12" t="inlineStr">
        <is>
          <t>UPPSALA LÄN</t>
        </is>
      </c>
      <c r="G12" t="inlineStr">
        <is>
          <t>KNIVSTA</t>
        </is>
      </c>
      <c r="I12" t="n">
        <v>4.2</v>
      </c>
      <c r="J12" t="n">
        <v>3</v>
      </c>
      <c r="K12" t="n">
        <v>2</v>
      </c>
      <c r="L12" t="n">
        <v>3</v>
      </c>
      <c r="M12" t="n">
        <v>0</v>
      </c>
      <c r="N12" t="n">
        <v>0</v>
      </c>
      <c r="O12" t="n">
        <v>0</v>
      </c>
      <c r="P12" t="n">
        <v>0</v>
      </c>
      <c r="Q12" t="n">
        <v>3</v>
      </c>
      <c r="R12" t="n">
        <v>0</v>
      </c>
      <c r="S12" t="n">
        <v>5</v>
      </c>
      <c r="T12" t="n">
        <v>5</v>
      </c>
      <c r="U12" t="n">
        <v>4</v>
      </c>
      <c r="V12" s="2" t="inlineStr">
        <is>
          <t>Entita
Mindre hackspett
Ullticka
Grön sköldmossa
Trådticka</t>
        </is>
      </c>
      <c r="W12">
        <f>HYPERLINK("https://klasma.github.io/Logging_0330/artfynd/A 17101-2023 artfynd.xlsx", "A 17101-2023")</f>
        <v/>
      </c>
      <c r="X12">
        <f>HYPERLINK("https://klasma.github.io/Logging_0330/kartor/A 17101-2023 karta.png", "A 17101-2023")</f>
        <v/>
      </c>
      <c r="Y12">
        <f>HYPERLINK("https://klasma.github.io/Logging_0330/kartor_geotiff/A 17101-2023 georefererad karta.tif", "A 17101-2023")</f>
        <v/>
      </c>
      <c r="AA12">
        <f>HYPERLINK("https://klasma.github.io/Logging_0330/klagomål/A 17101-2023 FSC-klagomål.docx", "A 17101-2023")</f>
        <v/>
      </c>
      <c r="AB12">
        <f>HYPERLINK("https://klasma.github.io/Logging_0330/klagomålsmail/A 17101-2023 FSC-klagomål mail.docx", "A 17101-2023")</f>
        <v/>
      </c>
      <c r="AC12">
        <f>HYPERLINK("https://klasma.github.io/Logging_0330/tillsyn/A 17101-2023 tillsynsbegäran.docx", "A 17101-2023")</f>
        <v/>
      </c>
      <c r="AD12">
        <f>HYPERLINK("https://klasma.github.io/Logging_0330/tillsynsmail/A 17101-2023 tillsynsbegäran mail.docx", "A 17101-2023")</f>
        <v/>
      </c>
      <c r="AE12">
        <f>HYPERLINK("https://klasma.github.io/Logging_0330/fåglar/A 17101-2023 prioriterade fågelarter.docx", "A 17101-2023")</f>
        <v/>
      </c>
    </row>
    <row r="13" ht="15" customHeight="1">
      <c r="A13" t="inlineStr">
        <is>
          <t>A 12958-2026</t>
        </is>
      </c>
      <c r="B13" t="inlineStr">
        <is>
          <t>avverkningsanmälan</t>
        </is>
      </c>
      <c r="C13" t="inlineStr">
        <is>
          <t>Föryngringsavverkning</t>
        </is>
      </c>
      <c r="D13" s="1" t="n">
        <v>46092</v>
      </c>
      <c r="E13" s="1" t="n">
        <v>46248</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9553-2025</t>
        </is>
      </c>
      <c r="B14" t="inlineStr">
        <is>
          <t>avverkningsanmälan</t>
        </is>
      </c>
      <c r="C14" t="inlineStr">
        <is>
          <t>Föryngringsavverkning</t>
        </is>
      </c>
      <c r="D14" s="1" t="n">
        <v>45715</v>
      </c>
      <c r="E14" s="1" t="n">
        <v>46248</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46248</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46248</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46248</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46248</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46248</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46248</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33770-2023</t>
        </is>
      </c>
      <c r="B21" t="inlineStr">
        <is>
          <t>avverkningsanmälan</t>
        </is>
      </c>
      <c r="C21" t="inlineStr">
        <is>
          <t>Föryngringsavverkning</t>
        </is>
      </c>
      <c r="D21" s="1" t="n">
        <v>45133</v>
      </c>
      <c r="E21" s="1" t="n">
        <v>46248</v>
      </c>
      <c r="F21" t="inlineStr">
        <is>
          <t>UPPSALA LÄN</t>
        </is>
      </c>
      <c r="G21" t="inlineStr">
        <is>
          <t>KNIVSTA</t>
        </is>
      </c>
      <c r="H21" t="inlineStr">
        <is>
          <t>Holmen skog AB</t>
        </is>
      </c>
      <c r="I21" t="n">
        <v>4</v>
      </c>
      <c r="J21" t="n">
        <v>1</v>
      </c>
      <c r="K21" t="n">
        <v>0</v>
      </c>
      <c r="L21" t="n">
        <v>0</v>
      </c>
      <c r="M21" t="n">
        <v>0</v>
      </c>
      <c r="N21" t="n">
        <v>0</v>
      </c>
      <c r="O21" t="n">
        <v>0</v>
      </c>
      <c r="P21" t="n">
        <v>0</v>
      </c>
      <c r="Q21" t="n">
        <v>0</v>
      </c>
      <c r="R21" t="n">
        <v>0</v>
      </c>
      <c r="S21" t="n">
        <v>1</v>
      </c>
      <c r="T21" t="n">
        <v>1</v>
      </c>
      <c r="U21" t="n">
        <v>0</v>
      </c>
      <c r="V21" s="2" t="inlineStr">
        <is>
          <t>Slaguggla</t>
        </is>
      </c>
      <c r="W21">
        <f>HYPERLINK("https://klasma.github.io/Logging_0330/artfynd/A 33770-2023 artfynd.xlsx", "A 33770-2023")</f>
        <v/>
      </c>
      <c r="X21">
        <f>HYPERLINK("https://klasma.github.io/Logging_0330/kartor/A 33770-2023 karta.png", "A 33770-2023")</f>
        <v/>
      </c>
      <c r="Y21">
        <f>HYPERLINK("https://klasma.github.io/Logging_0330/kartor_geotiff/A 33770-2023 georefererad karta.tif", "A 33770-2023")</f>
        <v/>
      </c>
      <c r="AA21">
        <f>HYPERLINK("https://klasma.github.io/Logging_0330/klagomål/A 33770-2023 FSC-klagomål.docx", "A 33770-2023")</f>
        <v/>
      </c>
      <c r="AB21">
        <f>HYPERLINK("https://klasma.github.io/Logging_0330/klagomålsmail/A 33770-2023 FSC-klagomål mail.docx", "A 33770-2023")</f>
        <v/>
      </c>
      <c r="AC21">
        <f>HYPERLINK("https://klasma.github.io/Logging_0330/tillsyn/A 33770-2023 tillsynsbegäran.docx", "A 33770-2023")</f>
        <v/>
      </c>
      <c r="AD21">
        <f>HYPERLINK("https://klasma.github.io/Logging_0330/tillsynsmail/A 33770-2023 tillsynsbegäran mail.docx", "A 33770-2023")</f>
        <v/>
      </c>
      <c r="AE21">
        <f>HYPERLINK("https://klasma.github.io/Logging_0330/fåglar/A 33770-2023 prioriterade fågelarter.docx", "A 33770-2023")</f>
        <v/>
      </c>
    </row>
    <row r="22" ht="15" customHeight="1">
      <c r="A22" t="inlineStr">
        <is>
          <t>A 11405-2025</t>
        </is>
      </c>
      <c r="B22" t="inlineStr">
        <is>
          <t>avverkningsanmälan</t>
        </is>
      </c>
      <c r="C22" t="inlineStr">
        <is>
          <t>Föryngringsavverkning</t>
        </is>
      </c>
      <c r="D22" s="1" t="n">
        <v>45726</v>
      </c>
      <c r="E22" s="1" t="n">
        <v>46248</v>
      </c>
      <c r="F22" t="inlineStr">
        <is>
          <t>UPPSALA LÄN</t>
        </is>
      </c>
      <c r="G22" t="inlineStr">
        <is>
          <t>KNIVSTA</t>
        </is>
      </c>
      <c r="I22" t="n">
        <v>1.6</v>
      </c>
      <c r="J22" t="n">
        <v>0</v>
      </c>
      <c r="K22" t="n">
        <v>0</v>
      </c>
      <c r="L22" t="n">
        <v>0</v>
      </c>
      <c r="M22" t="n">
        <v>1</v>
      </c>
      <c r="N22" t="n">
        <v>0</v>
      </c>
      <c r="O22" t="n">
        <v>0</v>
      </c>
      <c r="P22" t="n">
        <v>0</v>
      </c>
      <c r="Q22" t="n">
        <v>1</v>
      </c>
      <c r="R22" t="n">
        <v>1</v>
      </c>
      <c r="S22" t="n">
        <v>1</v>
      </c>
      <c r="T22" t="n">
        <v>1</v>
      </c>
      <c r="U22" t="n">
        <v>0</v>
      </c>
      <c r="V22" s="2" t="inlineStr">
        <is>
          <t>Fältgentiana</t>
        </is>
      </c>
      <c r="W22">
        <f>HYPERLINK("https://klasma.github.io/Logging_0330/artfynd/A 11405-2025 artfynd.xlsx", "A 11405-2025")</f>
        <v/>
      </c>
      <c r="X22">
        <f>HYPERLINK("https://klasma.github.io/Logging_0330/kartor/A 11405-2025 karta.png", "A 11405-2025")</f>
        <v/>
      </c>
      <c r="Y22">
        <f>HYPERLINK("https://klasma.github.io/Logging_0330/kartor_geotiff/A 11405-2025 georefererad karta.tif", "A 11405-2025")</f>
        <v/>
      </c>
      <c r="AA22">
        <f>HYPERLINK("https://klasma.github.io/Logging_0330/klagomål/A 11405-2025 FSC-klagomål.docx", "A 11405-2025")</f>
        <v/>
      </c>
      <c r="AB22">
        <f>HYPERLINK("https://klasma.github.io/Logging_0330/klagomålsmail/A 11405-2025 FSC-klagomål mail.docx", "A 11405-2025")</f>
        <v/>
      </c>
      <c r="AC22">
        <f>HYPERLINK("https://klasma.github.io/Logging_0330/tillsyn/A 11405-2025 tillsynsbegäran.docx", "A 11405-2025")</f>
        <v/>
      </c>
      <c r="AD22">
        <f>HYPERLINK("https://klasma.github.io/Logging_0330/tillsynsmail/A 11405-2025 tillsynsbegäran mail.docx", "A 11405-2025")</f>
        <v/>
      </c>
    </row>
    <row r="23" ht="15" customHeight="1">
      <c r="A23" t="inlineStr">
        <is>
          <t>A 60885-2021</t>
        </is>
      </c>
      <c r="B23" t="inlineStr">
        <is>
          <t>avverkningsanmälan</t>
        </is>
      </c>
      <c r="C23" t="inlineStr">
        <is>
          <t>Föryngringsavverkning</t>
        </is>
      </c>
      <c r="D23" s="1" t="n">
        <v>44497</v>
      </c>
      <c r="E23" s="1" t="n">
        <v>46248</v>
      </c>
      <c r="F23" t="inlineStr">
        <is>
          <t>UPPSALA LÄN</t>
        </is>
      </c>
      <c r="G23" t="inlineStr">
        <is>
          <t>KNIVSTA</t>
        </is>
      </c>
      <c r="I23" t="n">
        <v>1.5</v>
      </c>
      <c r="J23" t="n">
        <v>0</v>
      </c>
      <c r="K23" t="n">
        <v>1</v>
      </c>
      <c r="L23" t="n">
        <v>0</v>
      </c>
      <c r="M23" t="n">
        <v>0</v>
      </c>
      <c r="N23" t="n">
        <v>0</v>
      </c>
      <c r="O23" t="n">
        <v>0</v>
      </c>
      <c r="P23" t="n">
        <v>0</v>
      </c>
      <c r="Q23" t="n">
        <v>0</v>
      </c>
      <c r="R23" t="n">
        <v>0</v>
      </c>
      <c r="S23" t="n">
        <v>1</v>
      </c>
      <c r="T23" t="n">
        <v>1</v>
      </c>
      <c r="U23" t="n">
        <v>1</v>
      </c>
      <c r="V23" s="2" t="inlineStr">
        <is>
          <t>Sotlav</t>
        </is>
      </c>
      <c r="W23">
        <f>HYPERLINK("https://klasma.github.io/Logging_0330/artfynd/A 60885-2021 artfynd.xlsx", "A 60885-2021")</f>
        <v/>
      </c>
      <c r="X23">
        <f>HYPERLINK("https://klasma.github.io/Logging_0330/kartor/A 60885-2021 karta.png", "A 60885-2021")</f>
        <v/>
      </c>
      <c r="Y23">
        <f>HYPERLINK("https://klasma.github.io/Logging_0330/kartor_geotiff/A 60885-2021 georefererad karta.tif", "A 60885-2021")</f>
        <v/>
      </c>
      <c r="AA23">
        <f>HYPERLINK("https://klasma.github.io/Logging_0330/klagomål/A 60885-2021 FSC-klagomål.docx", "A 60885-2021")</f>
        <v/>
      </c>
      <c r="AB23">
        <f>HYPERLINK("https://klasma.github.io/Logging_0330/klagomålsmail/A 60885-2021 FSC-klagomål mail.docx", "A 60885-2021")</f>
        <v/>
      </c>
      <c r="AC23">
        <f>HYPERLINK("https://klasma.github.io/Logging_0330/tillsyn/A 60885-2021 tillsynsbegäran.docx", "A 60885-2021")</f>
        <v/>
      </c>
      <c r="AD23">
        <f>HYPERLINK("https://klasma.github.io/Logging_0330/tillsynsmail/A 60885-2021 tillsynsbegäran mail.docx", "A 60885-2021")</f>
        <v/>
      </c>
    </row>
    <row r="24" ht="15" customHeight="1">
      <c r="A24" t="inlineStr">
        <is>
          <t>A 66305-2021</t>
        </is>
      </c>
      <c r="B24" t="inlineStr">
        <is>
          <t>avverkningsanmälan</t>
        </is>
      </c>
      <c r="C24" t="inlineStr">
        <is>
          <t>Föryngringsavverkning</t>
        </is>
      </c>
      <c r="D24" s="1" t="n">
        <v>44518</v>
      </c>
      <c r="E24" s="1" t="n">
        <v>46248</v>
      </c>
      <c r="F24" t="inlineStr">
        <is>
          <t>UPPSALA LÄN</t>
        </is>
      </c>
      <c r="G24" t="inlineStr">
        <is>
          <t>KNIVSTA</t>
        </is>
      </c>
      <c r="I24" t="n">
        <v>8.300000000000001</v>
      </c>
      <c r="J24" t="n">
        <v>0</v>
      </c>
      <c r="K24" t="n">
        <v>0</v>
      </c>
      <c r="L24" t="n">
        <v>0</v>
      </c>
      <c r="M24" t="n">
        <v>1</v>
      </c>
      <c r="N24" t="n">
        <v>0</v>
      </c>
      <c r="O24" t="n">
        <v>0</v>
      </c>
      <c r="P24" t="n">
        <v>0</v>
      </c>
      <c r="Q24" t="n">
        <v>1</v>
      </c>
      <c r="R24" t="n">
        <v>1</v>
      </c>
      <c r="S24" t="n">
        <v>1</v>
      </c>
      <c r="T24" t="n">
        <v>1</v>
      </c>
      <c r="U24" t="n">
        <v>1</v>
      </c>
      <c r="V24" s="2" t="inlineStr">
        <is>
          <t>Silverblåvinge</t>
        </is>
      </c>
      <c r="W24">
        <f>HYPERLINK("https://klasma.github.io/Logging_0330/artfynd/A 66305-2021 artfynd.xlsx", "A 66305-2021")</f>
        <v/>
      </c>
      <c r="X24">
        <f>HYPERLINK("https://klasma.github.io/Logging_0330/kartor/A 66305-2021 karta.png", "A 66305-2021")</f>
        <v/>
      </c>
      <c r="Y24">
        <f>HYPERLINK("https://klasma.github.io/Logging_0330/kartor_geotiff/A 66305-2021 georefererad karta.tif", "A 66305-2021")</f>
        <v/>
      </c>
      <c r="AA24">
        <f>HYPERLINK("https://klasma.github.io/Logging_0330/klagomål/A 66305-2021 FSC-klagomål.docx", "A 66305-2021")</f>
        <v/>
      </c>
      <c r="AB24">
        <f>HYPERLINK("https://klasma.github.io/Logging_0330/klagomålsmail/A 66305-2021 FSC-klagomål mail.docx", "A 66305-2021")</f>
        <v/>
      </c>
      <c r="AC24">
        <f>HYPERLINK("https://klasma.github.io/Logging_0330/tillsyn/A 66305-2021 tillsynsbegäran.docx", "A 66305-2021")</f>
        <v/>
      </c>
      <c r="AD24">
        <f>HYPERLINK("https://klasma.github.io/Logging_0330/tillsynsmail/A 66305-2021 tillsynsbegäran mail.docx", "A 66305-2021")</f>
        <v/>
      </c>
    </row>
    <row r="25" ht="15" customHeight="1">
      <c r="A25" t="inlineStr">
        <is>
          <t>A 2171-2024</t>
        </is>
      </c>
      <c r="B25" t="inlineStr">
        <is>
          <t>avverkningsanmälan</t>
        </is>
      </c>
      <c r="C25" t="inlineStr">
        <is>
          <t>Föryngringsavverkning</t>
        </is>
      </c>
      <c r="D25" s="1" t="n">
        <v>45309</v>
      </c>
      <c r="E25" s="1" t="n">
        <v>46248</v>
      </c>
      <c r="F25" t="inlineStr">
        <is>
          <t>UPPSALA LÄN</t>
        </is>
      </c>
      <c r="G25" t="inlineStr">
        <is>
          <t>KNIVSTA</t>
        </is>
      </c>
      <c r="H25" t="inlineStr">
        <is>
          <t>Holmen skog AB</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HYPERLINK("https://klasma.github.io/Logging_0330/artfynd/A 2171-2024 artfynd.xlsx", "A 2171-2024")</f>
        <v/>
      </c>
      <c r="X25">
        <f>HYPERLINK("https://klasma.github.io/Logging_0330/kartor/A 2171-2024 karta.png", "A 2171-2024")</f>
        <v/>
      </c>
      <c r="Y25">
        <f>HYPERLINK("https://klasma.github.io/Logging_0330/kartor_geotiff/A 2171-2024 georefererad karta.tif", "A 2171-2024")</f>
        <v/>
      </c>
      <c r="AA25">
        <f>HYPERLINK("https://klasma.github.io/Logging_0330/klagomål/A 2171-2024 FSC-klagomål.docx", "A 2171-2024")</f>
        <v/>
      </c>
      <c r="AB25">
        <f>HYPERLINK("https://klasma.github.io/Logging_0330/klagomålsmail/A 2171-2024 FSC-klagomål mail.docx", "A 2171-2024")</f>
        <v/>
      </c>
      <c r="AC25">
        <f>HYPERLINK("https://klasma.github.io/Logging_0330/tillsyn/A 2171-2024 tillsynsbegäran.docx", "A 2171-2024")</f>
        <v/>
      </c>
      <c r="AD25">
        <f>HYPERLINK("https://klasma.github.io/Logging_0330/tillsynsmail/A 2171-2024 tillsynsbegäran mail.docx", "A 2171-2024")</f>
        <v/>
      </c>
    </row>
    <row r="26" ht="15" customHeight="1">
      <c r="A26" t="inlineStr">
        <is>
          <t>A 5402-2023</t>
        </is>
      </c>
      <c r="B26" t="inlineStr">
        <is>
          <t>avverkningsanmälan</t>
        </is>
      </c>
      <c r="C26" t="inlineStr">
        <is>
          <t>Föryngringsavverkning</t>
        </is>
      </c>
      <c r="D26" s="1" t="n">
        <v>44959</v>
      </c>
      <c r="E26" s="1" t="n">
        <v>46248</v>
      </c>
      <c r="F26" t="inlineStr">
        <is>
          <t>UPPSALA LÄN</t>
        </is>
      </c>
      <c r="G26" t="inlineStr">
        <is>
          <t>KNIVSTA</t>
        </is>
      </c>
      <c r="I26" t="n">
        <v>4.3</v>
      </c>
      <c r="J26" t="n">
        <v>0</v>
      </c>
      <c r="K26" t="n">
        <v>0</v>
      </c>
      <c r="L26" t="n">
        <v>0</v>
      </c>
      <c r="M26" t="n">
        <v>1</v>
      </c>
      <c r="N26" t="n">
        <v>0</v>
      </c>
      <c r="O26" t="n">
        <v>0</v>
      </c>
      <c r="P26" t="n">
        <v>0</v>
      </c>
      <c r="Q26" t="n">
        <v>1</v>
      </c>
      <c r="R26" t="n">
        <v>1</v>
      </c>
      <c r="S26" t="n">
        <v>1</v>
      </c>
      <c r="T26" t="n">
        <v>1</v>
      </c>
      <c r="U26" t="n">
        <v>0</v>
      </c>
      <c r="V26" s="2" t="inlineStr">
        <is>
          <t>Askfingersvamp</t>
        </is>
      </c>
      <c r="W26">
        <f>HYPERLINK("https://klasma.github.io/Logging_0330/artfynd/A 5402-2023 artfynd.xlsx", "A 5402-2023")</f>
        <v/>
      </c>
      <c r="X26">
        <f>HYPERLINK("https://klasma.github.io/Logging_0330/kartor/A 5402-2023 karta.png", "A 5402-2023")</f>
        <v/>
      </c>
      <c r="Y26">
        <f>HYPERLINK("https://klasma.github.io/Logging_0330/kartor_geotiff/A 5402-2023 georefererad karta.tif", "A 5402-2023")</f>
        <v/>
      </c>
      <c r="AA26">
        <f>HYPERLINK("https://klasma.github.io/Logging_0330/klagomål/A 5402-2023 FSC-klagomål.docx", "A 5402-2023")</f>
        <v/>
      </c>
      <c r="AB26">
        <f>HYPERLINK("https://klasma.github.io/Logging_0330/klagomålsmail/A 5402-2023 FSC-klagomål mail.docx", "A 5402-2023")</f>
        <v/>
      </c>
      <c r="AC26">
        <f>HYPERLINK("https://klasma.github.io/Logging_0330/tillsyn/A 5402-2023 tillsynsbegäran.docx", "A 5402-2023")</f>
        <v/>
      </c>
      <c r="AD26">
        <f>HYPERLINK("https://klasma.github.io/Logging_0330/tillsynsmail/A 5402-2023 tillsynsbegäran mail.docx", "A 5402-2023")</f>
        <v/>
      </c>
    </row>
    <row r="27" ht="15" customHeight="1">
      <c r="A27" t="inlineStr">
        <is>
          <t>A 666-2026</t>
        </is>
      </c>
      <c r="B27" t="inlineStr">
        <is>
          <t>avverkningsanmälan</t>
        </is>
      </c>
      <c r="C27" t="inlineStr">
        <is>
          <t>Föryngringsavverkning</t>
        </is>
      </c>
      <c r="D27" s="1" t="n">
        <v>46029</v>
      </c>
      <c r="E27" s="1" t="n">
        <v>46248</v>
      </c>
      <c r="F27" t="inlineStr">
        <is>
          <t>UPPSALA LÄN</t>
        </is>
      </c>
      <c r="G27" t="inlineStr">
        <is>
          <t>KNIVSTA</t>
        </is>
      </c>
      <c r="I27" t="n">
        <v>1.8</v>
      </c>
      <c r="J27" t="n">
        <v>1</v>
      </c>
      <c r="K27" t="n">
        <v>0</v>
      </c>
      <c r="L27" t="n">
        <v>0</v>
      </c>
      <c r="M27" t="n">
        <v>0</v>
      </c>
      <c r="N27" t="n">
        <v>0</v>
      </c>
      <c r="O27" t="n">
        <v>0</v>
      </c>
      <c r="P27" t="n">
        <v>0</v>
      </c>
      <c r="Q27" t="n">
        <v>0</v>
      </c>
      <c r="R27" t="n">
        <v>0</v>
      </c>
      <c r="S27" t="n">
        <v>1</v>
      </c>
      <c r="T27" t="n">
        <v>1</v>
      </c>
      <c r="U27" t="n">
        <v>0</v>
      </c>
      <c r="V27" s="2" t="inlineStr">
        <is>
          <t>Havsörn</t>
        </is>
      </c>
      <c r="W27">
        <f>HYPERLINK("https://klasma.github.io/Logging_0330/artfynd/A 666-2026 artfynd.xlsx", "A 666-2026")</f>
        <v/>
      </c>
      <c r="X27">
        <f>HYPERLINK("https://klasma.github.io/Logging_0330/kartor/A 666-2026 karta.png", "A 666-2026")</f>
        <v/>
      </c>
      <c r="Y27">
        <f>HYPERLINK("https://klasma.github.io/Logging_0330/kartor_geotiff/A 666-2026 georefererad karta.tif", "A 666-2026")</f>
        <v/>
      </c>
      <c r="AA27">
        <f>HYPERLINK("https://klasma.github.io/Logging_0330/klagomål/A 666-2026 FSC-klagomål.docx", "A 666-2026")</f>
        <v/>
      </c>
      <c r="AB27">
        <f>HYPERLINK("https://klasma.github.io/Logging_0330/klagomålsmail/A 666-2026 FSC-klagomål mail.docx", "A 666-2026")</f>
        <v/>
      </c>
      <c r="AC27">
        <f>HYPERLINK("https://klasma.github.io/Logging_0330/tillsyn/A 666-2026 tillsynsbegäran.docx", "A 666-2026")</f>
        <v/>
      </c>
      <c r="AD27">
        <f>HYPERLINK("https://klasma.github.io/Logging_0330/tillsynsmail/A 666-2026 tillsynsbegäran mail.docx", "A 666-2026")</f>
        <v/>
      </c>
      <c r="AE27">
        <f>HYPERLINK("https://klasma.github.io/Logging_0330/fåglar/A 666-2026 prioriterade fågelarter.docx", "A 666-2026")</f>
        <v/>
      </c>
    </row>
    <row r="28" ht="15" customHeight="1">
      <c r="A28" t="inlineStr">
        <is>
          <t>A 3836-2026</t>
        </is>
      </c>
      <c r="B28" t="inlineStr">
        <is>
          <t>avverkningsanmälan</t>
        </is>
      </c>
      <c r="C28" t="inlineStr">
        <is>
          <t>Föryngringsavverkning</t>
        </is>
      </c>
      <c r="D28" s="1" t="n">
        <v>46043</v>
      </c>
      <c r="E28" s="1" t="n">
        <v>46248</v>
      </c>
      <c r="F28" t="inlineStr">
        <is>
          <t>UPPSALA LÄN</t>
        </is>
      </c>
      <c r="G28" t="inlineStr">
        <is>
          <t>KNIVSTA</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3836-2026 artfynd.xlsx", "A 3836-2026")</f>
        <v/>
      </c>
      <c r="X28">
        <f>HYPERLINK("https://klasma.github.io/Logging_0330/kartor/A 3836-2026 karta.png", "A 3836-2026")</f>
        <v/>
      </c>
      <c r="Y28">
        <f>HYPERLINK("https://klasma.github.io/Logging_0330/kartor_geotiff/A 3836-2026 georefererad karta.tif", "A 3836-2026")</f>
        <v/>
      </c>
      <c r="AA28">
        <f>HYPERLINK("https://klasma.github.io/Logging_0330/klagomål/A 3836-2026 FSC-klagomål.docx", "A 3836-2026")</f>
        <v/>
      </c>
      <c r="AB28">
        <f>HYPERLINK("https://klasma.github.io/Logging_0330/klagomålsmail/A 3836-2026 FSC-klagomål mail.docx", "A 3836-2026")</f>
        <v/>
      </c>
      <c r="AC28">
        <f>HYPERLINK("https://klasma.github.io/Logging_0330/tillsyn/A 3836-2026 tillsynsbegäran.docx", "A 3836-2026")</f>
        <v/>
      </c>
      <c r="AD28">
        <f>HYPERLINK("https://klasma.github.io/Logging_0330/tillsynsmail/A 3836-2026 tillsynsbegäran mail.docx", "A 3836-2026")</f>
        <v/>
      </c>
      <c r="AE28">
        <f>HYPERLINK("https://klasma.github.io/Logging_0330/fåglar/A 3836-2026 prioriterade fågelarter.docx", "A 3836-2026")</f>
        <v/>
      </c>
    </row>
    <row r="29" ht="15" customHeight="1">
      <c r="A29" t="inlineStr">
        <is>
          <t>A 9561-2026</t>
        </is>
      </c>
      <c r="B29" t="inlineStr">
        <is>
          <t>avverkningsanmälan</t>
        </is>
      </c>
      <c r="C29" t="inlineStr">
        <is>
          <t>Föryngringsavverkning</t>
        </is>
      </c>
      <c r="D29" s="1" t="n">
        <v>46071</v>
      </c>
      <c r="E29" s="1" t="n">
        <v>46248</v>
      </c>
      <c r="F29" t="inlineStr">
        <is>
          <t>UPPSALA LÄN</t>
        </is>
      </c>
      <c r="G29" t="inlineStr">
        <is>
          <t>KNIVSTA</t>
        </is>
      </c>
      <c r="H29" t="inlineStr">
        <is>
          <t>Övriga statliga verk och myndigheter</t>
        </is>
      </c>
      <c r="I29" t="n">
        <v>2.6</v>
      </c>
      <c r="J29" t="n">
        <v>0</v>
      </c>
      <c r="K29" t="n">
        <v>0</v>
      </c>
      <c r="L29" t="n">
        <v>1</v>
      </c>
      <c r="M29" t="n">
        <v>0</v>
      </c>
      <c r="N29" t="n">
        <v>0</v>
      </c>
      <c r="O29" t="n">
        <v>0</v>
      </c>
      <c r="P29" t="n">
        <v>0</v>
      </c>
      <c r="Q29" t="n">
        <v>1</v>
      </c>
      <c r="R29" t="n">
        <v>0</v>
      </c>
      <c r="S29" t="n">
        <v>1</v>
      </c>
      <c r="T29" t="n">
        <v>1</v>
      </c>
      <c r="U29" t="n">
        <v>0</v>
      </c>
      <c r="V29" s="2" t="inlineStr">
        <is>
          <t>Svartöra</t>
        </is>
      </c>
      <c r="W29">
        <f>HYPERLINK("https://klasma.github.io/Logging_0330/artfynd/A 9561-2026 artfynd.xlsx", "A 9561-2026")</f>
        <v/>
      </c>
      <c r="X29">
        <f>HYPERLINK("https://klasma.github.io/Logging_0330/kartor/A 9561-2026 karta.png", "A 9561-2026")</f>
        <v/>
      </c>
      <c r="Y29">
        <f>HYPERLINK("https://klasma.github.io/Logging_0330/kartor_geotiff/A 9561-2026 georefererad karta.tif", "A 9561-2026")</f>
        <v/>
      </c>
      <c r="AA29">
        <f>HYPERLINK("https://klasma.github.io/Logging_0330/klagomål/A 9561-2026 FSC-klagomål.docx", "A 9561-2026")</f>
        <v/>
      </c>
      <c r="AB29">
        <f>HYPERLINK("https://klasma.github.io/Logging_0330/klagomålsmail/A 9561-2026 FSC-klagomål mail.docx", "A 9561-2026")</f>
        <v/>
      </c>
      <c r="AC29">
        <f>HYPERLINK("https://klasma.github.io/Logging_0330/tillsyn/A 9561-2026 tillsynsbegäran.docx", "A 9561-2026")</f>
        <v/>
      </c>
      <c r="AD29">
        <f>HYPERLINK("https://klasma.github.io/Logging_0330/tillsynsmail/A 9561-2026 tillsynsbegäran mail.docx", "A 9561-2026")</f>
        <v/>
      </c>
    </row>
    <row r="30" ht="15" customHeight="1">
      <c r="A30" t="inlineStr">
        <is>
          <t>A 13002-2026</t>
        </is>
      </c>
      <c r="B30" t="inlineStr">
        <is>
          <t>avverkningsanmälan</t>
        </is>
      </c>
      <c r="C30" t="inlineStr">
        <is>
          <t>Föryngringsavverkning</t>
        </is>
      </c>
      <c r="D30" s="1" t="n">
        <v>46092</v>
      </c>
      <c r="E30" s="1" t="n">
        <v>46248</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t="n">
        <v>1</v>
      </c>
      <c r="V30" s="2" t="inlineStr">
        <is>
          <t>Knärot</t>
        </is>
      </c>
      <c r="W30">
        <f>HYPERLINK("https://klasma.github.io/Logging_0330/artfynd/A 13002-2026 artfynd.xlsx", "A 13002-2026")</f>
        <v/>
      </c>
      <c r="X30">
        <f>HYPERLINK("https://klasma.github.io/Logging_0330/kartor/A 13002-2026 karta.png", "A 13002-2026")</f>
        <v/>
      </c>
      <c r="Y30">
        <f>HYPERLINK("https://klasma.github.io/Logging_0330/kartor_geotiff/A 13002-2026 georefererad karta.tif", "A 13002-2026")</f>
        <v/>
      </c>
      <c r="Z30">
        <f>HYPERLINK("https://klasma.github.io/Logging_0330/knärot/A 13002-2026 karta knärot.png", "A 13002-2026")</f>
        <v/>
      </c>
      <c r="AA30">
        <f>HYPERLINK("https://klasma.github.io/Logging_0330/klagomål/A 13002-2026 FSC-klagomål.docx", "A 13002-2026")</f>
        <v/>
      </c>
      <c r="AB30">
        <f>HYPERLINK("https://klasma.github.io/Logging_0330/klagomålsmail/A 13002-2026 FSC-klagomål mail.docx", "A 13002-2026")</f>
        <v/>
      </c>
      <c r="AC30">
        <f>HYPERLINK("https://klasma.github.io/Logging_0330/tillsyn/A 13002-2026 tillsynsbegäran.docx", "A 13002-2026")</f>
        <v/>
      </c>
      <c r="AD30">
        <f>HYPERLINK("https://klasma.github.io/Logging_0330/tillsynsmail/A 13002-2026 tillsynsbegäran mail.docx", "A 13002-2026")</f>
        <v/>
      </c>
    </row>
    <row r="31" ht="15" customHeight="1">
      <c r="A31" t="inlineStr">
        <is>
          <t>A 12991-2026</t>
        </is>
      </c>
      <c r="B31" t="inlineStr">
        <is>
          <t>avverkningsanmälan</t>
        </is>
      </c>
      <c r="C31" t="inlineStr">
        <is>
          <t>Föryngringsavverkning</t>
        </is>
      </c>
      <c r="D31" s="1" t="n">
        <v>46092</v>
      </c>
      <c r="E31" s="1" t="n">
        <v>46248</v>
      </c>
      <c r="F31" t="inlineStr">
        <is>
          <t>UPPSALA LÄN</t>
        </is>
      </c>
      <c r="G31" t="inlineStr">
        <is>
          <t>KNIVSTA</t>
        </is>
      </c>
      <c r="H31" t="inlineStr">
        <is>
          <t>Holmen skog AB</t>
        </is>
      </c>
      <c r="I31" t="n">
        <v>4.6</v>
      </c>
      <c r="J31" t="n">
        <v>1</v>
      </c>
      <c r="K31" t="n">
        <v>0</v>
      </c>
      <c r="L31" t="n">
        <v>0</v>
      </c>
      <c r="M31" t="n">
        <v>0</v>
      </c>
      <c r="N31" t="n">
        <v>0</v>
      </c>
      <c r="O31" t="n">
        <v>0</v>
      </c>
      <c r="P31" t="n">
        <v>0</v>
      </c>
      <c r="Q31" t="n">
        <v>0</v>
      </c>
      <c r="R31" t="n">
        <v>0</v>
      </c>
      <c r="S31" t="n">
        <v>1</v>
      </c>
      <c r="T31" t="n">
        <v>1</v>
      </c>
      <c r="U31" t="n">
        <v>1</v>
      </c>
      <c r="V31" s="2" t="inlineStr">
        <is>
          <t>Tjäder</t>
        </is>
      </c>
      <c r="W31">
        <f>HYPERLINK("https://klasma.github.io/Logging_0330/artfynd/A 12991-2026 artfynd.xlsx", "A 12991-2026")</f>
        <v/>
      </c>
      <c r="X31">
        <f>HYPERLINK("https://klasma.github.io/Logging_0330/kartor/A 12991-2026 karta.png", "A 12991-2026")</f>
        <v/>
      </c>
      <c r="Y31">
        <f>HYPERLINK("https://klasma.github.io/Logging_0330/kartor_geotiff/A 12991-2026 georefererad karta.tif", "A 12991-2026")</f>
        <v/>
      </c>
      <c r="AA31">
        <f>HYPERLINK("https://klasma.github.io/Logging_0330/klagomål/A 12991-2026 FSC-klagomål.docx", "A 12991-2026")</f>
        <v/>
      </c>
      <c r="AB31">
        <f>HYPERLINK("https://klasma.github.io/Logging_0330/klagomålsmail/A 12991-2026 FSC-klagomål mail.docx", "A 12991-2026")</f>
        <v/>
      </c>
      <c r="AC31">
        <f>HYPERLINK("https://klasma.github.io/Logging_0330/tillsyn/A 12991-2026 tillsynsbegäran.docx", "A 12991-2026")</f>
        <v/>
      </c>
      <c r="AD31">
        <f>HYPERLINK("https://klasma.github.io/Logging_0330/tillsynsmail/A 12991-2026 tillsynsbegäran mail.docx", "A 12991-2026")</f>
        <v/>
      </c>
      <c r="AE31">
        <f>HYPERLINK("https://klasma.github.io/Logging_0330/fåglar/A 12991-2026 prioriterade fågelarter.docx", "A 12991-2026")</f>
        <v/>
      </c>
    </row>
    <row r="32" ht="15" customHeight="1">
      <c r="A32" t="inlineStr">
        <is>
          <t>A 13380-2026</t>
        </is>
      </c>
      <c r="B32" t="inlineStr">
        <is>
          <t>avverkningsanmälan</t>
        </is>
      </c>
      <c r="C32" t="inlineStr">
        <is>
          <t>Föryngringsavverkning</t>
        </is>
      </c>
      <c r="D32" s="1" t="n">
        <v>46094</v>
      </c>
      <c r="E32" s="1" t="n">
        <v>46248</v>
      </c>
      <c r="F32" t="inlineStr">
        <is>
          <t>UPPSALA LÄN</t>
        </is>
      </c>
      <c r="G32" t="inlineStr">
        <is>
          <t>KNIVSTA</t>
        </is>
      </c>
      <c r="I32" t="n">
        <v>1.7</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HYPERLINK("https://klasma.github.io/Logging_0330/artfynd/A 13380-2026 artfynd.xlsx", "A 13380-2026")</f>
        <v/>
      </c>
      <c r="X32">
        <f>HYPERLINK("https://klasma.github.io/Logging_0330/kartor/A 13380-2026 karta.png", "A 13380-2026")</f>
        <v/>
      </c>
      <c r="Y32">
        <f>HYPERLINK("https://klasma.github.io/Logging_0330/kartor_geotiff/A 13380-2026 georefererad karta.tif", "A 13380-2026")</f>
        <v/>
      </c>
      <c r="AA32">
        <f>HYPERLINK("https://klasma.github.io/Logging_0330/klagomål/A 13380-2026 FSC-klagomål.docx", "A 13380-2026")</f>
        <v/>
      </c>
      <c r="AB32">
        <f>HYPERLINK("https://klasma.github.io/Logging_0330/klagomålsmail/A 13380-2026 FSC-klagomål mail.docx", "A 13380-2026")</f>
        <v/>
      </c>
      <c r="AC32">
        <f>HYPERLINK("https://klasma.github.io/Logging_0330/tillsyn/A 13380-2026 tillsynsbegäran.docx", "A 13380-2026")</f>
        <v/>
      </c>
      <c r="AD32">
        <f>HYPERLINK("https://klasma.github.io/Logging_0330/tillsynsmail/A 13380-2026 tillsynsbegäran mail.docx", "A 13380-2026")</f>
        <v/>
      </c>
      <c r="AE32">
        <f>HYPERLINK("https://klasma.github.io/Logging_0330/fåglar/A 13380-2026 prioriterade fågelarter.docx", "A 13380-2026")</f>
        <v/>
      </c>
    </row>
    <row r="33" ht="15" customHeight="1">
      <c r="A33" t="inlineStr">
        <is>
          <t>S 1786-2022</t>
        </is>
      </c>
      <c r="B33" t="inlineStr">
        <is>
          <t>samrådsanmälan</t>
        </is>
      </c>
      <c r="C33" t="inlineStr">
        <is>
          <t>Åtgärd i nyckelbiotop</t>
        </is>
      </c>
      <c r="D33" s="1" t="n">
        <v>44655</v>
      </c>
      <c r="E33" s="1" t="n">
        <v>46248</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46248</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46248</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47652-2021</t>
        </is>
      </c>
      <c r="B36" t="inlineStr">
        <is>
          <t>avverkningsanmälan</t>
        </is>
      </c>
      <c r="C36" t="inlineStr">
        <is>
          <t>Föryngringsavverkning</t>
        </is>
      </c>
      <c r="D36" s="1" t="n">
        <v>44448</v>
      </c>
      <c r="E36" s="1" t="n">
        <v>46248</v>
      </c>
      <c r="F36" t="inlineStr">
        <is>
          <t>UPPSALA LÄN</t>
        </is>
      </c>
      <c r="G36" t="inlineStr">
        <is>
          <t>KNIVSTA</t>
        </is>
      </c>
      <c r="I36" t="n">
        <v>2.7</v>
      </c>
      <c r="J36" t="n">
        <v>0</v>
      </c>
      <c r="K36" t="n">
        <v>0</v>
      </c>
      <c r="L36" t="n">
        <v>0</v>
      </c>
      <c r="M36" t="n">
        <v>0</v>
      </c>
      <c r="N36" t="n">
        <v>0</v>
      </c>
      <c r="O36" t="n">
        <v>0</v>
      </c>
      <c r="P36" t="n">
        <v>0</v>
      </c>
      <c r="Q36" t="n">
        <v>0</v>
      </c>
      <c r="R36" t="n">
        <v>0</v>
      </c>
      <c r="S36" t="n">
        <v>0</v>
      </c>
      <c r="T36" t="n">
        <v>0</v>
      </c>
      <c r="U36" t="n">
        <v>0</v>
      </c>
      <c r="V36" s="2" t="inlineStr"/>
    </row>
    <row r="37" ht="15" customHeight="1">
      <c r="A37" t="inlineStr">
        <is>
          <t>A 47654-2021</t>
        </is>
      </c>
      <c r="B37" t="inlineStr">
        <is>
          <t>avverkningsanmälan</t>
        </is>
      </c>
      <c r="C37" t="inlineStr">
        <is>
          <t>Föryngringsavverkning</t>
        </is>
      </c>
      <c r="D37" s="1" t="n">
        <v>44448</v>
      </c>
      <c r="E37" s="1" t="n">
        <v>46248</v>
      </c>
      <c r="F37" t="inlineStr">
        <is>
          <t>UPPSALA LÄN</t>
        </is>
      </c>
      <c r="G37" t="inlineStr">
        <is>
          <t>KNIVSTA</t>
        </is>
      </c>
      <c r="I37" t="n">
        <v>1.5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46248</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46248</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16775-2022</t>
        </is>
      </c>
      <c r="B40" t="inlineStr">
        <is>
          <t>avverkningsanmälan</t>
        </is>
      </c>
      <c r="C40" t="inlineStr">
        <is>
          <t>Avverkning för annat ändamål</t>
        </is>
      </c>
      <c r="D40" s="1" t="n">
        <v>44673</v>
      </c>
      <c r="E40" s="1" t="n">
        <v>46248</v>
      </c>
      <c r="F40" t="inlineStr">
        <is>
          <t>UPPSALA LÄN</t>
        </is>
      </c>
      <c r="G40" t="inlineStr">
        <is>
          <t>KNIVSTA</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66256-2021</t>
        </is>
      </c>
      <c r="B41" t="inlineStr">
        <is>
          <t>avverkningsanmälan</t>
        </is>
      </c>
      <c r="C41" t="inlineStr">
        <is>
          <t>Föryngringsavverkning</t>
        </is>
      </c>
      <c r="D41" s="1" t="n">
        <v>44518</v>
      </c>
      <c r="E41" s="1" t="n">
        <v>46248</v>
      </c>
      <c r="F41" t="inlineStr">
        <is>
          <t>UPPSALA LÄN</t>
        </is>
      </c>
      <c r="G41" t="inlineStr">
        <is>
          <t>KNIVSTA</t>
        </is>
      </c>
      <c r="I41" t="n">
        <v>0.3</v>
      </c>
      <c r="J41" t="n">
        <v>0</v>
      </c>
      <c r="K41" t="n">
        <v>0</v>
      </c>
      <c r="L41" t="n">
        <v>0</v>
      </c>
      <c r="M41" t="n">
        <v>0</v>
      </c>
      <c r="N41" t="n">
        <v>0</v>
      </c>
      <c r="O41" t="n">
        <v>0</v>
      </c>
      <c r="P41" t="n">
        <v>0</v>
      </c>
      <c r="Q41" t="n">
        <v>0</v>
      </c>
      <c r="R41" t="n">
        <v>0</v>
      </c>
      <c r="S41" t="n">
        <v>0</v>
      </c>
      <c r="T41" t="n">
        <v>0</v>
      </c>
      <c r="U41" t="n">
        <v>0</v>
      </c>
      <c r="V41" s="2" t="inlineStr"/>
    </row>
    <row r="42" ht="15" customHeight="1">
      <c r="A42" t="inlineStr">
        <is>
          <t>A 62451-2021</t>
        </is>
      </c>
      <c r="B42" t="inlineStr">
        <is>
          <t>avverkningsanmälan</t>
        </is>
      </c>
      <c r="C42" t="inlineStr">
        <is>
          <t>Föryngringsavverkning</t>
        </is>
      </c>
      <c r="D42" s="1" t="n">
        <v>44509</v>
      </c>
      <c r="E42" s="1" t="n">
        <v>46248</v>
      </c>
      <c r="F42" t="inlineStr">
        <is>
          <t>UPPSALA LÄN</t>
        </is>
      </c>
      <c r="G42" t="inlineStr">
        <is>
          <t>KNIVSTA</t>
        </is>
      </c>
      <c r="I42" t="n">
        <v>2.5</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46248</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46248</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46248</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30351-2022</t>
        </is>
      </c>
      <c r="B46" t="inlineStr">
        <is>
          <t>avverkningsanmälan</t>
        </is>
      </c>
      <c r="C46" t="inlineStr">
        <is>
          <t>Föryngringsavverkning</t>
        </is>
      </c>
      <c r="D46" s="1" t="n">
        <v>44757</v>
      </c>
      <c r="E46" s="1" t="n">
        <v>46248</v>
      </c>
      <c r="F46" t="inlineStr">
        <is>
          <t>UPPSALA LÄN</t>
        </is>
      </c>
      <c r="G46" t="inlineStr">
        <is>
          <t>KNIVSTA</t>
        </is>
      </c>
      <c r="I46" t="n">
        <v>5.7</v>
      </c>
      <c r="J46" t="n">
        <v>0</v>
      </c>
      <c r="K46" t="n">
        <v>0</v>
      </c>
      <c r="L46" t="n">
        <v>0</v>
      </c>
      <c r="M46" t="n">
        <v>0</v>
      </c>
      <c r="N46" t="n">
        <v>0</v>
      </c>
      <c r="O46" t="n">
        <v>0</v>
      </c>
      <c r="P46" t="n">
        <v>0</v>
      </c>
      <c r="Q46" t="n">
        <v>0</v>
      </c>
      <c r="R46" t="n">
        <v>0</v>
      </c>
      <c r="S46" t="n">
        <v>0</v>
      </c>
      <c r="T46" t="n">
        <v>0</v>
      </c>
      <c r="U46" t="n">
        <v>0</v>
      </c>
      <c r="V46" s="2" t="inlineStr"/>
    </row>
    <row r="47" ht="15" customHeight="1">
      <c r="A47" t="inlineStr">
        <is>
          <t>A 17091-2023</t>
        </is>
      </c>
      <c r="B47" t="inlineStr">
        <is>
          <t>avverkningsanmälan</t>
        </is>
      </c>
      <c r="C47" t="inlineStr">
        <is>
          <t>Föryngringsavverkning</t>
        </is>
      </c>
      <c r="D47" s="1" t="n">
        <v>45034</v>
      </c>
      <c r="E47" s="1" t="n">
        <v>46248</v>
      </c>
      <c r="F47" t="inlineStr">
        <is>
          <t>UPPSALA LÄN</t>
        </is>
      </c>
      <c r="G47" t="inlineStr">
        <is>
          <t>KNIVSTA</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31875-2022</t>
        </is>
      </c>
      <c r="B48" t="inlineStr">
        <is>
          <t>avverkningsanmälan</t>
        </is>
      </c>
      <c r="C48" t="inlineStr">
        <is>
          <t>Föryngringsavverkning</t>
        </is>
      </c>
      <c r="D48" s="1" t="n">
        <v>44777</v>
      </c>
      <c r="E48" s="1" t="n">
        <v>46248</v>
      </c>
      <c r="F48" t="inlineStr">
        <is>
          <t>UPPSALA LÄN</t>
        </is>
      </c>
      <c r="G48" t="inlineStr">
        <is>
          <t>KNIVSTA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26182-2022</t>
        </is>
      </c>
      <c r="B49" t="inlineStr">
        <is>
          <t>avverkningsanmälan</t>
        </is>
      </c>
      <c r="C49" t="inlineStr">
        <is>
          <t>Föryngringsavverkning</t>
        </is>
      </c>
      <c r="D49" s="1" t="n">
        <v>44735</v>
      </c>
      <c r="E49" s="1" t="n">
        <v>46248</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51849-2023</t>
        </is>
      </c>
      <c r="B50" t="inlineStr">
        <is>
          <t>avverkningsanmälan</t>
        </is>
      </c>
      <c r="C50" t="inlineStr">
        <is>
          <t>Föryngringsavverkning</t>
        </is>
      </c>
      <c r="D50" s="1" t="n">
        <v>45223</v>
      </c>
      <c r="E50" s="1" t="n">
        <v>46248</v>
      </c>
      <c r="F50" t="inlineStr">
        <is>
          <t>UPPSALA LÄN</t>
        </is>
      </c>
      <c r="G50" t="inlineStr">
        <is>
          <t>KNIVSTA</t>
        </is>
      </c>
      <c r="I50" t="n">
        <v>16.3</v>
      </c>
      <c r="J50" t="n">
        <v>0</v>
      </c>
      <c r="K50" t="n">
        <v>0</v>
      </c>
      <c r="L50" t="n">
        <v>0</v>
      </c>
      <c r="M50" t="n">
        <v>0</v>
      </c>
      <c r="N50" t="n">
        <v>0</v>
      </c>
      <c r="O50" t="n">
        <v>0</v>
      </c>
      <c r="P50" t="n">
        <v>0</v>
      </c>
      <c r="Q50" t="n">
        <v>0</v>
      </c>
      <c r="R50" t="n">
        <v>0</v>
      </c>
      <c r="S50" t="n">
        <v>0</v>
      </c>
      <c r="T50" t="n">
        <v>0</v>
      </c>
      <c r="U50" t="n">
        <v>0</v>
      </c>
      <c r="V50" s="2" t="inlineStr"/>
    </row>
    <row r="51" ht="15" customHeight="1">
      <c r="A51" t="inlineStr">
        <is>
          <t>A 2628-2025</t>
        </is>
      </c>
      <c r="B51" t="inlineStr">
        <is>
          <t>avverkningsanmälan</t>
        </is>
      </c>
      <c r="C51" t="inlineStr">
        <is>
          <t>Föryngringsavverkning</t>
        </is>
      </c>
      <c r="D51" s="1" t="n">
        <v>45675</v>
      </c>
      <c r="E51" s="1" t="n">
        <v>46248</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17333-2024</t>
        </is>
      </c>
      <c r="B52" t="inlineStr">
        <is>
          <t>avverkningsanmälan</t>
        </is>
      </c>
      <c r="C52" t="inlineStr">
        <is>
          <t>Föryngringsavverkning</t>
        </is>
      </c>
      <c r="D52" s="1" t="n">
        <v>45414</v>
      </c>
      <c r="E52" s="1" t="n">
        <v>46248</v>
      </c>
      <c r="F52" t="inlineStr">
        <is>
          <t>UPPSALA LÄN</t>
        </is>
      </c>
      <c r="G52" t="inlineStr">
        <is>
          <t>KNIVSTA</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23239-2023</t>
        </is>
      </c>
      <c r="B53" t="inlineStr">
        <is>
          <t>avverkningsanmälan</t>
        </is>
      </c>
      <c r="C53" t="inlineStr">
        <is>
          <t>Föryngringsavverkning</t>
        </is>
      </c>
      <c r="D53" s="1" t="n">
        <v>45075</v>
      </c>
      <c r="E53" s="1" t="n">
        <v>46248</v>
      </c>
      <c r="F53" t="inlineStr">
        <is>
          <t>UPPSALA LÄN</t>
        </is>
      </c>
      <c r="G53" t="inlineStr">
        <is>
          <t>KNIVSTA</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66293-2021</t>
        </is>
      </c>
      <c r="B54" t="inlineStr">
        <is>
          <t>avverkningsanmälan</t>
        </is>
      </c>
      <c r="C54" t="inlineStr">
        <is>
          <t>Föryngringsavverkning</t>
        </is>
      </c>
      <c r="D54" s="1" t="n">
        <v>44518</v>
      </c>
      <c r="E54" s="1" t="n">
        <v>46248</v>
      </c>
      <c r="F54" t="inlineStr">
        <is>
          <t>UPPSALA LÄN</t>
        </is>
      </c>
      <c r="G54" t="inlineStr">
        <is>
          <t>KNIVSTA</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45916-2022</t>
        </is>
      </c>
      <c r="B55" t="inlineStr">
        <is>
          <t>avverkningsanmälan</t>
        </is>
      </c>
      <c r="C55" t="inlineStr">
        <is>
          <t>Föryngringsavverkning</t>
        </is>
      </c>
      <c r="D55" s="1" t="n">
        <v>44846</v>
      </c>
      <c r="E55" s="1" t="n">
        <v>46248</v>
      </c>
      <c r="F55" t="inlineStr">
        <is>
          <t>UPPSALA LÄN</t>
        </is>
      </c>
      <c r="G55" t="inlineStr">
        <is>
          <t>KNIVSTA</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11841-2023</t>
        </is>
      </c>
      <c r="B56" t="inlineStr">
        <is>
          <t>avverkningsanmälan</t>
        </is>
      </c>
      <c r="C56" t="inlineStr">
        <is>
          <t>Föryngringsavverkning</t>
        </is>
      </c>
      <c r="D56" s="1" t="n">
        <v>44995</v>
      </c>
      <c r="E56" s="1" t="n">
        <v>46248</v>
      </c>
      <c r="F56" t="inlineStr">
        <is>
          <t>UPPSALA LÄN</t>
        </is>
      </c>
      <c r="G56" t="inlineStr">
        <is>
          <t>KNIVSTA</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66284-2021</t>
        </is>
      </c>
      <c r="B57" t="inlineStr">
        <is>
          <t>avverkningsanmälan</t>
        </is>
      </c>
      <c r="C57" t="inlineStr">
        <is>
          <t>Föryngringsavverkning</t>
        </is>
      </c>
      <c r="D57" s="1" t="n">
        <v>44518</v>
      </c>
      <c r="E57" s="1" t="n">
        <v>46248</v>
      </c>
      <c r="F57" t="inlineStr">
        <is>
          <t>UPPSALA LÄN</t>
        </is>
      </c>
      <c r="G57" t="inlineStr">
        <is>
          <t>KNIVSTA</t>
        </is>
      </c>
      <c r="I57" t="n">
        <v>6.9</v>
      </c>
      <c r="J57" t="n">
        <v>0</v>
      </c>
      <c r="K57" t="n">
        <v>0</v>
      </c>
      <c r="L57" t="n">
        <v>0</v>
      </c>
      <c r="M57" t="n">
        <v>0</v>
      </c>
      <c r="N57" t="n">
        <v>0</v>
      </c>
      <c r="O57" t="n">
        <v>0</v>
      </c>
      <c r="P57" t="n">
        <v>0</v>
      </c>
      <c r="Q57" t="n">
        <v>0</v>
      </c>
      <c r="R57" t="n">
        <v>0</v>
      </c>
      <c r="S57" t="n">
        <v>0</v>
      </c>
      <c r="T57" t="n">
        <v>0</v>
      </c>
      <c r="U57" t="n">
        <v>0</v>
      </c>
      <c r="V57" s="2" t="inlineStr"/>
    </row>
    <row r="58" ht="15" customHeight="1">
      <c r="A58" t="inlineStr">
        <is>
          <t>A 72967-2021</t>
        </is>
      </c>
      <c r="B58" t="inlineStr">
        <is>
          <t>avverkningsanmälan</t>
        </is>
      </c>
      <c r="C58" t="inlineStr">
        <is>
          <t>Föryngringsavverkning</t>
        </is>
      </c>
      <c r="D58" s="1" t="n">
        <v>44548</v>
      </c>
      <c r="E58" s="1" t="n">
        <v>46248</v>
      </c>
      <c r="F58" t="inlineStr">
        <is>
          <t>UPPSALA LÄN</t>
        </is>
      </c>
      <c r="G58" t="inlineStr">
        <is>
          <t>KNIVSTA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2629-2025</t>
        </is>
      </c>
      <c r="B59" t="inlineStr">
        <is>
          <t>avverkningsanmälan</t>
        </is>
      </c>
      <c r="C59" t="inlineStr">
        <is>
          <t>Föryngringsavverkning</t>
        </is>
      </c>
      <c r="D59" s="1" t="n">
        <v>45675</v>
      </c>
      <c r="E59" s="1" t="n">
        <v>46248</v>
      </c>
      <c r="F59" t="inlineStr">
        <is>
          <t>UPPSALA LÄN</t>
        </is>
      </c>
      <c r="G59" t="inlineStr">
        <is>
          <t>KNIVSTA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5320-2023</t>
        </is>
      </c>
      <c r="B60" t="inlineStr">
        <is>
          <t>avverkningsanmälan</t>
        </is>
      </c>
      <c r="C60" t="inlineStr">
        <is>
          <t>Föryngringsavverkning</t>
        </is>
      </c>
      <c r="D60" s="1" t="n">
        <v>44959</v>
      </c>
      <c r="E60" s="1" t="n">
        <v>46248</v>
      </c>
      <c r="F60" t="inlineStr">
        <is>
          <t>UPPSALA LÄN</t>
        </is>
      </c>
      <c r="G60" t="inlineStr">
        <is>
          <t>KNIVSTA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11450-2023</t>
        </is>
      </c>
      <c r="B61" t="inlineStr">
        <is>
          <t>avverkningsanmälan</t>
        </is>
      </c>
      <c r="C61" t="inlineStr">
        <is>
          <t>Föryngringsavverkning</t>
        </is>
      </c>
      <c r="D61" s="1" t="n">
        <v>44993</v>
      </c>
      <c r="E61" s="1" t="n">
        <v>46248</v>
      </c>
      <c r="F61" t="inlineStr">
        <is>
          <t>UPPSALA LÄN</t>
        </is>
      </c>
      <c r="G61" t="inlineStr">
        <is>
          <t>KNIVSTA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45525-2023</t>
        </is>
      </c>
      <c r="B62" t="inlineStr">
        <is>
          <t>avverkningsanmälan</t>
        </is>
      </c>
      <c r="C62" t="inlineStr">
        <is>
          <t>Avverkning för annat ändamål</t>
        </is>
      </c>
      <c r="D62" s="1" t="n">
        <v>45194</v>
      </c>
      <c r="E62" s="1" t="n">
        <v>46248</v>
      </c>
      <c r="F62" t="inlineStr">
        <is>
          <t>UPPSALA LÄN</t>
        </is>
      </c>
      <c r="G62" t="inlineStr">
        <is>
          <t>KNIVSTA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11452-2023</t>
        </is>
      </c>
      <c r="B63" t="inlineStr">
        <is>
          <t>avverkningsanmälan</t>
        </is>
      </c>
      <c r="C63" t="inlineStr">
        <is>
          <t>Föryngringsavverkning</t>
        </is>
      </c>
      <c r="D63" s="1" t="n">
        <v>44993</v>
      </c>
      <c r="E63" s="1" t="n">
        <v>46248</v>
      </c>
      <c r="F63" t="inlineStr">
        <is>
          <t>UPPSALA LÄN</t>
        </is>
      </c>
      <c r="G63" t="inlineStr">
        <is>
          <t>KNIVSTA</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30627-2023</t>
        </is>
      </c>
      <c r="B64" t="inlineStr">
        <is>
          <t>avverkningsanmälan</t>
        </is>
      </c>
      <c r="C64" t="inlineStr">
        <is>
          <t>Föryngringsavverkning</t>
        </is>
      </c>
      <c r="D64" s="1" t="n">
        <v>45112</v>
      </c>
      <c r="E64" s="1" t="n">
        <v>46248</v>
      </c>
      <c r="F64" t="inlineStr">
        <is>
          <t>UPPSALA LÄN</t>
        </is>
      </c>
      <c r="G64" t="inlineStr">
        <is>
          <t>KNIVSTA</t>
        </is>
      </c>
      <c r="H64" t="inlineStr">
        <is>
          <t>Holmen skog AB</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16773-2022</t>
        </is>
      </c>
      <c r="B65" t="inlineStr">
        <is>
          <t>avverkningsanmälan</t>
        </is>
      </c>
      <c r="C65" t="inlineStr">
        <is>
          <t>Avverkning för annat ändamål</t>
        </is>
      </c>
      <c r="D65" s="1" t="n">
        <v>44673</v>
      </c>
      <c r="E65" s="1" t="n">
        <v>46248</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11847-2023</t>
        </is>
      </c>
      <c r="B66" t="inlineStr">
        <is>
          <t>avverkningsanmälan</t>
        </is>
      </c>
      <c r="C66" t="inlineStr">
        <is>
          <t>Föryngringsavverkning</t>
        </is>
      </c>
      <c r="D66" s="1" t="n">
        <v>44995</v>
      </c>
      <c r="E66" s="1" t="n">
        <v>46248</v>
      </c>
      <c r="F66" t="inlineStr">
        <is>
          <t>UPPSALA LÄN</t>
        </is>
      </c>
      <c r="G66" t="inlineStr">
        <is>
          <t>KNIVSTA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60018-2024</t>
        </is>
      </c>
      <c r="B67" t="inlineStr">
        <is>
          <t>avverkningsanmälan</t>
        </is>
      </c>
      <c r="C67" t="inlineStr">
        <is>
          <t>Föryngringsavverkning</t>
        </is>
      </c>
      <c r="D67" s="1" t="n">
        <v>45642</v>
      </c>
      <c r="E67" s="1" t="n">
        <v>46248</v>
      </c>
      <c r="F67" t="inlineStr">
        <is>
          <t>UPPSALA LÄN</t>
        </is>
      </c>
      <c r="G67" t="inlineStr">
        <is>
          <t>KNIVSTA</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43908-2023</t>
        </is>
      </c>
      <c r="B68" t="inlineStr">
        <is>
          <t>avverkningsanmälan</t>
        </is>
      </c>
      <c r="C68" t="inlineStr">
        <is>
          <t>Föryngringsavverkning</t>
        </is>
      </c>
      <c r="D68" s="1" t="n">
        <v>45187</v>
      </c>
      <c r="E68" s="1" t="n">
        <v>46248</v>
      </c>
      <c r="F68" t="inlineStr">
        <is>
          <t>UPPSALA LÄN</t>
        </is>
      </c>
      <c r="G68" t="inlineStr">
        <is>
          <t>KNIVSTA</t>
        </is>
      </c>
      <c r="H68" t="inlineStr">
        <is>
          <t>Kyrkan</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8343-2024</t>
        </is>
      </c>
      <c r="B69" t="inlineStr">
        <is>
          <t>avverkningsanmälan</t>
        </is>
      </c>
      <c r="C69" t="inlineStr">
        <is>
          <t>Föryngringsavverkning</t>
        </is>
      </c>
      <c r="D69" s="1" t="n">
        <v>45352</v>
      </c>
      <c r="E69" s="1" t="n">
        <v>46248</v>
      </c>
      <c r="F69" t="inlineStr">
        <is>
          <t>UPPSALA LÄN</t>
        </is>
      </c>
      <c r="G69" t="inlineStr">
        <is>
          <t>KNIVSTA</t>
        </is>
      </c>
      <c r="H69" t="inlineStr">
        <is>
          <t>Holmen skog AB</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1791-2024</t>
        </is>
      </c>
      <c r="B70" t="inlineStr">
        <is>
          <t>avverkningsanmälan</t>
        </is>
      </c>
      <c r="C70" t="inlineStr">
        <is>
          <t>Föryngringsavverkning</t>
        </is>
      </c>
      <c r="D70" s="1" t="n">
        <v>45307</v>
      </c>
      <c r="E70" s="1" t="n">
        <v>46248</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34078-2022</t>
        </is>
      </c>
      <c r="B71" t="inlineStr">
        <is>
          <t>avverkningsanmälan</t>
        </is>
      </c>
      <c r="C71" t="inlineStr">
        <is>
          <t>Föryngringsavverkning</t>
        </is>
      </c>
      <c r="D71" s="1" t="n">
        <v>44791</v>
      </c>
      <c r="E71" s="1" t="n">
        <v>46248</v>
      </c>
      <c r="F71" t="inlineStr">
        <is>
          <t>UPPSALA LÄN</t>
        </is>
      </c>
      <c r="G71" t="inlineStr">
        <is>
          <t>KNIVSTA</t>
        </is>
      </c>
      <c r="H71" t="inlineStr">
        <is>
          <t>Övriga statliga verk och myndigheter</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20902-2024</t>
        </is>
      </c>
      <c r="B72" t="inlineStr">
        <is>
          <t>avverkningsanmälan</t>
        </is>
      </c>
      <c r="C72" t="inlineStr">
        <is>
          <t>Föryngringsavverkning</t>
        </is>
      </c>
      <c r="D72" s="1" t="n">
        <v>45439</v>
      </c>
      <c r="E72" s="1" t="n">
        <v>46248</v>
      </c>
      <c r="F72" t="inlineStr">
        <is>
          <t>UPPSALA LÄN</t>
        </is>
      </c>
      <c r="G72" t="inlineStr">
        <is>
          <t>KNIVSTA</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19676-2025</t>
        </is>
      </c>
      <c r="B73" t="inlineStr">
        <is>
          <t>avverkningsanmälan</t>
        </is>
      </c>
      <c r="C73" t="inlineStr">
        <is>
          <t>Föryngringsavverkning</t>
        </is>
      </c>
      <c r="D73" s="1" t="n">
        <v>45770</v>
      </c>
      <c r="E73" s="1" t="n">
        <v>46248</v>
      </c>
      <c r="F73" t="inlineStr">
        <is>
          <t>UPPSALA LÄN</t>
        </is>
      </c>
      <c r="G73" t="inlineStr">
        <is>
          <t>KNIVSTA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13697-2024</t>
        </is>
      </c>
      <c r="B74" t="inlineStr">
        <is>
          <t>avverkningsanmälan</t>
        </is>
      </c>
      <c r="C74" t="inlineStr">
        <is>
          <t>Föryngringsavverkning</t>
        </is>
      </c>
      <c r="D74" s="1" t="n">
        <v>45390</v>
      </c>
      <c r="E74" s="1" t="n">
        <v>46248</v>
      </c>
      <c r="F74" t="inlineStr">
        <is>
          <t>UPPSALA LÄN</t>
        </is>
      </c>
      <c r="G74" t="inlineStr">
        <is>
          <t>KNIVSTA</t>
        </is>
      </c>
      <c r="H74" t="inlineStr">
        <is>
          <t>Holmen skog AB</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33974-2025</t>
        </is>
      </c>
      <c r="B75" t="inlineStr">
        <is>
          <t>avverkningsanmälan</t>
        </is>
      </c>
      <c r="C75" t="inlineStr">
        <is>
          <t>Föryngringsavverkning</t>
        </is>
      </c>
      <c r="D75" s="1" t="n">
        <v>45843</v>
      </c>
      <c r="E75" s="1" t="n">
        <v>46248</v>
      </c>
      <c r="F75" t="inlineStr">
        <is>
          <t>UPPSALA LÄN</t>
        </is>
      </c>
      <c r="G75" t="inlineStr">
        <is>
          <t>KNIVSTA</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20528-2026</t>
        </is>
      </c>
      <c r="B76" t="inlineStr">
        <is>
          <t>avverkningsanmälan</t>
        </is>
      </c>
      <c r="C76" t="inlineStr">
        <is>
          <t>Föryngringsavverkning</t>
        </is>
      </c>
      <c r="D76" s="1" t="n">
        <v>46140</v>
      </c>
      <c r="E76" s="1" t="n">
        <v>46248</v>
      </c>
      <c r="F76" t="inlineStr">
        <is>
          <t>UPPSALA LÄN</t>
        </is>
      </c>
      <c r="G76" t="inlineStr">
        <is>
          <t>KNIVSTA</t>
        </is>
      </c>
      <c r="I76" t="n">
        <v>5.7</v>
      </c>
      <c r="J76" t="n">
        <v>0</v>
      </c>
      <c r="K76" t="n">
        <v>0</v>
      </c>
      <c r="L76" t="n">
        <v>0</v>
      </c>
      <c r="M76" t="n">
        <v>0</v>
      </c>
      <c r="N76" t="n">
        <v>0</v>
      </c>
      <c r="O76" t="n">
        <v>0</v>
      </c>
      <c r="P76" t="n">
        <v>0</v>
      </c>
      <c r="Q76" t="n">
        <v>0</v>
      </c>
      <c r="R76" t="n">
        <v>0</v>
      </c>
      <c r="S76" t="n">
        <v>0</v>
      </c>
      <c r="T76" t="n">
        <v>0</v>
      </c>
      <c r="U76" t="n">
        <v>0</v>
      </c>
      <c r="V76" s="2" t="inlineStr"/>
    </row>
    <row r="77" ht="15" customHeight="1">
      <c r="A77" t="inlineStr">
        <is>
          <t>A 34864-2025</t>
        </is>
      </c>
      <c r="B77" t="inlineStr">
        <is>
          <t>avverkningsanmälan</t>
        </is>
      </c>
      <c r="C77" t="inlineStr">
        <is>
          <t>Föryngringsavverkning</t>
        </is>
      </c>
      <c r="D77" s="1" t="n">
        <v>45849</v>
      </c>
      <c r="E77" s="1" t="n">
        <v>46248</v>
      </c>
      <c r="F77" t="inlineStr">
        <is>
          <t>UPPSALA LÄN</t>
        </is>
      </c>
      <c r="G77" t="inlineStr">
        <is>
          <t>KNIVSTA</t>
        </is>
      </c>
      <c r="H77" t="inlineStr">
        <is>
          <t>Holmen skog AB</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35318-2025</t>
        </is>
      </c>
      <c r="B78" t="inlineStr">
        <is>
          <t>avverkningsanmälan</t>
        </is>
      </c>
      <c r="C78" t="inlineStr">
        <is>
          <t>Föryngringsavverkning</t>
        </is>
      </c>
      <c r="D78" s="1" t="n">
        <v>45854</v>
      </c>
      <c r="E78" s="1" t="n">
        <v>46248</v>
      </c>
      <c r="F78" t="inlineStr">
        <is>
          <t>UPPSALA LÄN</t>
        </is>
      </c>
      <c r="G78" t="inlineStr">
        <is>
          <t>KNIVSTA</t>
        </is>
      </c>
      <c r="H78" t="inlineStr">
        <is>
          <t>Holmen skog AB</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19777-2026</t>
        </is>
      </c>
      <c r="B79" t="inlineStr">
        <is>
          <t>avverkningsanmälan</t>
        </is>
      </c>
      <c r="C79" t="inlineStr">
        <is>
          <t>Föryngringsavverkning</t>
        </is>
      </c>
      <c r="D79" s="1" t="n">
        <v>46135</v>
      </c>
      <c r="E79" s="1" t="n">
        <v>46248</v>
      </c>
      <c r="F79" t="inlineStr">
        <is>
          <t>UPPSALA LÄN</t>
        </is>
      </c>
      <c r="G79" t="inlineStr">
        <is>
          <t>KNIVSTA</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1629-2024</t>
        </is>
      </c>
      <c r="B80" t="inlineStr">
        <is>
          <t>avverkningsanmälan</t>
        </is>
      </c>
      <c r="C80" t="inlineStr">
        <is>
          <t>Föryngringsavverkning</t>
        </is>
      </c>
      <c r="D80" s="1" t="n">
        <v>45306</v>
      </c>
      <c r="E80" s="1" t="n">
        <v>46248</v>
      </c>
      <c r="F80" t="inlineStr">
        <is>
          <t>UPPSALA LÄN</t>
        </is>
      </c>
      <c r="G80" t="inlineStr">
        <is>
          <t>KNIVSTA</t>
        </is>
      </c>
      <c r="H80" t="inlineStr">
        <is>
          <t>Holmen skog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36473-2025</t>
        </is>
      </c>
      <c r="B81" t="inlineStr">
        <is>
          <t>avverkningsanmälan</t>
        </is>
      </c>
      <c r="C81" t="inlineStr">
        <is>
          <t>Föryngringsavverkning</t>
        </is>
      </c>
      <c r="D81" s="1" t="n">
        <v>45869</v>
      </c>
      <c r="E81" s="1" t="n">
        <v>46248</v>
      </c>
      <c r="F81" t="inlineStr">
        <is>
          <t>UPPSALA LÄN</t>
        </is>
      </c>
      <c r="G81" t="inlineStr">
        <is>
          <t>KNIVSTA</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30764-2023</t>
        </is>
      </c>
      <c r="B82" t="inlineStr">
        <is>
          <t>avverkningsanmälan</t>
        </is>
      </c>
      <c r="C82" t="inlineStr">
        <is>
          <t>Föryngringsavverkning</t>
        </is>
      </c>
      <c r="D82" s="1" t="n">
        <v>45112</v>
      </c>
      <c r="E82" s="1" t="n">
        <v>46248</v>
      </c>
      <c r="F82" t="inlineStr">
        <is>
          <t>UPPSALA LÄN</t>
        </is>
      </c>
      <c r="G82" t="inlineStr">
        <is>
          <t>KNIVSTA</t>
        </is>
      </c>
      <c r="H82" t="inlineStr">
        <is>
          <t>Holmen skog AB</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794-2024</t>
        </is>
      </c>
      <c r="B83" t="inlineStr">
        <is>
          <t>avverkningsanmälan</t>
        </is>
      </c>
      <c r="C83" t="inlineStr">
        <is>
          <t>Föryngringsavverkning</t>
        </is>
      </c>
      <c r="D83" s="1" t="n">
        <v>45300</v>
      </c>
      <c r="E83" s="1" t="n">
        <v>46248</v>
      </c>
      <c r="F83" t="inlineStr">
        <is>
          <t>UPPSALA LÄN</t>
        </is>
      </c>
      <c r="G83" t="inlineStr">
        <is>
          <t>KNIVSTA</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45453-2025</t>
        </is>
      </c>
      <c r="B84" t="inlineStr">
        <is>
          <t>avverkningsanmälan</t>
        </is>
      </c>
      <c r="C84" t="inlineStr">
        <is>
          <t>Föryngringsavverkning</t>
        </is>
      </c>
      <c r="D84" s="1" t="n">
        <v>45922</v>
      </c>
      <c r="E84" s="1" t="n">
        <v>46248</v>
      </c>
      <c r="F84" t="inlineStr">
        <is>
          <t>UPPSALA LÄN</t>
        </is>
      </c>
      <c r="G84" t="inlineStr">
        <is>
          <t>KNIVSTA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47803-2025</t>
        </is>
      </c>
      <c r="B85" t="inlineStr">
        <is>
          <t>avverkningsanmälan</t>
        </is>
      </c>
      <c r="C85" t="inlineStr">
        <is>
          <t>Avverkning för annat ändamål</t>
        </is>
      </c>
      <c r="D85" s="1" t="n">
        <v>45931</v>
      </c>
      <c r="E85" s="1" t="n">
        <v>46248</v>
      </c>
      <c r="F85" t="inlineStr">
        <is>
          <t>UPPSALA LÄN</t>
        </is>
      </c>
      <c r="G85" t="inlineStr">
        <is>
          <t>KNIVSTA</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23969-2026</t>
        </is>
      </c>
      <c r="B86" t="inlineStr">
        <is>
          <t>avverkningsanmälan</t>
        </is>
      </c>
      <c r="C86" t="inlineStr">
        <is>
          <t>Föryngringsavverkning</t>
        </is>
      </c>
      <c r="D86" s="1" t="n">
        <v>46167</v>
      </c>
      <c r="E86" s="1" t="n">
        <v>46248</v>
      </c>
      <c r="F86" t="inlineStr">
        <is>
          <t>UPPSALA LÄN</t>
        </is>
      </c>
      <c r="G86" t="inlineStr">
        <is>
          <t>KNIVSTA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49090-2025</t>
        </is>
      </c>
      <c r="B87" t="inlineStr">
        <is>
          <t>avverkningsanmälan</t>
        </is>
      </c>
      <c r="C87" t="inlineStr">
        <is>
          <t>Föryngringsavverkning</t>
        </is>
      </c>
      <c r="D87" s="1" t="n">
        <v>45937</v>
      </c>
      <c r="E87" s="1" t="n">
        <v>46248</v>
      </c>
      <c r="F87" t="inlineStr">
        <is>
          <t>UPPSALA LÄN</t>
        </is>
      </c>
      <c r="G87" t="inlineStr">
        <is>
          <t>KNIVSTA</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28668-2026</t>
        </is>
      </c>
      <c r="B88" t="inlineStr">
        <is>
          <t>avverkningsanmälan</t>
        </is>
      </c>
      <c r="C88" t="inlineStr">
        <is>
          <t>Avverkning för annat ändamål</t>
        </is>
      </c>
      <c r="D88" s="1" t="n">
        <v>46193</v>
      </c>
      <c r="E88" s="1" t="n">
        <v>46248</v>
      </c>
      <c r="F88" t="inlineStr">
        <is>
          <t>UPPSALA LÄN</t>
        </is>
      </c>
      <c r="G88" t="inlineStr">
        <is>
          <t>KNIVSTA</t>
        </is>
      </c>
      <c r="I88" t="n">
        <v>7.4</v>
      </c>
      <c r="J88" t="n">
        <v>0</v>
      </c>
      <c r="K88" t="n">
        <v>0</v>
      </c>
      <c r="L88" t="n">
        <v>0</v>
      </c>
      <c r="M88" t="n">
        <v>0</v>
      </c>
      <c r="N88" t="n">
        <v>0</v>
      </c>
      <c r="O88" t="n">
        <v>0</v>
      </c>
      <c r="P88" t="n">
        <v>0</v>
      </c>
      <c r="Q88" t="n">
        <v>0</v>
      </c>
      <c r="R88" t="n">
        <v>0</v>
      </c>
      <c r="S88" t="n">
        <v>0</v>
      </c>
      <c r="T88" t="n">
        <v>0</v>
      </c>
      <c r="U88" t="n">
        <v>0</v>
      </c>
      <c r="V88" s="2" t="inlineStr"/>
    </row>
    <row r="89" ht="15" customHeight="1">
      <c r="A89" t="inlineStr">
        <is>
          <t>A 60243-2025</t>
        </is>
      </c>
      <c r="B89" t="inlineStr">
        <is>
          <t>avverkningsanmälan</t>
        </is>
      </c>
      <c r="C89" t="inlineStr">
        <is>
          <t>Föryngringsavverkning</t>
        </is>
      </c>
      <c r="D89" s="1" t="n">
        <v>45994</v>
      </c>
      <c r="E89" s="1" t="n">
        <v>46248</v>
      </c>
      <c r="F89" t="inlineStr">
        <is>
          <t>UPPSALA LÄN</t>
        </is>
      </c>
      <c r="G89" t="inlineStr">
        <is>
          <t>KNIVSTA</t>
        </is>
      </c>
      <c r="H89" t="inlineStr">
        <is>
          <t>Holmen skog AB</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662-2026</t>
        </is>
      </c>
      <c r="B90" t="inlineStr">
        <is>
          <t>avverkningsanmälan</t>
        </is>
      </c>
      <c r="C90" t="inlineStr">
        <is>
          <t>Föryngringsavverkning</t>
        </is>
      </c>
      <c r="D90" s="1" t="n">
        <v>46029</v>
      </c>
      <c r="E90" s="1" t="n">
        <v>46248</v>
      </c>
      <c r="F90" t="inlineStr">
        <is>
          <t>UPPSALA LÄN</t>
        </is>
      </c>
      <c r="G90" t="inlineStr">
        <is>
          <t>KNIVSTA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3824-2026</t>
        </is>
      </c>
      <c r="B91" t="inlineStr">
        <is>
          <t>avverkningsanmälan</t>
        </is>
      </c>
      <c r="C91" t="inlineStr">
        <is>
          <t>Föryngringsavverkning</t>
        </is>
      </c>
      <c r="D91" s="1" t="n">
        <v>46043</v>
      </c>
      <c r="E91" s="1" t="n">
        <v>46248</v>
      </c>
      <c r="F91" t="inlineStr">
        <is>
          <t>UPPSALA LÄN</t>
        </is>
      </c>
      <c r="G91" t="inlineStr">
        <is>
          <t>KNIVSTA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3375-2026</t>
        </is>
      </c>
      <c r="B92" t="inlineStr">
        <is>
          <t>avverkningsanmälan</t>
        </is>
      </c>
      <c r="C92" t="inlineStr">
        <is>
          <t>Föryngringsavverkning</t>
        </is>
      </c>
      <c r="D92" s="1" t="n">
        <v>46042</v>
      </c>
      <c r="E92" s="1" t="n">
        <v>46248</v>
      </c>
      <c r="F92" t="inlineStr">
        <is>
          <t>UPPSALA LÄN</t>
        </is>
      </c>
      <c r="G92" t="inlineStr">
        <is>
          <t>KNIVSTA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5908-2026</t>
        </is>
      </c>
      <c r="B93" t="inlineStr">
        <is>
          <t>avverkningsanmälan</t>
        </is>
      </c>
      <c r="C93" t="inlineStr">
        <is>
          <t>Föryngringsavverkning</t>
        </is>
      </c>
      <c r="D93" s="1" t="n">
        <v>46052</v>
      </c>
      <c r="E93" s="1" t="n">
        <v>46248</v>
      </c>
      <c r="F93" t="inlineStr">
        <is>
          <t>UPPSALA LÄN</t>
        </is>
      </c>
      <c r="G93" t="inlineStr">
        <is>
          <t>KNIVSTA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5910-2026</t>
        </is>
      </c>
      <c r="B94" t="inlineStr">
        <is>
          <t>avverkningsanmälan</t>
        </is>
      </c>
      <c r="C94" t="inlineStr">
        <is>
          <t>Föryngringsavverkning</t>
        </is>
      </c>
      <c r="D94" s="1" t="n">
        <v>46052</v>
      </c>
      <c r="E94" s="1" t="n">
        <v>46248</v>
      </c>
      <c r="F94" t="inlineStr">
        <is>
          <t>UPPSALA LÄN</t>
        </is>
      </c>
      <c r="G94" t="inlineStr">
        <is>
          <t>KNIVSTA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9744-2026</t>
        </is>
      </c>
      <c r="B95" t="inlineStr">
        <is>
          <t>avverkningsanmälan</t>
        </is>
      </c>
      <c r="C95" t="inlineStr">
        <is>
          <t>Föryngringsavverkning</t>
        </is>
      </c>
      <c r="D95" s="1" t="n">
        <v>46072</v>
      </c>
      <c r="E95" s="1" t="n">
        <v>46248</v>
      </c>
      <c r="F95" t="inlineStr">
        <is>
          <t>UPPSALA LÄN</t>
        </is>
      </c>
      <c r="G95" t="inlineStr">
        <is>
          <t>KNIVSTA</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12027-2026</t>
        </is>
      </c>
      <c r="B96" t="inlineStr">
        <is>
          <t>avverkningsanmälan</t>
        </is>
      </c>
      <c r="C96" t="inlineStr">
        <is>
          <t>Avverkning för annat ändamål</t>
        </is>
      </c>
      <c r="D96" s="1" t="n">
        <v>46085</v>
      </c>
      <c r="E96" s="1" t="n">
        <v>46248</v>
      </c>
      <c r="F96" t="inlineStr">
        <is>
          <t>UPPSALA LÄN</t>
        </is>
      </c>
      <c r="G96" t="inlineStr">
        <is>
          <t>KNIVSTA</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12774-2026</t>
        </is>
      </c>
      <c r="B97" t="inlineStr">
        <is>
          <t>avverkningsanmälan</t>
        </is>
      </c>
      <c r="C97" t="inlineStr">
        <is>
          <t>Föryngringsavverkning</t>
        </is>
      </c>
      <c r="D97" s="1" t="n">
        <v>46091</v>
      </c>
      <c r="E97" s="1" t="n">
        <v>46248</v>
      </c>
      <c r="F97" t="inlineStr">
        <is>
          <t>UPPSALA LÄN</t>
        </is>
      </c>
      <c r="G97" t="inlineStr">
        <is>
          <t>KNIVSTA</t>
        </is>
      </c>
      <c r="H97" t="inlineStr">
        <is>
          <t>Holmen skog AB</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13011-2026</t>
        </is>
      </c>
      <c r="B98" t="inlineStr">
        <is>
          <t>avverkningsanmälan</t>
        </is>
      </c>
      <c r="C98" t="inlineStr">
        <is>
          <t>Föryngringsavverkning</t>
        </is>
      </c>
      <c r="D98" s="1" t="n">
        <v>46092</v>
      </c>
      <c r="E98" s="1" t="n">
        <v>46248</v>
      </c>
      <c r="F98" t="inlineStr">
        <is>
          <t>UPPSALA LÄN</t>
        </is>
      </c>
      <c r="G98" t="inlineStr">
        <is>
          <t>KNIVSTA</t>
        </is>
      </c>
      <c r="H98" t="inlineStr">
        <is>
          <t>Holmen skog AB</t>
        </is>
      </c>
      <c r="I98" t="n">
        <v>1.9</v>
      </c>
      <c r="J98" t="n">
        <v>0</v>
      </c>
      <c r="K98" t="n">
        <v>0</v>
      </c>
      <c r="L98" t="n">
        <v>0</v>
      </c>
      <c r="M98" t="n">
        <v>0</v>
      </c>
      <c r="N98" t="n">
        <v>0</v>
      </c>
      <c r="O98" t="n">
        <v>0</v>
      </c>
      <c r="P98" t="n">
        <v>0</v>
      </c>
      <c r="Q98" t="n">
        <v>0</v>
      </c>
      <c r="R98" t="n">
        <v>0</v>
      </c>
      <c r="S98" t="n">
        <v>0</v>
      </c>
      <c r="T98" t="n">
        <v>0</v>
      </c>
      <c r="U98" t="n">
        <v>0</v>
      </c>
      <c r="V98" s="2" t="inlineStr"/>
      <c r="Z98">
        <f>HYPERLINK("https://klasma.github.io/Logging_0330/knärot/A 13011-2026 karta knärot.png", "A 13011-2026")</f>
        <v/>
      </c>
      <c r="AA98">
        <f>HYPERLINK("https://klasma.github.io/Logging_0330/klagomål/A 13011-2026 FSC-klagomål.docx", "A 13011-2026")</f>
        <v/>
      </c>
      <c r="AB98">
        <f>HYPERLINK("https://klasma.github.io/Logging_0330/klagomålsmail/A 13011-2026 FSC-klagomål mail.docx", "A 13011-2026")</f>
        <v/>
      </c>
      <c r="AC98">
        <f>HYPERLINK("https://klasma.github.io/Logging_0330/tillsyn/A 13011-2026 tillsynsbegäran.docx", "A 13011-2026")</f>
        <v/>
      </c>
      <c r="AD98">
        <f>HYPERLINK("https://klasma.github.io/Logging_0330/tillsynsmail/A 13011-2026 tillsynsbegäran mail.docx", "A 13011-2026")</f>
        <v/>
      </c>
    </row>
    <row r="99" ht="15" customHeight="1">
      <c r="A99" t="inlineStr">
        <is>
          <t>A 13013-2026</t>
        </is>
      </c>
      <c r="B99" t="inlineStr">
        <is>
          <t>avverkningsanmälan</t>
        </is>
      </c>
      <c r="C99" t="inlineStr">
        <is>
          <t>Föryngringsavverkning</t>
        </is>
      </c>
      <c r="D99" s="1" t="n">
        <v>46092</v>
      </c>
      <c r="E99" s="1" t="n">
        <v>46248</v>
      </c>
      <c r="F99" t="inlineStr">
        <is>
          <t>UPPSALA LÄN</t>
        </is>
      </c>
      <c r="G99" t="inlineStr">
        <is>
          <t>KNIVSTA</t>
        </is>
      </c>
      <c r="H99" t="inlineStr">
        <is>
          <t>Holmen skog AB</t>
        </is>
      </c>
      <c r="I99" t="n">
        <v>4.6</v>
      </c>
      <c r="J99" t="n">
        <v>0</v>
      </c>
      <c r="K99" t="n">
        <v>0</v>
      </c>
      <c r="L99" t="n">
        <v>0</v>
      </c>
      <c r="M99" t="n">
        <v>0</v>
      </c>
      <c r="N99" t="n">
        <v>0</v>
      </c>
      <c r="O99" t="n">
        <v>0</v>
      </c>
      <c r="P99" t="n">
        <v>0</v>
      </c>
      <c r="Q99" t="n">
        <v>0</v>
      </c>
      <c r="R99" t="n">
        <v>0</v>
      </c>
      <c r="S99" t="n">
        <v>0</v>
      </c>
      <c r="T99" t="n">
        <v>0</v>
      </c>
      <c r="U99" t="n">
        <v>0</v>
      </c>
      <c r="V99" s="2" t="inlineStr"/>
    </row>
    <row r="100" ht="15" customHeight="1">
      <c r="A100" t="inlineStr">
        <is>
          <t>A 13001-2026</t>
        </is>
      </c>
      <c r="B100" t="inlineStr">
        <is>
          <t>avverkningsanmälan</t>
        </is>
      </c>
      <c r="C100" t="inlineStr">
        <is>
          <t>Föryngringsavverkning</t>
        </is>
      </c>
      <c r="D100" s="1" t="n">
        <v>46092</v>
      </c>
      <c r="E100" s="1" t="n">
        <v>46248</v>
      </c>
      <c r="F100" t="inlineStr">
        <is>
          <t>UPPSALA LÄN</t>
        </is>
      </c>
      <c r="G100" t="inlineStr">
        <is>
          <t>KNIVSTA</t>
        </is>
      </c>
      <c r="H100" t="inlineStr">
        <is>
          <t>Holmen skog AB</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13005-2026</t>
        </is>
      </c>
      <c r="B101" t="inlineStr">
        <is>
          <t>avverkningsanmälan</t>
        </is>
      </c>
      <c r="C101" t="inlineStr">
        <is>
          <t>Föryngringsavverkning</t>
        </is>
      </c>
      <c r="D101" s="1" t="n">
        <v>46092</v>
      </c>
      <c r="E101" s="1" t="n">
        <v>46248</v>
      </c>
      <c r="F101" t="inlineStr">
        <is>
          <t>UPPSALA LÄN</t>
        </is>
      </c>
      <c r="G101" t="inlineStr">
        <is>
          <t>KNIVSTA</t>
        </is>
      </c>
      <c r="H101" t="inlineStr">
        <is>
          <t>Holmen skog AB</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13016-2026</t>
        </is>
      </c>
      <c r="B102" t="inlineStr">
        <is>
          <t>avverkningsanmälan</t>
        </is>
      </c>
      <c r="C102" t="inlineStr">
        <is>
          <t>Föryngringsavverkning</t>
        </is>
      </c>
      <c r="D102" s="1" t="n">
        <v>46092</v>
      </c>
      <c r="E102" s="1" t="n">
        <v>46248</v>
      </c>
      <c r="F102" t="inlineStr">
        <is>
          <t>UPPSALA LÄN</t>
        </is>
      </c>
      <c r="G102" t="inlineStr">
        <is>
          <t>KNIVSTA</t>
        </is>
      </c>
      <c r="H102" t="inlineStr">
        <is>
          <t>Holmen skog AB</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19774-2026</t>
        </is>
      </c>
      <c r="B103" t="inlineStr">
        <is>
          <t>avverkningsanmälan</t>
        </is>
      </c>
      <c r="C103" t="inlineStr">
        <is>
          <t>Föryngringsavverkning</t>
        </is>
      </c>
      <c r="D103" s="1" t="n">
        <v>46135</v>
      </c>
      <c r="E103" s="1" t="n">
        <v>46248</v>
      </c>
      <c r="F103" t="inlineStr">
        <is>
          <t>UPPSALA LÄN</t>
        </is>
      </c>
      <c r="G103" t="inlineStr">
        <is>
          <t>KNIVSTA</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52666-2025</t>
        </is>
      </c>
      <c r="B104" t="inlineStr">
        <is>
          <t>avverkningsanmälan</t>
        </is>
      </c>
      <c r="C104" t="inlineStr">
        <is>
          <t>Föryngringsavverkning</t>
        </is>
      </c>
      <c r="D104" s="1" t="n">
        <v>45955</v>
      </c>
      <c r="E104" s="1" t="n">
        <v>46248</v>
      </c>
      <c r="F104" t="inlineStr">
        <is>
          <t>UPPSALA LÄN</t>
        </is>
      </c>
      <c r="G104" t="inlineStr">
        <is>
          <t>KNIVSTA</t>
        </is>
      </c>
      <c r="I104" t="n">
        <v>2.1</v>
      </c>
      <c r="J104" t="n">
        <v>0</v>
      </c>
      <c r="K104" t="n">
        <v>0</v>
      </c>
      <c r="L104" t="n">
        <v>0</v>
      </c>
      <c r="M104" t="n">
        <v>0</v>
      </c>
      <c r="N104" t="n">
        <v>0</v>
      </c>
      <c r="O104" t="n">
        <v>0</v>
      </c>
      <c r="P104" t="n">
        <v>0</v>
      </c>
      <c r="Q104" t="n">
        <v>0</v>
      </c>
      <c r="R104" t="n">
        <v>0</v>
      </c>
      <c r="S104" t="n">
        <v>0</v>
      </c>
      <c r="T104" t="n">
        <v>0</v>
      </c>
      <c r="U104" t="n">
        <v>0</v>
      </c>
      <c r="V104" s="2" t="inlineStr"/>
    </row>
    <row r="105">
      <c r="A105" t="inlineStr">
        <is>
          <t>S 1411-2022</t>
        </is>
      </c>
      <c r="B105" t="inlineStr">
        <is>
          <t>samrådsanmälan</t>
        </is>
      </c>
      <c r="C105" t="inlineStr">
        <is>
          <t>Annan skogsbruksåtgärd</t>
        </is>
      </c>
      <c r="D105" s="1" t="n">
        <v>44634</v>
      </c>
      <c r="E105" s="1" t="n">
        <v>46248</v>
      </c>
      <c r="F105" t="inlineStr">
        <is>
          <t>UPPSALA LÄN</t>
        </is>
      </c>
      <c r="G105" t="inlineStr">
        <is>
          <t>KNIVSTA</t>
        </is>
      </c>
      <c r="I105" t="n">
        <v>2</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2026-08-14T01:57:20Z</dcterms:created>
  <dcterms:modified xmlns:dcterms="http://purl.org/dc/terms/" xmlns:xsi="http://www.w3.org/2001/XMLSchema-instance" xsi:type="dcterms:W3CDTF">2026-08-14T01:57:20Z</dcterms:modified>
</cp:coreProperties>
</file>