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46326</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46326</v>
      </c>
      <c r="F6" t="inlineStr">
        <is>
          <t>UPPSALA LÄN</t>
        </is>
      </c>
      <c r="G6" t="inlineStr">
        <is>
          <t>KNIVSTA</t>
        </is>
      </c>
      <c r="I6" t="n">
        <v>0.7</v>
      </c>
      <c r="J6" t="n">
        <v>1</v>
      </c>
      <c r="K6" t="n">
        <v>9</v>
      </c>
      <c r="L6" t="n">
        <v>6</v>
      </c>
      <c r="M6" t="n">
        <v>3</v>
      </c>
      <c r="N6" t="n">
        <v>0</v>
      </c>
      <c r="O6" t="n">
        <v>0</v>
      </c>
      <c r="P6" t="n">
        <v>0</v>
      </c>
      <c r="Q6" t="n">
        <v>9</v>
      </c>
      <c r="R6" t="n">
        <v>3</v>
      </c>
      <c r="S6" t="n">
        <v>19</v>
      </c>
      <c r="T6" t="n">
        <v>34</v>
      </c>
      <c r="U6" t="n">
        <v>11</v>
      </c>
      <c r="V6" s="2" t="inlineStr">
        <is>
          <t>Apelticka
Aspfjädermossa
Kärnticka
Blastenia relicta
Grönhjon
Kandelabersvamp
Koralltaggsvamp
Lunglav
Ullticka
Bronshjon
Bårdlav
Dvärgtufs
Granbarkgnagare
Platt fjädermossa
Rävticka
Stekelbock
Stor aspticka
Thomsons trägnagare
Vanlig padda</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35395-2026</t>
        </is>
      </c>
      <c r="B8" t="inlineStr">
        <is>
          <t>avverkningsanmälan</t>
        </is>
      </c>
      <c r="C8" t="inlineStr">
        <is>
          <t>Föryngringsavverkning</t>
        </is>
      </c>
      <c r="D8" s="1" t="n">
        <v>46261</v>
      </c>
      <c r="E8" s="1" t="n">
        <v>46326</v>
      </c>
      <c r="F8" t="inlineStr">
        <is>
          <t>UPPSALA LÄN</t>
        </is>
      </c>
      <c r="G8" t="inlineStr">
        <is>
          <t>KNIVSTA</t>
        </is>
      </c>
      <c r="H8" t="inlineStr">
        <is>
          <t>Holmen skog AB</t>
        </is>
      </c>
      <c r="I8" t="n">
        <v>7.4</v>
      </c>
      <c r="J8" t="n">
        <v>2</v>
      </c>
      <c r="K8" t="n">
        <v>6</v>
      </c>
      <c r="L8" t="n">
        <v>4</v>
      </c>
      <c r="M8" t="n">
        <v>0</v>
      </c>
      <c r="N8" t="n">
        <v>0</v>
      </c>
      <c r="O8" t="n">
        <v>0</v>
      </c>
      <c r="P8" t="n">
        <v>0</v>
      </c>
      <c r="Q8" t="n">
        <v>4</v>
      </c>
      <c r="R8" t="n">
        <v>0</v>
      </c>
      <c r="S8" t="n">
        <v>13</v>
      </c>
      <c r="T8" t="n">
        <v>34</v>
      </c>
      <c r="U8" t="n">
        <v>34</v>
      </c>
      <c r="V8" s="2" t="inlineStr">
        <is>
          <t>Motaggsvamp
Spinnfingersvamp
Tallkötticka
Ullticka
Björksplintborre
Blodticka
Brandticka
Fällmossa
Trubbfjädermossa
Vedticka
Kransmossa
Tjäder
Tofsmes</t>
        </is>
      </c>
      <c r="W8">
        <f>HYPERLINK("https://klasma.github.io/Logging_0330/artfynd/A 35395-2026 artfynd.xlsx", "A 35395-2026")</f>
        <v/>
      </c>
      <c r="X8">
        <f>HYPERLINK("https://klasma.github.io/Logging_0330/kartor/A 35395-2026 karta.png", "A 35395-2026")</f>
        <v/>
      </c>
      <c r="Y8">
        <f>HYPERLINK("https://klasma.github.io/Logging_0330/kartor_geotiff/A 35395-2026 georefererad karta.tif", "A 35395-2026")</f>
        <v/>
      </c>
      <c r="AA8">
        <f>HYPERLINK("https://klasma.github.io/Logging_0330/klagomål/A 35395-2026 FSC-klagomål.docx", "A 35395-2026")</f>
        <v/>
      </c>
      <c r="AB8">
        <f>HYPERLINK("https://klasma.github.io/Logging_0330/klagomålsmail/A 35395-2026 FSC-klagomål mail.docx", "A 35395-2026")</f>
        <v/>
      </c>
      <c r="AC8">
        <f>HYPERLINK("https://klasma.github.io/Logging_0330/tillsyn/A 35395-2026 tillsynsbegäran.docx", "A 35395-2026")</f>
        <v/>
      </c>
      <c r="AD8">
        <f>HYPERLINK("https://klasma.github.io/Logging_0330/tillsynsmail/A 35395-2026 tillsynsbegäran mail.docx", "A 35395-2026")</f>
        <v/>
      </c>
      <c r="AE8">
        <f>HYPERLINK("https://klasma.github.io/Logging_0330/fåglar/A 35395-2026 prioriterade fågelarter.docx", "A 35395-2026")</f>
        <v/>
      </c>
    </row>
    <row r="9" ht="15" customHeight="1">
      <c r="A9" t="inlineStr">
        <is>
          <t>A 22258-2022</t>
        </is>
      </c>
      <c r="B9" t="inlineStr">
        <is>
          <t>avverkningsanmälan</t>
        </is>
      </c>
      <c r="C9" t="inlineStr">
        <is>
          <t>Föryngringsavverkning</t>
        </is>
      </c>
      <c r="D9" s="1" t="n">
        <v>44712</v>
      </c>
      <c r="E9" s="1" t="n">
        <v>46326</v>
      </c>
      <c r="F9" t="inlineStr">
        <is>
          <t>UPPSALA LÄN</t>
        </is>
      </c>
      <c r="G9" t="inlineStr">
        <is>
          <t>KNIVSTA</t>
        </is>
      </c>
      <c r="I9" t="n">
        <v>1.4</v>
      </c>
      <c r="J9" t="n">
        <v>4</v>
      </c>
      <c r="K9" t="n">
        <v>6</v>
      </c>
      <c r="L9" t="n">
        <v>1</v>
      </c>
      <c r="M9" t="n">
        <v>1</v>
      </c>
      <c r="N9" t="n">
        <v>1</v>
      </c>
      <c r="O9" t="n">
        <v>0</v>
      </c>
      <c r="P9" t="n">
        <v>0</v>
      </c>
      <c r="Q9" t="n">
        <v>3</v>
      </c>
      <c r="R9" t="n">
        <v>2</v>
      </c>
      <c r="S9" t="n">
        <v>12</v>
      </c>
      <c r="T9" t="n">
        <v>26</v>
      </c>
      <c r="U9" t="n">
        <v>21</v>
      </c>
      <c r="V9" s="2" t="inlineStr">
        <is>
          <t>Bombmurkla
Knärot
Ullticka
Granbarkgnagare
Grov fjädermossa
Grönpyrola
Kamjordstjärna
Platt fjädermossa
Svart trolldruva
Blåsippa
Kransmossa
Spillkråka</t>
        </is>
      </c>
      <c r="W9">
        <f>HYPERLINK("https://klasma.github.io/Logging_0330/artfynd/A 22258-2022 artfynd.xlsx", "A 22258-2022")</f>
        <v/>
      </c>
      <c r="X9">
        <f>HYPERLINK("https://klasma.github.io/Logging_0330/kartor/A 22258-2022 karta.png", "A 22258-2022")</f>
        <v/>
      </c>
      <c r="Y9">
        <f>HYPERLINK("https://klasma.github.io/Logging_0330/kartor_geotiff/A 22258-2022 georefererad karta.tif", "A 22258-2022")</f>
        <v/>
      </c>
      <c r="Z9">
        <f>HYPERLINK("https://klasma.github.io/Logging_0330/knärot/A 22258-2022 karta knärot.png", "A 22258-2022")</f>
        <v/>
      </c>
      <c r="AA9">
        <f>HYPERLINK("https://klasma.github.io/Logging_0330/klagomål/A 22258-2022 FSC-klagomål.docx", "A 22258-2022")</f>
        <v/>
      </c>
      <c r="AB9">
        <f>HYPERLINK("https://klasma.github.io/Logging_0330/klagomålsmail/A 22258-2022 FSC-klagomål mail.docx", "A 22258-2022")</f>
        <v/>
      </c>
      <c r="AC9">
        <f>HYPERLINK("https://klasma.github.io/Logging_0330/tillsyn/A 22258-2022 tillsynsbegäran.docx", "A 22258-2022")</f>
        <v/>
      </c>
      <c r="AD9">
        <f>HYPERLINK("https://klasma.github.io/Logging_0330/tillsynsmail/A 22258-2022 tillsynsbegäran mail.docx", "A 22258-2022")</f>
        <v/>
      </c>
      <c r="AE9">
        <f>HYPERLINK("https://klasma.github.io/Logging_0330/fåglar/A 22258-2022 prioriterade fågelarter.docx", "A 22258-2022")</f>
        <v/>
      </c>
    </row>
    <row r="10" ht="15" customHeight="1">
      <c r="A10" t="inlineStr">
        <is>
          <t>A 2214-2026</t>
        </is>
      </c>
      <c r="B10" t="inlineStr">
        <is>
          <t>avverkningsanmälan</t>
        </is>
      </c>
      <c r="C10" t="inlineStr">
        <is>
          <t>Avverkning för annat ändamål</t>
        </is>
      </c>
      <c r="D10" s="1" t="n">
        <v>46036</v>
      </c>
      <c r="E10" s="1" t="n">
        <v>46326</v>
      </c>
      <c r="F10" t="inlineStr">
        <is>
          <t>UPPSALA LÄN</t>
        </is>
      </c>
      <c r="G10" t="inlineStr">
        <is>
          <t>KNIVSTA</t>
        </is>
      </c>
      <c r="I10" t="n">
        <v>4.4</v>
      </c>
      <c r="J10" t="n">
        <v>2</v>
      </c>
      <c r="K10" t="n">
        <v>1</v>
      </c>
      <c r="L10" t="n">
        <v>5</v>
      </c>
      <c r="M10" t="n">
        <v>1</v>
      </c>
      <c r="N10" t="n">
        <v>0</v>
      </c>
      <c r="O10" t="n">
        <v>0</v>
      </c>
      <c r="P10" t="n">
        <v>0</v>
      </c>
      <c r="Q10" t="n">
        <v>6</v>
      </c>
      <c r="R10" t="n">
        <v>1</v>
      </c>
      <c r="S10" t="n">
        <v>8</v>
      </c>
      <c r="T10" t="n">
        <v>19</v>
      </c>
      <c r="U10" t="n">
        <v>9</v>
      </c>
      <c r="V10" s="2" t="inlineStr">
        <is>
          <t>Knärot
Dropptaggsvamp
Motaggsvamp
Tallticka
Ullticka
Vintertagging
Blomkålssvamp
Fläcknycklar</t>
        </is>
      </c>
      <c r="W10">
        <f>HYPERLINK("https://klasma.github.io/Logging_0330/artfynd/A 2214-2026 artfynd.xlsx", "A 2214-2026")</f>
        <v/>
      </c>
      <c r="X10">
        <f>HYPERLINK("https://klasma.github.io/Logging_0330/kartor/A 2214-2026 karta.png", "A 2214-2026")</f>
        <v/>
      </c>
      <c r="Y10">
        <f>HYPERLINK("https://klasma.github.io/Logging_0330/kartor_geotiff/A 2214-2026 georefererad karta.tif", "A 2214-2026")</f>
        <v/>
      </c>
      <c r="Z10">
        <f>HYPERLINK("https://klasma.github.io/Logging_0330/knärot/A 2214-2026 karta knärot.png", "A 2214-2026")</f>
        <v/>
      </c>
      <c r="AA10">
        <f>HYPERLINK("https://klasma.github.io/Logging_0330/klagomål/A 2214-2026 FSC-klagomål.docx", "A 2214-2026")</f>
        <v/>
      </c>
      <c r="AB10">
        <f>HYPERLINK("https://klasma.github.io/Logging_0330/klagomålsmail/A 2214-2026 FSC-klagomål mail.docx", "A 2214-2026")</f>
        <v/>
      </c>
      <c r="AC10">
        <f>HYPERLINK("https://klasma.github.io/Logging_0330/tillsyn/A 2214-2026 tillsynsbegäran.docx", "A 2214-2026")</f>
        <v/>
      </c>
      <c r="AD10">
        <f>HYPERLINK("https://klasma.github.io/Logging_0330/tillsynsmail/A 2214-2026 tillsynsbegäran mail.docx", "A 2214-2026")</f>
        <v/>
      </c>
    </row>
    <row r="11" ht="15" customHeight="1">
      <c r="A11" t="inlineStr">
        <is>
          <t>S 4597-2022</t>
        </is>
      </c>
      <c r="B11" t="inlineStr">
        <is>
          <t>samrådsanmälan</t>
        </is>
      </c>
      <c r="C11" t="inlineStr">
        <is>
          <t>Annan skogsbruksåtgärd</t>
        </is>
      </c>
      <c r="D11" s="1" t="n">
        <v>44791</v>
      </c>
      <c r="E11" s="1" t="n">
        <v>46326</v>
      </c>
      <c r="F11" t="inlineStr">
        <is>
          <t>UPPSALA LÄN</t>
        </is>
      </c>
      <c r="G11" t="inlineStr">
        <is>
          <t>KNIVSTA</t>
        </is>
      </c>
      <c r="H11" t="inlineStr">
        <is>
          <t>Övriga statliga verk och myndigheter</t>
        </is>
      </c>
      <c r="I11" t="n">
        <v>30.1</v>
      </c>
      <c r="J11" t="n">
        <v>3</v>
      </c>
      <c r="K11" t="n">
        <v>0</v>
      </c>
      <c r="L11" t="n">
        <v>2</v>
      </c>
      <c r="M11" t="n">
        <v>1</v>
      </c>
      <c r="N11" t="n">
        <v>1</v>
      </c>
      <c r="O11" t="n">
        <v>0</v>
      </c>
      <c r="P11" t="n">
        <v>0</v>
      </c>
      <c r="Q11" t="n">
        <v>4</v>
      </c>
      <c r="R11" t="n">
        <v>2</v>
      </c>
      <c r="S11" t="n">
        <v>7</v>
      </c>
      <c r="T11" t="n">
        <v>7</v>
      </c>
      <c r="U11" t="n">
        <v>3</v>
      </c>
      <c r="V11" s="2" t="inlineStr">
        <is>
          <t>Franstandad barkskinnbagge
Skrovlig taggsvamp
Bronspraktbagge
Tallticka
Järpe
Havsörn
Fläcknycklar</t>
        </is>
      </c>
      <c r="W11">
        <f>HYPERLINK("https://klasma.github.io/Logging_0330/artfynd/S 4597-2022 artfynd.xlsx", "S 4597-2022")</f>
        <v/>
      </c>
      <c r="X11">
        <f>HYPERLINK("https://klasma.github.io/Logging_0330/kartor/S 4597-2022 karta.png", "S 4597-2022")</f>
        <v/>
      </c>
      <c r="Y11">
        <f>HYPERLINK("https://klasma.github.io/Logging_0330/kartor_geotiff/S 4597-2022 georefererad karta.tif", "S 4597-2022")</f>
        <v/>
      </c>
      <c r="AA11">
        <f>HYPERLINK("https://klasma.github.io/Logging_0330/klagomål/S 4597-2022 FSC-klagomål.docx", "S 4597-2022")</f>
        <v/>
      </c>
      <c r="AB11">
        <f>HYPERLINK("https://klasma.github.io/Logging_0330/klagomålsmail/S 4597-2022 FSC-klagomål mail.docx", "S 4597-2022")</f>
        <v/>
      </c>
      <c r="AC11">
        <f>HYPERLINK("https://klasma.github.io/Logging_0330/tillsyn/S 4597-2022 tillsynsbegäran.docx", "S 4597-2022")</f>
        <v/>
      </c>
      <c r="AD11">
        <f>HYPERLINK("https://klasma.github.io/Logging_0330/tillsynsmail/S 4597-2022 tillsynsbegäran mail.docx", "S 4597-2022")</f>
        <v/>
      </c>
      <c r="AE11">
        <f>HYPERLINK("https://klasma.github.io/Logging_0330/fåglar/S 4597-2022 prioriterade fågelarter.docx", "S 4597-2022")</f>
        <v/>
      </c>
    </row>
    <row r="12" ht="15" customHeight="1">
      <c r="A12" t="inlineStr">
        <is>
          <t>S 3400-2025</t>
        </is>
      </c>
      <c r="B12" t="inlineStr">
        <is>
          <t>samrådsanmälan</t>
        </is>
      </c>
      <c r="C12" t="inlineStr">
        <is>
          <t>Skogsgödsling</t>
        </is>
      </c>
      <c r="D12" s="1" t="n">
        <v>45994</v>
      </c>
      <c r="E12" s="1" t="n">
        <v>46326</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46326</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46326</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46326</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15</v>
      </c>
      <c r="U15" t="n">
        <v>15</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46326</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46326</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46326</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13004-2026</t>
        </is>
      </c>
      <c r="B19" t="inlineStr">
        <is>
          <t>avverkningsanmälan</t>
        </is>
      </c>
      <c r="C19" t="inlineStr">
        <is>
          <t>Föryngringsavverkning</t>
        </is>
      </c>
      <c r="D19" s="1" t="n">
        <v>46092</v>
      </c>
      <c r="E19" s="1" t="n">
        <v>46326</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61768-2025</t>
        </is>
      </c>
      <c r="B20" t="inlineStr">
        <is>
          <t>avverkningsanmälan</t>
        </is>
      </c>
      <c r="C20" t="inlineStr">
        <is>
          <t>Föryngringsavverkning</t>
        </is>
      </c>
      <c r="D20" s="1" t="n">
        <v>46002</v>
      </c>
      <c r="E20" s="1" t="n">
        <v>46326</v>
      </c>
      <c r="F20" t="inlineStr">
        <is>
          <t>UPPSALA LÄN</t>
        </is>
      </c>
      <c r="G20" t="inlineStr">
        <is>
          <t>KNIVSTA</t>
        </is>
      </c>
      <c r="I20" t="n">
        <v>3</v>
      </c>
      <c r="J20" t="n">
        <v>0</v>
      </c>
      <c r="K20" t="n">
        <v>1</v>
      </c>
      <c r="L20" t="n">
        <v>1</v>
      </c>
      <c r="M20" t="n">
        <v>0</v>
      </c>
      <c r="N20" t="n">
        <v>0</v>
      </c>
      <c r="O20" t="n">
        <v>0</v>
      </c>
      <c r="P20" t="n">
        <v>0</v>
      </c>
      <c r="Q20" t="n">
        <v>1</v>
      </c>
      <c r="R20" t="n">
        <v>0</v>
      </c>
      <c r="S20" t="n">
        <v>2</v>
      </c>
      <c r="T20" t="n">
        <v>2</v>
      </c>
      <c r="U20" t="n">
        <v>0</v>
      </c>
      <c r="V20" s="2" t="inlineStr">
        <is>
          <t>Gullpudra
Kamjordstjärna</t>
        </is>
      </c>
      <c r="W20">
        <f>HYPERLINK("https://klasma.github.io/Logging_0330/artfynd/A 61768-2025 artfynd.xlsx", "A 61768-2025")</f>
        <v/>
      </c>
      <c r="X20">
        <f>HYPERLINK("https://klasma.github.io/Logging_0330/kartor/A 61768-2025 karta.png", "A 61768-2025")</f>
        <v/>
      </c>
      <c r="Y20">
        <f>HYPERLINK("https://klasma.github.io/Logging_0330/kartor_geotiff/A 61768-2025 georefererad karta.tif", "A 61768-2025")</f>
        <v/>
      </c>
      <c r="AA20">
        <f>HYPERLINK("https://klasma.github.io/Logging_0330/klagomål/A 61768-2025 FSC-klagomål.docx", "A 61768-2025")</f>
        <v/>
      </c>
      <c r="AB20">
        <f>HYPERLINK("https://klasma.github.io/Logging_0330/klagomålsmail/A 61768-2025 FSC-klagomål mail.docx", "A 61768-2025")</f>
        <v/>
      </c>
      <c r="AC20">
        <f>HYPERLINK("https://klasma.github.io/Logging_0330/tillsyn/A 61768-2025 tillsynsbegäran.docx", "A 61768-2025")</f>
        <v/>
      </c>
      <c r="AD20">
        <f>HYPERLINK("https://klasma.github.io/Logging_0330/tillsynsmail/A 61768-2025 tillsynsbegäran mail.docx", "A 61768-2025")</f>
        <v/>
      </c>
    </row>
    <row r="21" ht="15" customHeight="1">
      <c r="A21" t="inlineStr">
        <is>
          <t>A 18576-2026</t>
        </is>
      </c>
      <c r="B21" t="inlineStr">
        <is>
          <t>avverkningsanmälan</t>
        </is>
      </c>
      <c r="C21" t="inlineStr">
        <is>
          <t>Föryngringsavverkning</t>
        </is>
      </c>
      <c r="D21" s="1" t="n">
        <v>46127</v>
      </c>
      <c r="E21" s="1" t="n">
        <v>46326</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46326</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46326</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666-2026</t>
        </is>
      </c>
      <c r="B24" t="inlineStr">
        <is>
          <t>avverkningsanmälan</t>
        </is>
      </c>
      <c r="C24" t="inlineStr">
        <is>
          <t>Föryngringsavverkning</t>
        </is>
      </c>
      <c r="D24" s="1" t="n">
        <v>46029</v>
      </c>
      <c r="E24" s="1" t="n">
        <v>46326</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46326</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9561-2026</t>
        </is>
      </c>
      <c r="B26" t="inlineStr">
        <is>
          <t>avverkningsanmälan</t>
        </is>
      </c>
      <c r="C26" t="inlineStr">
        <is>
          <t>Föryngringsavverkning</t>
        </is>
      </c>
      <c r="D26" s="1" t="n">
        <v>46071</v>
      </c>
      <c r="E26" s="1" t="n">
        <v>46326</v>
      </c>
      <c r="F26" t="inlineStr">
        <is>
          <t>UPPSALA LÄN</t>
        </is>
      </c>
      <c r="G26" t="inlineStr">
        <is>
          <t>KNIVSTA</t>
        </is>
      </c>
      <c r="H26" t="inlineStr">
        <is>
          <t>Övriga statliga verk och myndigheter</t>
        </is>
      </c>
      <c r="I26" t="n">
        <v>2.6</v>
      </c>
      <c r="J26" t="n">
        <v>0</v>
      </c>
      <c r="K26" t="n">
        <v>0</v>
      </c>
      <c r="L26" t="n">
        <v>1</v>
      </c>
      <c r="M26" t="n">
        <v>0</v>
      </c>
      <c r="N26" t="n">
        <v>0</v>
      </c>
      <c r="O26" t="n">
        <v>0</v>
      </c>
      <c r="P26" t="n">
        <v>0</v>
      </c>
      <c r="Q26" t="n">
        <v>1</v>
      </c>
      <c r="R26" t="n">
        <v>0</v>
      </c>
      <c r="S26" t="n">
        <v>1</v>
      </c>
      <c r="T26" t="n">
        <v>1</v>
      </c>
      <c r="U26" t="n">
        <v>0</v>
      </c>
      <c r="V26" s="2" t="inlineStr">
        <is>
          <t>Svartöra</t>
        </is>
      </c>
      <c r="W26">
        <f>HYPERLINK("https://klasma.github.io/Logging_0330/artfynd/A 9561-2026 artfynd.xlsx", "A 9561-2026")</f>
        <v/>
      </c>
      <c r="X26">
        <f>HYPERLINK("https://klasma.github.io/Logging_0330/kartor/A 9561-2026 karta.png", "A 9561-2026")</f>
        <v/>
      </c>
      <c r="Y26">
        <f>HYPERLINK("https://klasma.github.io/Logging_0330/kartor_geotiff/A 9561-2026 georefererad karta.tif", "A 9561-2026")</f>
        <v/>
      </c>
      <c r="AA26">
        <f>HYPERLINK("https://klasma.github.io/Logging_0330/klagomål/A 9561-2026 FSC-klagomål.docx", "A 9561-2026")</f>
        <v/>
      </c>
      <c r="AB26">
        <f>HYPERLINK("https://klasma.github.io/Logging_0330/klagomålsmail/A 9561-2026 FSC-klagomål mail.docx", "A 9561-2026")</f>
        <v/>
      </c>
      <c r="AC26">
        <f>HYPERLINK("https://klasma.github.io/Logging_0330/tillsyn/A 9561-2026 tillsynsbegäran.docx", "A 9561-2026")</f>
        <v/>
      </c>
      <c r="AD26">
        <f>HYPERLINK("https://klasma.github.io/Logging_0330/tillsynsmail/A 9561-2026 tillsynsbegäran mail.docx", "A 9561-2026")</f>
        <v/>
      </c>
    </row>
    <row r="27" ht="15" customHeight="1">
      <c r="A27" t="inlineStr">
        <is>
          <t>A 13002-2026</t>
        </is>
      </c>
      <c r="B27" t="inlineStr">
        <is>
          <t>avverkningsanmälan</t>
        </is>
      </c>
      <c r="C27" t="inlineStr">
        <is>
          <t>Föryngringsavverkning</t>
        </is>
      </c>
      <c r="D27" s="1" t="n">
        <v>46092</v>
      </c>
      <c r="E27" s="1" t="n">
        <v>46326</v>
      </c>
      <c r="F27" t="inlineStr">
        <is>
          <t>UPPSALA LÄN</t>
        </is>
      </c>
      <c r="G27" t="inlineStr">
        <is>
          <t>KNIVSTA</t>
        </is>
      </c>
      <c r="H27" t="inlineStr">
        <is>
          <t>Holmen skog AB</t>
        </is>
      </c>
      <c r="I27" t="n">
        <v>0.7</v>
      </c>
      <c r="J27" t="n">
        <v>1</v>
      </c>
      <c r="K27" t="n">
        <v>0</v>
      </c>
      <c r="L27" t="n">
        <v>0</v>
      </c>
      <c r="M27" t="n">
        <v>1</v>
      </c>
      <c r="N27" t="n">
        <v>0</v>
      </c>
      <c r="O27" t="n">
        <v>0</v>
      </c>
      <c r="P27" t="n">
        <v>0</v>
      </c>
      <c r="Q27" t="n">
        <v>1</v>
      </c>
      <c r="R27" t="n">
        <v>1</v>
      </c>
      <c r="S27" t="n">
        <v>1</v>
      </c>
      <c r="T27" t="n">
        <v>1</v>
      </c>
      <c r="U27" t="n">
        <v>1</v>
      </c>
      <c r="V27" s="2" t="inlineStr">
        <is>
          <t>Knärot</t>
        </is>
      </c>
      <c r="W27">
        <f>HYPERLINK("https://klasma.github.io/Logging_0330/artfynd/A 13002-2026 artfynd.xlsx", "A 13002-2026")</f>
        <v/>
      </c>
      <c r="X27">
        <f>HYPERLINK("https://klasma.github.io/Logging_0330/kartor/A 13002-2026 karta.png", "A 13002-2026")</f>
        <v/>
      </c>
      <c r="Y27">
        <f>HYPERLINK("https://klasma.github.io/Logging_0330/kartor_geotiff/A 13002-2026 georefererad karta.tif", "A 13002-2026")</f>
        <v/>
      </c>
      <c r="Z27">
        <f>HYPERLINK("https://klasma.github.io/Logging_0330/knärot/A 13002-2026 karta knärot.png", "A 13002-2026")</f>
        <v/>
      </c>
      <c r="AA27">
        <f>HYPERLINK("https://klasma.github.io/Logging_0330/klagomål/A 13002-2026 FSC-klagomål.docx", "A 13002-2026")</f>
        <v/>
      </c>
      <c r="AB27">
        <f>HYPERLINK("https://klasma.github.io/Logging_0330/klagomålsmail/A 13002-2026 FSC-klagomål mail.docx", "A 13002-2026")</f>
        <v/>
      </c>
      <c r="AC27">
        <f>HYPERLINK("https://klasma.github.io/Logging_0330/tillsyn/A 13002-2026 tillsynsbegäran.docx", "A 13002-2026")</f>
        <v/>
      </c>
      <c r="AD27">
        <f>HYPERLINK("https://klasma.github.io/Logging_0330/tillsynsmail/A 13002-2026 tillsynsbegäran mail.docx", "A 13002-2026")</f>
        <v/>
      </c>
    </row>
    <row r="28" ht="15" customHeight="1">
      <c r="A28" t="inlineStr">
        <is>
          <t>A 12991-2026</t>
        </is>
      </c>
      <c r="B28" t="inlineStr">
        <is>
          <t>avverkningsanmälan</t>
        </is>
      </c>
      <c r="C28" t="inlineStr">
        <is>
          <t>Föryngringsavverkning</t>
        </is>
      </c>
      <c r="D28" s="1" t="n">
        <v>46092</v>
      </c>
      <c r="E28" s="1" t="n">
        <v>46326</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13380-2026</t>
        </is>
      </c>
      <c r="B29" t="inlineStr">
        <is>
          <t>avverkningsanmälan</t>
        </is>
      </c>
      <c r="C29" t="inlineStr">
        <is>
          <t>Föryngringsavverkning</t>
        </is>
      </c>
      <c r="D29" s="1" t="n">
        <v>46094</v>
      </c>
      <c r="E29" s="1" t="n">
        <v>46326</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5402-2023</t>
        </is>
      </c>
      <c r="B30" t="inlineStr">
        <is>
          <t>avverkningsanmälan</t>
        </is>
      </c>
      <c r="C30" t="inlineStr">
        <is>
          <t>Föryngringsavverkning</t>
        </is>
      </c>
      <c r="D30" s="1" t="n">
        <v>44959</v>
      </c>
      <c r="E30" s="1" t="n">
        <v>46326</v>
      </c>
      <c r="F30" t="inlineStr">
        <is>
          <t>UPPSALA LÄN</t>
        </is>
      </c>
      <c r="G30" t="inlineStr">
        <is>
          <t>KNIVSTA</t>
        </is>
      </c>
      <c r="I30" t="n">
        <v>4.3</v>
      </c>
      <c r="J30" t="n">
        <v>0</v>
      </c>
      <c r="K30" t="n">
        <v>0</v>
      </c>
      <c r="L30" t="n">
        <v>0</v>
      </c>
      <c r="M30" t="n">
        <v>1</v>
      </c>
      <c r="N30" t="n">
        <v>0</v>
      </c>
      <c r="O30" t="n">
        <v>0</v>
      </c>
      <c r="P30" t="n">
        <v>0</v>
      </c>
      <c r="Q30" t="n">
        <v>1</v>
      </c>
      <c r="R30" t="n">
        <v>1</v>
      </c>
      <c r="S30" t="n">
        <v>1</v>
      </c>
      <c r="T30" t="n">
        <v>1</v>
      </c>
      <c r="U30" t="n">
        <v>0</v>
      </c>
      <c r="V30" s="2" t="inlineStr">
        <is>
          <t>Askfingersvamp</t>
        </is>
      </c>
      <c r="W30">
        <f>HYPERLINK("https://klasma.github.io/Logging_0330/artfynd/A 5402-2023 artfynd.xlsx", "A 5402-2023")</f>
        <v/>
      </c>
      <c r="X30">
        <f>HYPERLINK("https://klasma.github.io/Logging_0330/kartor/A 5402-2023 karta.png", "A 5402-2023")</f>
        <v/>
      </c>
      <c r="Y30">
        <f>HYPERLINK("https://klasma.github.io/Logging_0330/kartor_geotiff/A 5402-2023 georefererad karta.tif", "A 5402-2023")</f>
        <v/>
      </c>
      <c r="AA30">
        <f>HYPERLINK("https://klasma.github.io/Logging_0330/klagomål/A 5402-2023 FSC-klagomål.docx", "A 5402-2023")</f>
        <v/>
      </c>
      <c r="AB30">
        <f>HYPERLINK("https://klasma.github.io/Logging_0330/klagomålsmail/A 5402-2023 FSC-klagomål mail.docx", "A 5402-2023")</f>
        <v/>
      </c>
      <c r="AC30">
        <f>HYPERLINK("https://klasma.github.io/Logging_0330/tillsyn/A 5402-2023 tillsynsbegäran.docx", "A 5402-2023")</f>
        <v/>
      </c>
      <c r="AD30">
        <f>HYPERLINK("https://klasma.github.io/Logging_0330/tillsynsmail/A 5402-2023 tillsynsbegäran mail.docx", "A 5402-2023")</f>
        <v/>
      </c>
    </row>
    <row r="31" ht="15" customHeight="1">
      <c r="A31" t="inlineStr">
        <is>
          <t>A 33770-2023</t>
        </is>
      </c>
      <c r="B31" t="inlineStr">
        <is>
          <t>avverkningsanmälan</t>
        </is>
      </c>
      <c r="C31" t="inlineStr">
        <is>
          <t>Föryngringsavverkning</t>
        </is>
      </c>
      <c r="D31" s="1" t="n">
        <v>45133</v>
      </c>
      <c r="E31" s="1" t="n">
        <v>46326</v>
      </c>
      <c r="F31" t="inlineStr">
        <is>
          <t>UPPSALA LÄN</t>
        </is>
      </c>
      <c r="G31" t="inlineStr">
        <is>
          <t>KNIVSTA</t>
        </is>
      </c>
      <c r="H31" t="inlineStr">
        <is>
          <t>Holmen skog AB</t>
        </is>
      </c>
      <c r="I31" t="n">
        <v>4</v>
      </c>
      <c r="J31" t="n">
        <v>1</v>
      </c>
      <c r="K31" t="n">
        <v>0</v>
      </c>
      <c r="L31" t="n">
        <v>0</v>
      </c>
      <c r="M31" t="n">
        <v>0</v>
      </c>
      <c r="N31" t="n">
        <v>0</v>
      </c>
      <c r="O31" t="n">
        <v>0</v>
      </c>
      <c r="P31" t="n">
        <v>0</v>
      </c>
      <c r="Q31" t="n">
        <v>0</v>
      </c>
      <c r="R31" t="n">
        <v>0</v>
      </c>
      <c r="S31" t="n">
        <v>1</v>
      </c>
      <c r="T31" t="n">
        <v>1</v>
      </c>
      <c r="U31" t="n">
        <v>0</v>
      </c>
      <c r="V31" s="2" t="inlineStr">
        <is>
          <t>Slaguggla</t>
        </is>
      </c>
      <c r="W31">
        <f>HYPERLINK("https://klasma.github.io/Logging_0330/artfynd/A 33770-2023 artfynd.xlsx", "A 33770-2023")</f>
        <v/>
      </c>
      <c r="X31">
        <f>HYPERLINK("https://klasma.github.io/Logging_0330/kartor/A 33770-2023 karta.png", "A 33770-2023")</f>
        <v/>
      </c>
      <c r="Y31">
        <f>HYPERLINK("https://klasma.github.io/Logging_0330/kartor_geotiff/A 33770-2023 georefererad karta.tif", "A 33770-2023")</f>
        <v/>
      </c>
      <c r="AA31">
        <f>HYPERLINK("https://klasma.github.io/Logging_0330/klagomål/A 33770-2023 FSC-klagomål.docx", "A 33770-2023")</f>
        <v/>
      </c>
      <c r="AB31">
        <f>HYPERLINK("https://klasma.github.io/Logging_0330/klagomålsmail/A 33770-2023 FSC-klagomål mail.docx", "A 33770-2023")</f>
        <v/>
      </c>
      <c r="AC31">
        <f>HYPERLINK("https://klasma.github.io/Logging_0330/tillsyn/A 33770-2023 tillsynsbegäran.docx", "A 33770-2023")</f>
        <v/>
      </c>
      <c r="AD31">
        <f>HYPERLINK("https://klasma.github.io/Logging_0330/tillsynsmail/A 33770-2023 tillsynsbegäran mail.docx", "A 33770-2023")</f>
        <v/>
      </c>
      <c r="AE31">
        <f>HYPERLINK("https://klasma.github.io/Logging_0330/fåglar/A 33770-2023 prioriterade fågelarter.docx", "A 33770-2023")</f>
        <v/>
      </c>
    </row>
    <row r="32" ht="15" customHeight="1">
      <c r="A32" t="inlineStr">
        <is>
          <t>A 11405-2025</t>
        </is>
      </c>
      <c r="B32" t="inlineStr">
        <is>
          <t>avverkningsanmälan</t>
        </is>
      </c>
      <c r="C32" t="inlineStr">
        <is>
          <t>Föryngringsavverkning</t>
        </is>
      </c>
      <c r="D32" s="1" t="n">
        <v>45726</v>
      </c>
      <c r="E32" s="1" t="n">
        <v>46326</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66305-2021</t>
        </is>
      </c>
      <c r="B33" t="inlineStr">
        <is>
          <t>avverkningsanmälan</t>
        </is>
      </c>
      <c r="C33" t="inlineStr">
        <is>
          <t>Föryngringsavverkning</t>
        </is>
      </c>
      <c r="D33" s="1" t="n">
        <v>44518</v>
      </c>
      <c r="E33" s="1" t="n">
        <v>46326</v>
      </c>
      <c r="F33" t="inlineStr">
        <is>
          <t>UPPSALA LÄN</t>
        </is>
      </c>
      <c r="G33" t="inlineStr">
        <is>
          <t>KNIVSTA</t>
        </is>
      </c>
      <c r="I33" t="n">
        <v>8.300000000000001</v>
      </c>
      <c r="J33" t="n">
        <v>0</v>
      </c>
      <c r="K33" t="n">
        <v>0</v>
      </c>
      <c r="L33" t="n">
        <v>0</v>
      </c>
      <c r="M33" t="n">
        <v>1</v>
      </c>
      <c r="N33" t="n">
        <v>0</v>
      </c>
      <c r="O33" t="n">
        <v>0</v>
      </c>
      <c r="P33" t="n">
        <v>0</v>
      </c>
      <c r="Q33" t="n">
        <v>1</v>
      </c>
      <c r="R33" t="n">
        <v>1</v>
      </c>
      <c r="S33" t="n">
        <v>1</v>
      </c>
      <c r="T33" t="n">
        <v>1</v>
      </c>
      <c r="U33" t="n">
        <v>1</v>
      </c>
      <c r="V33" s="2" t="inlineStr">
        <is>
          <t>Silverblåvinge</t>
        </is>
      </c>
      <c r="W33">
        <f>HYPERLINK("https://klasma.github.io/Logging_0330/artfynd/A 66305-2021 artfynd.xlsx", "A 66305-2021")</f>
        <v/>
      </c>
      <c r="X33">
        <f>HYPERLINK("https://klasma.github.io/Logging_0330/kartor/A 66305-2021 karta.png", "A 66305-2021")</f>
        <v/>
      </c>
      <c r="Y33">
        <f>HYPERLINK("https://klasma.github.io/Logging_0330/kartor_geotiff/A 66305-2021 georefererad karta.tif", "A 66305-2021")</f>
        <v/>
      </c>
      <c r="AA33">
        <f>HYPERLINK("https://klasma.github.io/Logging_0330/klagomål/A 66305-2021 FSC-klagomål.docx", "A 66305-2021")</f>
        <v/>
      </c>
      <c r="AB33">
        <f>HYPERLINK("https://klasma.github.io/Logging_0330/klagomålsmail/A 66305-2021 FSC-klagomål mail.docx", "A 66305-2021")</f>
        <v/>
      </c>
      <c r="AC33">
        <f>HYPERLINK("https://klasma.github.io/Logging_0330/tillsyn/A 66305-2021 tillsynsbegäran.docx", "A 66305-2021")</f>
        <v/>
      </c>
      <c r="AD33">
        <f>HYPERLINK("https://klasma.github.io/Logging_0330/tillsynsmail/A 66305-2021 tillsynsbegäran mail.docx", "A 66305-2021")</f>
        <v/>
      </c>
    </row>
    <row r="34" ht="15" customHeight="1">
      <c r="A34" t="inlineStr">
        <is>
          <t>A 2171-2024</t>
        </is>
      </c>
      <c r="B34" t="inlineStr">
        <is>
          <t>avverkningsanmälan</t>
        </is>
      </c>
      <c r="C34" t="inlineStr">
        <is>
          <t>Föryngringsavverkning</t>
        </is>
      </c>
      <c r="D34" s="1" t="n">
        <v>45309</v>
      </c>
      <c r="E34" s="1" t="n">
        <v>46326</v>
      </c>
      <c r="F34" t="inlineStr">
        <is>
          <t>UPPSALA LÄN</t>
        </is>
      </c>
      <c r="G34" t="inlineStr">
        <is>
          <t>KNIVSTA</t>
        </is>
      </c>
      <c r="H34" t="inlineStr">
        <is>
          <t>Holmen skog AB</t>
        </is>
      </c>
      <c r="I34" t="n">
        <v>3.3</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HYPERLINK("https://klasma.github.io/Logging_0330/artfynd/A 2171-2024 artfynd.xlsx", "A 2171-2024")</f>
        <v/>
      </c>
      <c r="X34">
        <f>HYPERLINK("https://klasma.github.io/Logging_0330/kartor/A 2171-2024 karta.png", "A 2171-2024")</f>
        <v/>
      </c>
      <c r="Y34">
        <f>HYPERLINK("https://klasma.github.io/Logging_0330/kartor_geotiff/A 2171-2024 georefererad karta.tif", "A 2171-2024")</f>
        <v/>
      </c>
      <c r="AA34">
        <f>HYPERLINK("https://klasma.github.io/Logging_0330/klagomål/A 2171-2024 FSC-klagomål.docx", "A 2171-2024")</f>
        <v/>
      </c>
      <c r="AB34">
        <f>HYPERLINK("https://klasma.github.io/Logging_0330/klagomålsmail/A 2171-2024 FSC-klagomål mail.docx", "A 2171-2024")</f>
        <v/>
      </c>
      <c r="AC34">
        <f>HYPERLINK("https://klasma.github.io/Logging_0330/tillsyn/A 2171-2024 tillsynsbegäran.docx", "A 2171-2024")</f>
        <v/>
      </c>
      <c r="AD34">
        <f>HYPERLINK("https://klasma.github.io/Logging_0330/tillsynsmail/A 2171-2024 tillsynsbegäran mail.docx", "A 2171-2024")</f>
        <v/>
      </c>
    </row>
    <row r="35" ht="15" customHeight="1">
      <c r="A35" t="inlineStr">
        <is>
          <t>A 43575-2026</t>
        </is>
      </c>
      <c r="B35" t="inlineStr">
        <is>
          <t>avverkningsanmälan</t>
        </is>
      </c>
      <c r="C35" t="inlineStr">
        <is>
          <t>Föryngringsavverkning</t>
        </is>
      </c>
      <c r="D35" s="1" t="n">
        <v>46315</v>
      </c>
      <c r="E35" s="1" t="n">
        <v>46326</v>
      </c>
      <c r="F35" t="inlineStr">
        <is>
          <t>UPPSALA LÄN</t>
        </is>
      </c>
      <c r="G35" t="inlineStr">
        <is>
          <t>KNIVSTA</t>
        </is>
      </c>
      <c r="I35" t="n">
        <v>6.9</v>
      </c>
      <c r="J35" t="n">
        <v>0</v>
      </c>
      <c r="K35" t="n">
        <v>1</v>
      </c>
      <c r="L35" t="n">
        <v>0</v>
      </c>
      <c r="M35" t="n">
        <v>0</v>
      </c>
      <c r="N35" t="n">
        <v>0</v>
      </c>
      <c r="O35" t="n">
        <v>0</v>
      </c>
      <c r="P35" t="n">
        <v>0</v>
      </c>
      <c r="Q35" t="n">
        <v>0</v>
      </c>
      <c r="R35" t="n">
        <v>0</v>
      </c>
      <c r="S35" t="n">
        <v>1</v>
      </c>
      <c r="T35" t="n">
        <v>1</v>
      </c>
      <c r="U35" t="n">
        <v>0</v>
      </c>
      <c r="V35" s="2" t="inlineStr">
        <is>
          <t>Sotlav</t>
        </is>
      </c>
      <c r="W35">
        <f>HYPERLINK("https://klasma.github.io/Logging_0330/artfynd/A 43575-2026 artfynd.xlsx", "A 43575-2026")</f>
        <v/>
      </c>
      <c r="X35">
        <f>HYPERLINK("https://klasma.github.io/Logging_0330/kartor/A 43575-2026 karta.png", "A 43575-2026")</f>
        <v/>
      </c>
      <c r="Y35">
        <f>HYPERLINK("https://klasma.github.io/Logging_0330/kartor_geotiff/A 43575-2026 georefererad karta.tif", "A 43575-2026")</f>
        <v/>
      </c>
      <c r="AA35">
        <f>HYPERLINK("https://klasma.github.io/Logging_0330/klagomål/A 43575-2026 FSC-klagomål.docx", "A 43575-2026")</f>
        <v/>
      </c>
      <c r="AB35">
        <f>HYPERLINK("https://klasma.github.io/Logging_0330/klagomålsmail/A 43575-2026 FSC-klagomål mail.docx", "A 43575-2026")</f>
        <v/>
      </c>
      <c r="AC35">
        <f>HYPERLINK("https://klasma.github.io/Logging_0330/tillsyn/A 43575-2026 tillsynsbegäran.docx", "A 43575-2026")</f>
        <v/>
      </c>
      <c r="AD35">
        <f>HYPERLINK("https://klasma.github.io/Logging_0330/tillsynsmail/A 43575-2026 tillsynsbegäran mail.docx", "A 43575-2026")</f>
        <v/>
      </c>
    </row>
    <row r="36" ht="15" customHeight="1">
      <c r="A36" t="inlineStr">
        <is>
          <t>A 37413-2026</t>
        </is>
      </c>
      <c r="B36" t="inlineStr">
        <is>
          <t>avverkningsanmälan</t>
        </is>
      </c>
      <c r="C36" t="inlineStr">
        <is>
          <t>Föryngringsavverkning</t>
        </is>
      </c>
      <c r="D36" s="1" t="n">
        <v>46275</v>
      </c>
      <c r="E36" s="1" t="n">
        <v>46326</v>
      </c>
      <c r="F36" t="inlineStr">
        <is>
          <t>UPPSALA LÄN</t>
        </is>
      </c>
      <c r="G36" t="inlineStr">
        <is>
          <t>KNIVSTA</t>
        </is>
      </c>
      <c r="H36" t="inlineStr">
        <is>
          <t>Holmen skog AB</t>
        </is>
      </c>
      <c r="I36" t="n">
        <v>1.4</v>
      </c>
      <c r="J36" t="n">
        <v>0</v>
      </c>
      <c r="K36" t="n">
        <v>1</v>
      </c>
      <c r="L36" t="n">
        <v>0</v>
      </c>
      <c r="M36" t="n">
        <v>0</v>
      </c>
      <c r="N36" t="n">
        <v>0</v>
      </c>
      <c r="O36" t="n">
        <v>0</v>
      </c>
      <c r="P36" t="n">
        <v>0</v>
      </c>
      <c r="Q36" t="n">
        <v>0</v>
      </c>
      <c r="R36" t="n">
        <v>0</v>
      </c>
      <c r="S36" t="n">
        <v>1</v>
      </c>
      <c r="T36" t="n">
        <v>1</v>
      </c>
      <c r="U36" t="n">
        <v>1</v>
      </c>
      <c r="V36" s="2" t="inlineStr">
        <is>
          <t>Blodticka</t>
        </is>
      </c>
      <c r="W36">
        <f>HYPERLINK("https://klasma.github.io/Logging_0330/artfynd/A 37413-2026 artfynd.xlsx", "A 37413-2026")</f>
        <v/>
      </c>
      <c r="X36">
        <f>HYPERLINK("https://klasma.github.io/Logging_0330/kartor/A 37413-2026 karta.png", "A 37413-2026")</f>
        <v/>
      </c>
      <c r="Y36">
        <f>HYPERLINK("https://klasma.github.io/Logging_0330/kartor_geotiff/A 37413-2026 georefererad karta.tif", "A 37413-2026")</f>
        <v/>
      </c>
      <c r="AA36">
        <f>HYPERLINK("https://klasma.github.io/Logging_0330/klagomål/A 37413-2026 FSC-klagomål.docx", "A 37413-2026")</f>
        <v/>
      </c>
      <c r="AB36">
        <f>HYPERLINK("https://klasma.github.io/Logging_0330/klagomålsmail/A 37413-2026 FSC-klagomål mail.docx", "A 37413-2026")</f>
        <v/>
      </c>
      <c r="AC36">
        <f>HYPERLINK("https://klasma.github.io/Logging_0330/tillsyn/A 37413-2026 tillsynsbegäran.docx", "A 37413-2026")</f>
        <v/>
      </c>
      <c r="AD36">
        <f>HYPERLINK("https://klasma.github.io/Logging_0330/tillsynsmail/A 37413-2026 tillsynsbegäran mail.docx", "A 37413-2026")</f>
        <v/>
      </c>
    </row>
    <row r="37" ht="15" customHeight="1">
      <c r="A37" t="inlineStr">
        <is>
          <t>S 1786-2022</t>
        </is>
      </c>
      <c r="B37" t="inlineStr">
        <is>
          <t>samrådsanmälan</t>
        </is>
      </c>
      <c r="C37" t="inlineStr">
        <is>
          <t>Åtgärd i nyckelbiotop</t>
        </is>
      </c>
      <c r="D37" s="1" t="n">
        <v>44655</v>
      </c>
      <c r="E37" s="1" t="n">
        <v>46326</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46326</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46326</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46326</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46326</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46326</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46326</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46326</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46326</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46326</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46326</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46326</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46326</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46326</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46326</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46326</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17333-2024</t>
        </is>
      </c>
      <c r="B53" t="inlineStr">
        <is>
          <t>avverkningsanmälan</t>
        </is>
      </c>
      <c r="C53" t="inlineStr">
        <is>
          <t>Föryngringsavverkning</t>
        </is>
      </c>
      <c r="D53" s="1" t="n">
        <v>45414</v>
      </c>
      <c r="E53" s="1" t="n">
        <v>46326</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11841-2023</t>
        </is>
      </c>
      <c r="B54" t="inlineStr">
        <is>
          <t>avverkningsanmälan</t>
        </is>
      </c>
      <c r="C54" t="inlineStr">
        <is>
          <t>Föryngringsavverkning</t>
        </is>
      </c>
      <c r="D54" s="1" t="n">
        <v>44995</v>
      </c>
      <c r="E54" s="1" t="n">
        <v>46326</v>
      </c>
      <c r="F54" t="inlineStr">
        <is>
          <t>UPPSALA LÄN</t>
        </is>
      </c>
      <c r="G54" t="inlineStr">
        <is>
          <t>KNIVSTA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45525-2023</t>
        </is>
      </c>
      <c r="B55" t="inlineStr">
        <is>
          <t>avverkningsanmälan</t>
        </is>
      </c>
      <c r="C55" t="inlineStr">
        <is>
          <t>Avverkning för annat ändamål</t>
        </is>
      </c>
      <c r="D55" s="1" t="n">
        <v>45194</v>
      </c>
      <c r="E55" s="1" t="n">
        <v>46326</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20902-2024</t>
        </is>
      </c>
      <c r="B56" t="inlineStr">
        <is>
          <t>avverkningsanmälan</t>
        </is>
      </c>
      <c r="C56" t="inlineStr">
        <is>
          <t>Föryngringsavverkning</t>
        </is>
      </c>
      <c r="D56" s="1" t="n">
        <v>45439</v>
      </c>
      <c r="E56" s="1" t="n">
        <v>46326</v>
      </c>
      <c r="F56" t="inlineStr">
        <is>
          <t>UPPSALA LÄN</t>
        </is>
      </c>
      <c r="G56" t="inlineStr">
        <is>
          <t>KNIVSTA</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11450-2023</t>
        </is>
      </c>
      <c r="B57" t="inlineStr">
        <is>
          <t>avverkningsanmälan</t>
        </is>
      </c>
      <c r="C57" t="inlineStr">
        <is>
          <t>Föryngringsavverkning</t>
        </is>
      </c>
      <c r="D57" s="1" t="n">
        <v>44993</v>
      </c>
      <c r="E57" s="1" t="n">
        <v>46326</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662-2026</t>
        </is>
      </c>
      <c r="B58" t="inlineStr">
        <is>
          <t>avverkningsanmälan</t>
        </is>
      </c>
      <c r="C58" t="inlineStr">
        <is>
          <t>Föryngringsavverkning</t>
        </is>
      </c>
      <c r="D58" s="1" t="n">
        <v>46029</v>
      </c>
      <c r="E58" s="1" t="n">
        <v>46326</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16773-2022</t>
        </is>
      </c>
      <c r="B59" t="inlineStr">
        <is>
          <t>avverkningsanmälan</t>
        </is>
      </c>
      <c r="C59" t="inlineStr">
        <is>
          <t>Avverkning för annat ändamål</t>
        </is>
      </c>
      <c r="D59" s="1" t="n">
        <v>44673</v>
      </c>
      <c r="E59" s="1" t="n">
        <v>46326</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3824-2026</t>
        </is>
      </c>
      <c r="B60" t="inlineStr">
        <is>
          <t>avverkningsanmälan</t>
        </is>
      </c>
      <c r="C60" t="inlineStr">
        <is>
          <t>Föryngringsavverkning</t>
        </is>
      </c>
      <c r="D60" s="1" t="n">
        <v>46043</v>
      </c>
      <c r="E60" s="1" t="n">
        <v>46326</v>
      </c>
      <c r="F60" t="inlineStr">
        <is>
          <t>UPPSALA LÄN</t>
        </is>
      </c>
      <c r="G60" t="inlineStr">
        <is>
          <t>KNIVSTA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3375-2026</t>
        </is>
      </c>
      <c r="B61" t="inlineStr">
        <is>
          <t>avverkningsanmälan</t>
        </is>
      </c>
      <c r="C61" t="inlineStr">
        <is>
          <t>Föryngringsavverkning</t>
        </is>
      </c>
      <c r="D61" s="1" t="n">
        <v>46042</v>
      </c>
      <c r="E61" s="1" t="n">
        <v>46326</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60018-2024</t>
        </is>
      </c>
      <c r="B62" t="inlineStr">
        <is>
          <t>avverkningsanmälan</t>
        </is>
      </c>
      <c r="C62" t="inlineStr">
        <is>
          <t>Föryngringsavverkning</t>
        </is>
      </c>
      <c r="D62" s="1" t="n">
        <v>45642</v>
      </c>
      <c r="E62" s="1" t="n">
        <v>46326</v>
      </c>
      <c r="F62" t="inlineStr">
        <is>
          <t>UPPSALA LÄN</t>
        </is>
      </c>
      <c r="G62" t="inlineStr">
        <is>
          <t>KNIVSTA</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34864-2025</t>
        </is>
      </c>
      <c r="B63" t="inlineStr">
        <is>
          <t>avverkningsanmälan</t>
        </is>
      </c>
      <c r="C63" t="inlineStr">
        <is>
          <t>Föryngringsavverkning</t>
        </is>
      </c>
      <c r="D63" s="1" t="n">
        <v>45849</v>
      </c>
      <c r="E63" s="1" t="n">
        <v>46326</v>
      </c>
      <c r="F63" t="inlineStr">
        <is>
          <t>UPPSALA LÄN</t>
        </is>
      </c>
      <c r="G63" t="inlineStr">
        <is>
          <t>KNIVSTA</t>
        </is>
      </c>
      <c r="H63" t="inlineStr">
        <is>
          <t>Holmen skog AB</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45453-2025</t>
        </is>
      </c>
      <c r="B64" t="inlineStr">
        <is>
          <t>avverkningsanmälan</t>
        </is>
      </c>
      <c r="C64" t="inlineStr">
        <is>
          <t>Föryngringsavverkning</t>
        </is>
      </c>
      <c r="D64" s="1" t="n">
        <v>45922</v>
      </c>
      <c r="E64" s="1" t="n">
        <v>46326</v>
      </c>
      <c r="F64" t="inlineStr">
        <is>
          <t>UPPSALA LÄN</t>
        </is>
      </c>
      <c r="G64" t="inlineStr">
        <is>
          <t>KNIVSTA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35318-2025</t>
        </is>
      </c>
      <c r="B65" t="inlineStr">
        <is>
          <t>avverkningsanmälan</t>
        </is>
      </c>
      <c r="C65" t="inlineStr">
        <is>
          <t>Föryngringsavverkning</t>
        </is>
      </c>
      <c r="D65" s="1" t="n">
        <v>45854</v>
      </c>
      <c r="E65" s="1" t="n">
        <v>46326</v>
      </c>
      <c r="F65" t="inlineStr">
        <is>
          <t>UPPSALA LÄN</t>
        </is>
      </c>
      <c r="G65" t="inlineStr">
        <is>
          <t>KNIVSTA</t>
        </is>
      </c>
      <c r="H65" t="inlineStr">
        <is>
          <t>Holmen skog AB</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47803-2025</t>
        </is>
      </c>
      <c r="B66" t="inlineStr">
        <is>
          <t>avverkningsanmälan</t>
        </is>
      </c>
      <c r="C66" t="inlineStr">
        <is>
          <t>Avverkning för annat ändamål</t>
        </is>
      </c>
      <c r="D66" s="1" t="n">
        <v>45931</v>
      </c>
      <c r="E66" s="1" t="n">
        <v>46326</v>
      </c>
      <c r="F66" t="inlineStr">
        <is>
          <t>UPPSALA LÄN</t>
        </is>
      </c>
      <c r="G66" t="inlineStr">
        <is>
          <t>KNIVSTA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36473-2025</t>
        </is>
      </c>
      <c r="B67" t="inlineStr">
        <is>
          <t>avverkningsanmälan</t>
        </is>
      </c>
      <c r="C67" t="inlineStr">
        <is>
          <t>Föryngringsavverkning</t>
        </is>
      </c>
      <c r="D67" s="1" t="n">
        <v>45869</v>
      </c>
      <c r="E67" s="1" t="n">
        <v>46326</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1791-2024</t>
        </is>
      </c>
      <c r="B68" t="inlineStr">
        <is>
          <t>avverkningsanmälan</t>
        </is>
      </c>
      <c r="C68" t="inlineStr">
        <is>
          <t>Föryngringsavverkning</t>
        </is>
      </c>
      <c r="D68" s="1" t="n">
        <v>45307</v>
      </c>
      <c r="E68" s="1" t="n">
        <v>46326</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49090-2025</t>
        </is>
      </c>
      <c r="B69" t="inlineStr">
        <is>
          <t>avverkningsanmälan</t>
        </is>
      </c>
      <c r="C69" t="inlineStr">
        <is>
          <t>Föryngringsavverkning</t>
        </is>
      </c>
      <c r="D69" s="1" t="n">
        <v>45937</v>
      </c>
      <c r="E69" s="1" t="n">
        <v>46326</v>
      </c>
      <c r="F69" t="inlineStr">
        <is>
          <t>UPPSALA LÄN</t>
        </is>
      </c>
      <c r="G69" t="inlineStr">
        <is>
          <t>KNIVSTA</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5908-2026</t>
        </is>
      </c>
      <c r="B70" t="inlineStr">
        <is>
          <t>avverkningsanmälan</t>
        </is>
      </c>
      <c r="C70" t="inlineStr">
        <is>
          <t>Föryngringsavverkning</t>
        </is>
      </c>
      <c r="D70" s="1" t="n">
        <v>46052</v>
      </c>
      <c r="E70" s="1" t="n">
        <v>46326</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5910-2026</t>
        </is>
      </c>
      <c r="B71" t="inlineStr">
        <is>
          <t>avverkningsanmälan</t>
        </is>
      </c>
      <c r="C71" t="inlineStr">
        <is>
          <t>Föryngringsavverkning</t>
        </is>
      </c>
      <c r="D71" s="1" t="n">
        <v>46052</v>
      </c>
      <c r="E71" s="1" t="n">
        <v>46326</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9744-2026</t>
        </is>
      </c>
      <c r="B72" t="inlineStr">
        <is>
          <t>avverkningsanmälan</t>
        </is>
      </c>
      <c r="C72" t="inlineStr">
        <is>
          <t>Föryngringsavverkning</t>
        </is>
      </c>
      <c r="D72" s="1" t="n">
        <v>46072</v>
      </c>
      <c r="E72" s="1" t="n">
        <v>46326</v>
      </c>
      <c r="F72" t="inlineStr">
        <is>
          <t>UPPSALA LÄN</t>
        </is>
      </c>
      <c r="G72" t="inlineStr">
        <is>
          <t>KNIVSTA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23239-2023</t>
        </is>
      </c>
      <c r="B73" t="inlineStr">
        <is>
          <t>avverkningsanmälan</t>
        </is>
      </c>
      <c r="C73" t="inlineStr">
        <is>
          <t>Föryngringsavverkning</t>
        </is>
      </c>
      <c r="D73" s="1" t="n">
        <v>45075</v>
      </c>
      <c r="E73" s="1" t="n">
        <v>46326</v>
      </c>
      <c r="F73" t="inlineStr">
        <is>
          <t>UPPSALA LÄN</t>
        </is>
      </c>
      <c r="G73" t="inlineStr">
        <is>
          <t>KNIVSTA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12027-2026</t>
        </is>
      </c>
      <c r="B74" t="inlineStr">
        <is>
          <t>avverkningsanmälan</t>
        </is>
      </c>
      <c r="C74" t="inlineStr">
        <is>
          <t>Avverkning för annat ändamål</t>
        </is>
      </c>
      <c r="D74" s="1" t="n">
        <v>46085</v>
      </c>
      <c r="E74" s="1" t="n">
        <v>46326</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66284-2021</t>
        </is>
      </c>
      <c r="B75" t="inlineStr">
        <is>
          <t>avverkningsanmälan</t>
        </is>
      </c>
      <c r="C75" t="inlineStr">
        <is>
          <t>Föryngringsavverkning</t>
        </is>
      </c>
      <c r="D75" s="1" t="n">
        <v>44518</v>
      </c>
      <c r="E75" s="1" t="n">
        <v>46326</v>
      </c>
      <c r="F75" t="inlineStr">
        <is>
          <t>UPPSALA LÄN</t>
        </is>
      </c>
      <c r="G75" t="inlineStr">
        <is>
          <t>KNIVSTA</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60243-2025</t>
        </is>
      </c>
      <c r="B76" t="inlineStr">
        <is>
          <t>avverkningsanmälan</t>
        </is>
      </c>
      <c r="C76" t="inlineStr">
        <is>
          <t>Föryngringsavverkning</t>
        </is>
      </c>
      <c r="D76" s="1" t="n">
        <v>45994</v>
      </c>
      <c r="E76" s="1" t="n">
        <v>46326</v>
      </c>
      <c r="F76" t="inlineStr">
        <is>
          <t>UPPSALA LÄN</t>
        </is>
      </c>
      <c r="G76" t="inlineStr">
        <is>
          <t>KNIVSTA</t>
        </is>
      </c>
      <c r="H76" t="inlineStr">
        <is>
          <t>Holmen skog AB</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12774-2026</t>
        </is>
      </c>
      <c r="B77" t="inlineStr">
        <is>
          <t>avverkningsanmälan</t>
        </is>
      </c>
      <c r="C77" t="inlineStr">
        <is>
          <t>Föryngringsavverkning</t>
        </is>
      </c>
      <c r="D77" s="1" t="n">
        <v>46091</v>
      </c>
      <c r="E77" s="1" t="n">
        <v>46326</v>
      </c>
      <c r="F77" t="inlineStr">
        <is>
          <t>UPPSALA LÄN</t>
        </is>
      </c>
      <c r="G77" t="inlineStr">
        <is>
          <t>KNIVSTA</t>
        </is>
      </c>
      <c r="H77" t="inlineStr">
        <is>
          <t>Holmen skog AB</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13011-2026</t>
        </is>
      </c>
      <c r="B78" t="inlineStr">
        <is>
          <t>avverkningsanmälan</t>
        </is>
      </c>
      <c r="C78" t="inlineStr">
        <is>
          <t>Föryngringsavverkning</t>
        </is>
      </c>
      <c r="D78" s="1" t="n">
        <v>46092</v>
      </c>
      <c r="E78" s="1" t="n">
        <v>46326</v>
      </c>
      <c r="F78" t="inlineStr">
        <is>
          <t>UPPSALA LÄN</t>
        </is>
      </c>
      <c r="G78" t="inlineStr">
        <is>
          <t>KNIVSTA</t>
        </is>
      </c>
      <c r="H78" t="inlineStr">
        <is>
          <t>Holmen skog AB</t>
        </is>
      </c>
      <c r="I78" t="n">
        <v>1.9</v>
      </c>
      <c r="J78" t="n">
        <v>0</v>
      </c>
      <c r="K78" t="n">
        <v>0</v>
      </c>
      <c r="L78" t="n">
        <v>0</v>
      </c>
      <c r="M78" t="n">
        <v>0</v>
      </c>
      <c r="N78" t="n">
        <v>0</v>
      </c>
      <c r="O78" t="n">
        <v>0</v>
      </c>
      <c r="P78" t="n">
        <v>0</v>
      </c>
      <c r="Q78" t="n">
        <v>0</v>
      </c>
      <c r="R78" t="n">
        <v>0</v>
      </c>
      <c r="S78" t="n">
        <v>0</v>
      </c>
      <c r="T78" t="n">
        <v>0</v>
      </c>
      <c r="U78" t="n">
        <v>0</v>
      </c>
      <c r="V78" s="2" t="inlineStr"/>
      <c r="Z78">
        <f>HYPERLINK("https://klasma.github.io/Logging_0330/knärot/A 13011-2026 karta knärot.png", "A 13011-2026")</f>
        <v/>
      </c>
      <c r="AA78">
        <f>HYPERLINK("https://klasma.github.io/Logging_0330/klagomål/A 13011-2026 FSC-klagomål.docx", "A 13011-2026")</f>
        <v/>
      </c>
      <c r="AB78">
        <f>HYPERLINK("https://klasma.github.io/Logging_0330/klagomålsmail/A 13011-2026 FSC-klagomål mail.docx", "A 13011-2026")</f>
        <v/>
      </c>
      <c r="AC78">
        <f>HYPERLINK("https://klasma.github.io/Logging_0330/tillsyn/A 13011-2026 tillsynsbegäran.docx", "A 13011-2026")</f>
        <v/>
      </c>
      <c r="AD78">
        <f>HYPERLINK("https://klasma.github.io/Logging_0330/tillsynsmail/A 13011-2026 tillsynsbegäran mail.docx", "A 13011-2026")</f>
        <v/>
      </c>
    </row>
    <row r="79" ht="15" customHeight="1">
      <c r="A79" t="inlineStr">
        <is>
          <t>A 13013-2026</t>
        </is>
      </c>
      <c r="B79" t="inlineStr">
        <is>
          <t>avverkningsanmälan</t>
        </is>
      </c>
      <c r="C79" t="inlineStr">
        <is>
          <t>Föryngringsavverkning</t>
        </is>
      </c>
      <c r="D79" s="1" t="n">
        <v>46092</v>
      </c>
      <c r="E79" s="1" t="n">
        <v>46326</v>
      </c>
      <c r="F79" t="inlineStr">
        <is>
          <t>UPPSALA LÄN</t>
        </is>
      </c>
      <c r="G79" t="inlineStr">
        <is>
          <t>KNIVSTA</t>
        </is>
      </c>
      <c r="H79" t="inlineStr">
        <is>
          <t>Holmen skog AB</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13001-2026</t>
        </is>
      </c>
      <c r="B80" t="inlineStr">
        <is>
          <t>avverkningsanmälan</t>
        </is>
      </c>
      <c r="C80" t="inlineStr">
        <is>
          <t>Föryngringsavverkning</t>
        </is>
      </c>
      <c r="D80" s="1" t="n">
        <v>46092</v>
      </c>
      <c r="E80" s="1" t="n">
        <v>46326</v>
      </c>
      <c r="F80" t="inlineStr">
        <is>
          <t>UPPSALA LÄN</t>
        </is>
      </c>
      <c r="G80" t="inlineStr">
        <is>
          <t>KNIVSTA</t>
        </is>
      </c>
      <c r="H80" t="inlineStr">
        <is>
          <t>Holmen skog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13005-2026</t>
        </is>
      </c>
      <c r="B81" t="inlineStr">
        <is>
          <t>avverkningsanmälan</t>
        </is>
      </c>
      <c r="C81" t="inlineStr">
        <is>
          <t>Föryngringsavverkning</t>
        </is>
      </c>
      <c r="D81" s="1" t="n">
        <v>46092</v>
      </c>
      <c r="E81" s="1" t="n">
        <v>46326</v>
      </c>
      <c r="F81" t="inlineStr">
        <is>
          <t>UPPSALA LÄN</t>
        </is>
      </c>
      <c r="G81" t="inlineStr">
        <is>
          <t>KNIVSTA</t>
        </is>
      </c>
      <c r="H81" t="inlineStr">
        <is>
          <t>Holmen skog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13016-2026</t>
        </is>
      </c>
      <c r="B82" t="inlineStr">
        <is>
          <t>avverkningsanmälan</t>
        </is>
      </c>
      <c r="C82" t="inlineStr">
        <is>
          <t>Föryngringsavverkning</t>
        </is>
      </c>
      <c r="D82" s="1" t="n">
        <v>46092</v>
      </c>
      <c r="E82" s="1" t="n">
        <v>46326</v>
      </c>
      <c r="F82" t="inlineStr">
        <is>
          <t>UPPSALA LÄN</t>
        </is>
      </c>
      <c r="G82" t="inlineStr">
        <is>
          <t>KNIVSTA</t>
        </is>
      </c>
      <c r="H82" t="inlineStr">
        <is>
          <t>Holmen skog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11847-2023</t>
        </is>
      </c>
      <c r="B83" t="inlineStr">
        <is>
          <t>avverkningsanmälan</t>
        </is>
      </c>
      <c r="C83" t="inlineStr">
        <is>
          <t>Föryngringsavverkning</t>
        </is>
      </c>
      <c r="D83" s="1" t="n">
        <v>44995</v>
      </c>
      <c r="E83" s="1" t="n">
        <v>46326</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19774-2026</t>
        </is>
      </c>
      <c r="B84" t="inlineStr">
        <is>
          <t>avverkningsanmälan</t>
        </is>
      </c>
      <c r="C84" t="inlineStr">
        <is>
          <t>Föryngringsavverkning</t>
        </is>
      </c>
      <c r="D84" s="1" t="n">
        <v>46135</v>
      </c>
      <c r="E84" s="1" t="n">
        <v>46326</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52666-2025</t>
        </is>
      </c>
      <c r="B85" t="inlineStr">
        <is>
          <t>avverkningsanmälan</t>
        </is>
      </c>
      <c r="C85" t="inlineStr">
        <is>
          <t>Föryngringsavverkning</t>
        </is>
      </c>
      <c r="D85" s="1" t="n">
        <v>45955</v>
      </c>
      <c r="E85" s="1" t="n">
        <v>46326</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30351-2022</t>
        </is>
      </c>
      <c r="B86" t="inlineStr">
        <is>
          <t>avverkningsanmälan</t>
        </is>
      </c>
      <c r="C86" t="inlineStr">
        <is>
          <t>Föryngringsavverkning</t>
        </is>
      </c>
      <c r="D86" s="1" t="n">
        <v>44757</v>
      </c>
      <c r="E86" s="1" t="n">
        <v>46326</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46326</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33974-2025</t>
        </is>
      </c>
      <c r="B88" t="inlineStr">
        <is>
          <t>avverkningsanmälan</t>
        </is>
      </c>
      <c r="C88" t="inlineStr">
        <is>
          <t>Föryngringsavverkning</t>
        </is>
      </c>
      <c r="D88" s="1" t="n">
        <v>45843</v>
      </c>
      <c r="E88" s="1" t="n">
        <v>46326</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20528-2026</t>
        </is>
      </c>
      <c r="B89" t="inlineStr">
        <is>
          <t>avverkningsanmälan</t>
        </is>
      </c>
      <c r="C89" t="inlineStr">
        <is>
          <t>Föryngringsavverkning</t>
        </is>
      </c>
      <c r="D89" s="1" t="n">
        <v>46140</v>
      </c>
      <c r="E89" s="1" t="n">
        <v>46326</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51849-2023</t>
        </is>
      </c>
      <c r="B90" t="inlineStr">
        <is>
          <t>avverkningsanmälan</t>
        </is>
      </c>
      <c r="C90" t="inlineStr">
        <is>
          <t>Föryngringsavverkning</t>
        </is>
      </c>
      <c r="D90" s="1" t="n">
        <v>45223</v>
      </c>
      <c r="E90" s="1" t="n">
        <v>46326</v>
      </c>
      <c r="F90" t="inlineStr">
        <is>
          <t>UPPSALA LÄN</t>
        </is>
      </c>
      <c r="G90" t="inlineStr">
        <is>
          <t>KNIVSTA</t>
        </is>
      </c>
      <c r="I90" t="n">
        <v>16.3</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46326</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46326</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46326</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46326</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23969-2026</t>
        </is>
      </c>
      <c r="B95" t="inlineStr">
        <is>
          <t>avverkningsanmälan</t>
        </is>
      </c>
      <c r="C95" t="inlineStr">
        <is>
          <t>Föryngringsavverkning</t>
        </is>
      </c>
      <c r="D95" s="1" t="n">
        <v>46167</v>
      </c>
      <c r="E95" s="1" t="n">
        <v>46326</v>
      </c>
      <c r="F95" t="inlineStr">
        <is>
          <t>UPPSALA LÄN</t>
        </is>
      </c>
      <c r="G95" t="inlineStr">
        <is>
          <t>KNIVSTA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46326</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30627-2023</t>
        </is>
      </c>
      <c r="B97" t="inlineStr">
        <is>
          <t>avverkningsanmälan</t>
        </is>
      </c>
      <c r="C97" t="inlineStr">
        <is>
          <t>Föryngringsavverkning</t>
        </is>
      </c>
      <c r="D97" s="1" t="n">
        <v>45112</v>
      </c>
      <c r="E97" s="1" t="n">
        <v>46326</v>
      </c>
      <c r="F97" t="inlineStr">
        <is>
          <t>UPPSALA LÄN</t>
        </is>
      </c>
      <c r="G97" t="inlineStr">
        <is>
          <t>KNIVSTA</t>
        </is>
      </c>
      <c r="H97" t="inlineStr">
        <is>
          <t>Holmen skog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46326</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46326</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19676-2025</t>
        </is>
      </c>
      <c r="B100" t="inlineStr">
        <is>
          <t>avverkningsanmälan</t>
        </is>
      </c>
      <c r="C100" t="inlineStr">
        <is>
          <t>Föryngringsavverkning</t>
        </is>
      </c>
      <c r="D100" s="1" t="n">
        <v>45770</v>
      </c>
      <c r="E100" s="1" t="n">
        <v>46326</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46326</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28668-2026</t>
        </is>
      </c>
      <c r="B102" t="inlineStr">
        <is>
          <t>avverkningsanmälan</t>
        </is>
      </c>
      <c r="C102" t="inlineStr">
        <is>
          <t>Avverkning för annat ändamål</t>
        </is>
      </c>
      <c r="D102" s="1" t="n">
        <v>46193</v>
      </c>
      <c r="E102" s="1" t="n">
        <v>46326</v>
      </c>
      <c r="F102" t="inlineStr">
        <is>
          <t>UPPSALA LÄN</t>
        </is>
      </c>
      <c r="G102" t="inlineStr">
        <is>
          <t>KNIVSTA</t>
        </is>
      </c>
      <c r="I102" t="n">
        <v>7.4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46326</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46326</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39978-2026</t>
        </is>
      </c>
      <c r="B105" t="inlineStr">
        <is>
          <t>avverkningsanmälan</t>
        </is>
      </c>
      <c r="C105" t="inlineStr">
        <is>
          <t>Föryngringsavverkning</t>
        </is>
      </c>
      <c r="D105" s="1" t="n">
        <v>46293</v>
      </c>
      <c r="E105" s="1" t="n">
        <v>46326</v>
      </c>
      <c r="F105" t="inlineStr">
        <is>
          <t>UPPSALA LÄN</t>
        </is>
      </c>
      <c r="G105" t="inlineStr">
        <is>
          <t>KNIVSTA</t>
        </is>
      </c>
      <c r="H105" t="inlineStr">
        <is>
          <t>Holmen skog AB</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46326</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19777-2026</t>
        </is>
      </c>
      <c r="B107" t="inlineStr">
        <is>
          <t>avverkningsanmälan</t>
        </is>
      </c>
      <c r="C107" t="inlineStr">
        <is>
          <t>Föryngringsavverkning</t>
        </is>
      </c>
      <c r="D107" s="1" t="n">
        <v>46135</v>
      </c>
      <c r="E107" s="1" t="n">
        <v>46326</v>
      </c>
      <c r="F107" t="inlineStr">
        <is>
          <t>UPPSALA LÄN</t>
        </is>
      </c>
      <c r="G107" t="inlineStr">
        <is>
          <t>KNIVSTA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43447-2026</t>
        </is>
      </c>
      <c r="B108" t="inlineStr">
        <is>
          <t>avverkningsanmälan</t>
        </is>
      </c>
      <c r="C108" t="inlineStr">
        <is>
          <t>Föryngringsavverkning</t>
        </is>
      </c>
      <c r="D108" s="1" t="n">
        <v>46314</v>
      </c>
      <c r="E108" s="1" t="n">
        <v>46326</v>
      </c>
      <c r="F108" t="inlineStr">
        <is>
          <t>UPPSALA LÄN</t>
        </is>
      </c>
      <c r="G108" t="inlineStr">
        <is>
          <t>KNIVSTA</t>
        </is>
      </c>
      <c r="I108" t="n">
        <v>9.699999999999999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37437-2026</t>
        </is>
      </c>
      <c r="B109" t="inlineStr">
        <is>
          <t>avverkningsanmälan</t>
        </is>
      </c>
      <c r="C109" t="inlineStr">
        <is>
          <t>Föryngringsavverkning</t>
        </is>
      </c>
      <c r="D109" s="1" t="n">
        <v>46275</v>
      </c>
      <c r="E109" s="1" t="n">
        <v>46326</v>
      </c>
      <c r="F109" t="inlineStr">
        <is>
          <t>UPPSALA LÄN</t>
        </is>
      </c>
      <c r="G109" t="inlineStr">
        <is>
          <t>KNIVSTA</t>
        </is>
      </c>
      <c r="H109" t="inlineStr">
        <is>
          <t>Holmen skog AB</t>
        </is>
      </c>
      <c r="I109" t="n">
        <v>3.4</v>
      </c>
      <c r="J109" t="n">
        <v>0</v>
      </c>
      <c r="K109" t="n">
        <v>0</v>
      </c>
      <c r="L109" t="n">
        <v>0</v>
      </c>
      <c r="M109" t="n">
        <v>0</v>
      </c>
      <c r="N109" t="n">
        <v>0</v>
      </c>
      <c r="O109" t="n">
        <v>0</v>
      </c>
      <c r="P109" t="n">
        <v>0</v>
      </c>
      <c r="Q109" t="n">
        <v>0</v>
      </c>
      <c r="R109" t="n">
        <v>0</v>
      </c>
      <c r="S109" t="n">
        <v>0</v>
      </c>
      <c r="T109" t="n">
        <v>0</v>
      </c>
      <c r="U109" t="n">
        <v>0</v>
      </c>
      <c r="V109" s="2" t="inlineStr"/>
    </row>
    <row r="110">
      <c r="A110" t="inlineStr">
        <is>
          <t>S 1411-2022</t>
        </is>
      </c>
      <c r="B110" t="inlineStr">
        <is>
          <t>samrådsanmälan</t>
        </is>
      </c>
      <c r="C110" t="inlineStr">
        <is>
          <t>Annan skogsbruksåtgärd</t>
        </is>
      </c>
      <c r="D110" s="1" t="n">
        <v>44634</v>
      </c>
      <c r="E110" s="1" t="n">
        <v>46326</v>
      </c>
      <c r="F110" t="inlineStr">
        <is>
          <t>UPPSALA LÄN</t>
        </is>
      </c>
      <c r="G110" t="inlineStr">
        <is>
          <t>KNIVSTA</t>
        </is>
      </c>
      <c r="I110" t="n">
        <v>2</v>
      </c>
      <c r="J110" t="n">
        <v>0</v>
      </c>
      <c r="K110" t="n">
        <v>0</v>
      </c>
      <c r="L110" t="n">
        <v>0</v>
      </c>
      <c r="M110" t="n">
        <v>0</v>
      </c>
      <c r="N110" t="n">
        <v>0</v>
      </c>
      <c r="O110" t="n">
        <v>0</v>
      </c>
      <c r="P110" t="n">
        <v>0</v>
      </c>
      <c r="Q110" t="n">
        <v>0</v>
      </c>
      <c r="R110" t="n">
        <v>0</v>
      </c>
      <c r="S110" t="n">
        <v>0</v>
      </c>
      <c r="T110" t="n">
        <v>0</v>
      </c>
      <c r="U110" t="n">
        <v>0</v>
      </c>
      <c r="V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2026-10-31T03:23:04Z</dcterms:created>
  <dcterms:modified xmlns:dcterms="http://purl.org/dc/terms/" xmlns:xsi="http://www.w3.org/2001/XMLSchema-instance" xsi:type="dcterms:W3CDTF">2026-10-31T03:23:04Z</dcterms:modified>
</cp:coreProperties>
</file>