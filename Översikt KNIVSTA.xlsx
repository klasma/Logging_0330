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46242</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46242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46242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46242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46242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46242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46242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46242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46242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46242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46242</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46242</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46242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46242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46242</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46242</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46242</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46242</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46242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46242</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46242</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46242</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13002-2026</t>
        </is>
      </c>
      <c r="B24" t="inlineStr">
        <is>
          <t>avverkningsanmälan</t>
        </is>
      </c>
      <c r="C24" t="inlineStr">
        <is>
          <t>Föryngringsavverkning</t>
        </is>
      </c>
      <c r="D24" s="1" t="n">
        <v>46092</v>
      </c>
      <c r="E24" s="1" t="n">
        <v>46242</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12991-2026</t>
        </is>
      </c>
      <c r="B25" t="inlineStr">
        <is>
          <t>avverkningsanmälan</t>
        </is>
      </c>
      <c r="C25" t="inlineStr">
        <is>
          <t>Föryngringsavverkning</t>
        </is>
      </c>
      <c r="D25" s="1" t="n">
        <v>46092</v>
      </c>
      <c r="E25" s="1" t="n">
        <v>46242</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13380-2026</t>
        </is>
      </c>
      <c r="B26" t="inlineStr">
        <is>
          <t>avverkningsanmälan</t>
        </is>
      </c>
      <c r="C26" t="inlineStr">
        <is>
          <t>Föryngringsavverkning</t>
        </is>
      </c>
      <c r="D26" s="1" t="n">
        <v>46094</v>
      </c>
      <c r="E26" s="1" t="n">
        <v>46242</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46242</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33770-2023</t>
        </is>
      </c>
      <c r="B28" t="inlineStr">
        <is>
          <t>avverkningsanmälan</t>
        </is>
      </c>
      <c r="C28" t="inlineStr">
        <is>
          <t>Föryngringsavverkning</t>
        </is>
      </c>
      <c r="D28" s="1" t="n">
        <v>45133</v>
      </c>
      <c r="E28" s="1" t="n">
        <v>46242</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46242</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46242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46242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46242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46242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46242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46242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46242</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46242</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46242</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46242</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46242</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46242</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46242</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46242</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46242</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46242</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46242</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46242</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46242</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46242</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46242</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46242</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46242</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46242</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46242</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662-2026</t>
        </is>
      </c>
      <c r="B55" t="inlineStr">
        <is>
          <t>avverkningsanmälan</t>
        </is>
      </c>
      <c r="C55" t="inlineStr">
        <is>
          <t>Föryngringsavverkning</t>
        </is>
      </c>
      <c r="D55" s="1" t="n">
        <v>46029</v>
      </c>
      <c r="E55" s="1" t="n">
        <v>46242</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20902-2024</t>
        </is>
      </c>
      <c r="B56" t="inlineStr">
        <is>
          <t>avverkningsanmälan</t>
        </is>
      </c>
      <c r="C56" t="inlineStr">
        <is>
          <t>Föryngringsavverkning</t>
        </is>
      </c>
      <c r="D56" s="1" t="n">
        <v>45439</v>
      </c>
      <c r="E56" s="1" t="n">
        <v>46242</v>
      </c>
      <c r="F56" t="inlineStr">
        <is>
          <t>UPPSALA LÄN</t>
        </is>
      </c>
      <c r="G56" t="inlineStr">
        <is>
          <t>KNIVSTA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3824-2026</t>
        </is>
      </c>
      <c r="B57" t="inlineStr">
        <is>
          <t>avverkningsanmälan</t>
        </is>
      </c>
      <c r="C57" t="inlineStr">
        <is>
          <t>Föryngringsavverkning</t>
        </is>
      </c>
      <c r="D57" s="1" t="n">
        <v>46043</v>
      </c>
      <c r="E57" s="1" t="n">
        <v>46242</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3375-2026</t>
        </is>
      </c>
      <c r="B58" t="inlineStr">
        <is>
          <t>avverkningsanmälan</t>
        </is>
      </c>
      <c r="C58" t="inlineStr">
        <is>
          <t>Föryngringsavverkning</t>
        </is>
      </c>
      <c r="D58" s="1" t="n">
        <v>46042</v>
      </c>
      <c r="E58" s="1" t="n">
        <v>46242</v>
      </c>
      <c r="F58" t="inlineStr">
        <is>
          <t>UPPSALA LÄN</t>
        </is>
      </c>
      <c r="G58" t="inlineStr">
        <is>
          <t>KNIVSTA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16773-2022</t>
        </is>
      </c>
      <c r="B59" t="inlineStr">
        <is>
          <t>avverkningsanmälan</t>
        </is>
      </c>
      <c r="C59" t="inlineStr">
        <is>
          <t>Avverkning för annat ändamål</t>
        </is>
      </c>
      <c r="D59" s="1" t="n">
        <v>44673</v>
      </c>
      <c r="E59" s="1" t="n">
        <v>46242</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5908-2026</t>
        </is>
      </c>
      <c r="B60" t="inlineStr">
        <is>
          <t>avverkningsanmälan</t>
        </is>
      </c>
      <c r="C60" t="inlineStr">
        <is>
          <t>Föryngringsavverkning</t>
        </is>
      </c>
      <c r="D60" s="1" t="n">
        <v>46052</v>
      </c>
      <c r="E60" s="1" t="n">
        <v>46242</v>
      </c>
      <c r="F60" t="inlineStr">
        <is>
          <t>UPPSALA LÄN</t>
        </is>
      </c>
      <c r="G60" t="inlineStr">
        <is>
          <t>KNIVSTA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5910-2026</t>
        </is>
      </c>
      <c r="B61" t="inlineStr">
        <is>
          <t>avverkningsanmälan</t>
        </is>
      </c>
      <c r="C61" t="inlineStr">
        <is>
          <t>Föryngringsavverkning</t>
        </is>
      </c>
      <c r="D61" s="1" t="n">
        <v>46052</v>
      </c>
      <c r="E61" s="1" t="n">
        <v>46242</v>
      </c>
      <c r="F61" t="inlineStr">
        <is>
          <t>UPPSALA LÄN</t>
        </is>
      </c>
      <c r="G61" t="inlineStr">
        <is>
          <t>KNIVSTA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60018-2024</t>
        </is>
      </c>
      <c r="B62" t="inlineStr">
        <is>
          <t>avverkningsanmälan</t>
        </is>
      </c>
      <c r="C62" t="inlineStr">
        <is>
          <t>Föryngringsavverkning</t>
        </is>
      </c>
      <c r="D62" s="1" t="n">
        <v>45642</v>
      </c>
      <c r="E62" s="1" t="n">
        <v>46242</v>
      </c>
      <c r="F62" t="inlineStr">
        <is>
          <t>UPPSALA LÄN</t>
        </is>
      </c>
      <c r="G62" t="inlineStr">
        <is>
          <t>KNIVSTA</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45453-2025</t>
        </is>
      </c>
      <c r="B63" t="inlineStr">
        <is>
          <t>avverkningsanmälan</t>
        </is>
      </c>
      <c r="C63" t="inlineStr">
        <is>
          <t>Föryngringsavverkning</t>
        </is>
      </c>
      <c r="D63" s="1" t="n">
        <v>45922</v>
      </c>
      <c r="E63" s="1" t="n">
        <v>46242</v>
      </c>
      <c r="F63" t="inlineStr">
        <is>
          <t>UPPSALA LÄN</t>
        </is>
      </c>
      <c r="G63" t="inlineStr">
        <is>
          <t>KNIVSTA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46242</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1791-2024</t>
        </is>
      </c>
      <c r="B65" t="inlineStr">
        <is>
          <t>avverkningsanmälan</t>
        </is>
      </c>
      <c r="C65" t="inlineStr">
        <is>
          <t>Föryngringsavverkning</t>
        </is>
      </c>
      <c r="D65" s="1" t="n">
        <v>45307</v>
      </c>
      <c r="E65" s="1" t="n">
        <v>46242</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47803-2025</t>
        </is>
      </c>
      <c r="B66" t="inlineStr">
        <is>
          <t>avverkningsanmälan</t>
        </is>
      </c>
      <c r="C66" t="inlineStr">
        <is>
          <t>Avverkning för annat ändamål</t>
        </is>
      </c>
      <c r="D66" s="1" t="n">
        <v>45931</v>
      </c>
      <c r="E66" s="1" t="n">
        <v>46242</v>
      </c>
      <c r="F66" t="inlineStr">
        <is>
          <t>UPPSALA LÄN</t>
        </is>
      </c>
      <c r="G66" t="inlineStr">
        <is>
          <t>KNIVSTA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12027-2026</t>
        </is>
      </c>
      <c r="B67" t="inlineStr">
        <is>
          <t>avverkningsanmälan</t>
        </is>
      </c>
      <c r="C67" t="inlineStr">
        <is>
          <t>Avverkning för annat ändamål</t>
        </is>
      </c>
      <c r="D67" s="1" t="n">
        <v>46085</v>
      </c>
      <c r="E67" s="1" t="n">
        <v>46242</v>
      </c>
      <c r="F67" t="inlineStr">
        <is>
          <t>UPPSALA LÄN</t>
        </is>
      </c>
      <c r="G67" t="inlineStr">
        <is>
          <t>KNIVSTA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12774-2026</t>
        </is>
      </c>
      <c r="B68" t="inlineStr">
        <is>
          <t>avverkningsanmälan</t>
        </is>
      </c>
      <c r="C68" t="inlineStr">
        <is>
          <t>Föryngringsavverkning</t>
        </is>
      </c>
      <c r="D68" s="1" t="n">
        <v>46091</v>
      </c>
      <c r="E68" s="1" t="n">
        <v>46242</v>
      </c>
      <c r="F68" t="inlineStr">
        <is>
          <t>UPPSALA LÄN</t>
        </is>
      </c>
      <c r="G68" t="inlineStr">
        <is>
          <t>KNIVSTA</t>
        </is>
      </c>
      <c r="H68" t="inlineStr">
        <is>
          <t>Holmen skog AB</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13011-2026</t>
        </is>
      </c>
      <c r="B69" t="inlineStr">
        <is>
          <t>avverkningsanmälan</t>
        </is>
      </c>
      <c r="C69" t="inlineStr">
        <is>
          <t>Föryngringsavverkning</t>
        </is>
      </c>
      <c r="D69" s="1" t="n">
        <v>46092</v>
      </c>
      <c r="E69" s="1" t="n">
        <v>46242</v>
      </c>
      <c r="F69" t="inlineStr">
        <is>
          <t>UPPSALA LÄN</t>
        </is>
      </c>
      <c r="G69" t="inlineStr">
        <is>
          <t>KNIVSTA</t>
        </is>
      </c>
      <c r="H69" t="inlineStr">
        <is>
          <t>Holmen skog AB</t>
        </is>
      </c>
      <c r="I69" t="n">
        <v>1.9</v>
      </c>
      <c r="J69" t="n">
        <v>0</v>
      </c>
      <c r="K69" t="n">
        <v>0</v>
      </c>
      <c r="L69" t="n">
        <v>0</v>
      </c>
      <c r="M69" t="n">
        <v>0</v>
      </c>
      <c r="N69" t="n">
        <v>0</v>
      </c>
      <c r="O69" t="n">
        <v>0</v>
      </c>
      <c r="P69" t="n">
        <v>0</v>
      </c>
      <c r="Q69" t="n">
        <v>0</v>
      </c>
      <c r="R69" t="n">
        <v>0</v>
      </c>
      <c r="S69" t="n">
        <v>0</v>
      </c>
      <c r="T69" t="n">
        <v>0</v>
      </c>
      <c r="U69" t="n">
        <v>0</v>
      </c>
      <c r="V69" s="2" t="inlineStr"/>
      <c r="Z69">
        <f>HYPERLINK("https://klasma.github.io/Logging_0330/knärot/A 13011-2026 karta knärot.png", "A 13011-2026")</f>
        <v/>
      </c>
      <c r="AA69">
        <f>HYPERLINK("https://klasma.github.io/Logging_0330/klagomål/A 13011-2026 FSC-klagomål.docx", "A 13011-2026")</f>
        <v/>
      </c>
      <c r="AB69">
        <f>HYPERLINK("https://klasma.github.io/Logging_0330/klagomålsmail/A 13011-2026 FSC-klagomål mail.docx", "A 13011-2026")</f>
        <v/>
      </c>
      <c r="AC69">
        <f>HYPERLINK("https://klasma.github.io/Logging_0330/tillsyn/A 13011-2026 tillsynsbegäran.docx", "A 13011-2026")</f>
        <v/>
      </c>
      <c r="AD69">
        <f>HYPERLINK("https://klasma.github.io/Logging_0330/tillsynsmail/A 13011-2026 tillsynsbegäran mail.docx", "A 13011-2026")</f>
        <v/>
      </c>
    </row>
    <row r="70" ht="15" customHeight="1">
      <c r="A70" t="inlineStr">
        <is>
          <t>A 13013-2026</t>
        </is>
      </c>
      <c r="B70" t="inlineStr">
        <is>
          <t>avverkningsanmälan</t>
        </is>
      </c>
      <c r="C70" t="inlineStr">
        <is>
          <t>Föryngringsavverkning</t>
        </is>
      </c>
      <c r="D70" s="1" t="n">
        <v>46092</v>
      </c>
      <c r="E70" s="1" t="n">
        <v>46242</v>
      </c>
      <c r="F70" t="inlineStr">
        <is>
          <t>UPPSALA LÄN</t>
        </is>
      </c>
      <c r="G70" t="inlineStr">
        <is>
          <t>KNIVSTA</t>
        </is>
      </c>
      <c r="H70" t="inlineStr">
        <is>
          <t>Holmen skog AB</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13001-2026</t>
        </is>
      </c>
      <c r="B71" t="inlineStr">
        <is>
          <t>avverkningsanmälan</t>
        </is>
      </c>
      <c r="C71" t="inlineStr">
        <is>
          <t>Föryngringsavverkning</t>
        </is>
      </c>
      <c r="D71" s="1" t="n">
        <v>46092</v>
      </c>
      <c r="E71" s="1" t="n">
        <v>46242</v>
      </c>
      <c r="F71" t="inlineStr">
        <is>
          <t>UPPSALA LÄN</t>
        </is>
      </c>
      <c r="G71" t="inlineStr">
        <is>
          <t>KNIVSTA</t>
        </is>
      </c>
      <c r="H71" t="inlineStr">
        <is>
          <t>Holmen skog AB</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13005-2026</t>
        </is>
      </c>
      <c r="B72" t="inlineStr">
        <is>
          <t>avverkningsanmälan</t>
        </is>
      </c>
      <c r="C72" t="inlineStr">
        <is>
          <t>Föryngringsavverkning</t>
        </is>
      </c>
      <c r="D72" s="1" t="n">
        <v>46092</v>
      </c>
      <c r="E72" s="1" t="n">
        <v>46242</v>
      </c>
      <c r="F72" t="inlineStr">
        <is>
          <t>UPPSALA LÄN</t>
        </is>
      </c>
      <c r="G72" t="inlineStr">
        <is>
          <t>KNIVSTA</t>
        </is>
      </c>
      <c r="H72" t="inlineStr">
        <is>
          <t>Holmen skog AB</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13016-2026</t>
        </is>
      </c>
      <c r="B73" t="inlineStr">
        <is>
          <t>avverkningsanmälan</t>
        </is>
      </c>
      <c r="C73" t="inlineStr">
        <is>
          <t>Föryngringsavverkning</t>
        </is>
      </c>
      <c r="D73" s="1" t="n">
        <v>46092</v>
      </c>
      <c r="E73" s="1" t="n">
        <v>46242</v>
      </c>
      <c r="F73" t="inlineStr">
        <is>
          <t>UPPSALA LÄN</t>
        </is>
      </c>
      <c r="G73" t="inlineStr">
        <is>
          <t>KNIVSTA</t>
        </is>
      </c>
      <c r="H73" t="inlineStr">
        <is>
          <t>Holmen skog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49090-2025</t>
        </is>
      </c>
      <c r="B74" t="inlineStr">
        <is>
          <t>avverkningsanmälan</t>
        </is>
      </c>
      <c r="C74" t="inlineStr">
        <is>
          <t>Föryngringsavverkning</t>
        </is>
      </c>
      <c r="D74" s="1" t="n">
        <v>45937</v>
      </c>
      <c r="E74" s="1" t="n">
        <v>46242</v>
      </c>
      <c r="F74" t="inlineStr">
        <is>
          <t>UPPSALA LÄN</t>
        </is>
      </c>
      <c r="G74" t="inlineStr">
        <is>
          <t>KNIVSTA</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23239-2023</t>
        </is>
      </c>
      <c r="B75" t="inlineStr">
        <is>
          <t>avverkningsanmälan</t>
        </is>
      </c>
      <c r="C75" t="inlineStr">
        <is>
          <t>Föryngringsavverkning</t>
        </is>
      </c>
      <c r="D75" s="1" t="n">
        <v>45075</v>
      </c>
      <c r="E75" s="1" t="n">
        <v>46242</v>
      </c>
      <c r="F75" t="inlineStr">
        <is>
          <t>UPPSALA LÄN</t>
        </is>
      </c>
      <c r="G75" t="inlineStr">
        <is>
          <t>KNIVSTA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19774-2026</t>
        </is>
      </c>
      <c r="B76" t="inlineStr">
        <is>
          <t>avverkningsanmälan</t>
        </is>
      </c>
      <c r="C76" t="inlineStr">
        <is>
          <t>Föryngringsavverkning</t>
        </is>
      </c>
      <c r="D76" s="1" t="n">
        <v>46135</v>
      </c>
      <c r="E76" s="1" t="n">
        <v>46242</v>
      </c>
      <c r="F76" t="inlineStr">
        <is>
          <t>UPPSALA LÄN</t>
        </is>
      </c>
      <c r="G76" t="inlineStr">
        <is>
          <t>KNIVSTA</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66284-2021</t>
        </is>
      </c>
      <c r="B77" t="inlineStr">
        <is>
          <t>avverkningsanmälan</t>
        </is>
      </c>
      <c r="C77" t="inlineStr">
        <is>
          <t>Föryngringsavverkning</t>
        </is>
      </c>
      <c r="D77" s="1" t="n">
        <v>44518</v>
      </c>
      <c r="E77" s="1" t="n">
        <v>46242</v>
      </c>
      <c r="F77" t="inlineStr">
        <is>
          <t>UPPSALA LÄN</t>
        </is>
      </c>
      <c r="G77" t="inlineStr">
        <is>
          <t>KNIVSTA</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52666-2025</t>
        </is>
      </c>
      <c r="B78" t="inlineStr">
        <is>
          <t>avverkningsanmälan</t>
        </is>
      </c>
      <c r="C78" t="inlineStr">
        <is>
          <t>Föryngringsavverkning</t>
        </is>
      </c>
      <c r="D78" s="1" t="n">
        <v>45955</v>
      </c>
      <c r="E78" s="1" t="n">
        <v>46242</v>
      </c>
      <c r="F78" t="inlineStr">
        <is>
          <t>UPPSALA LÄN</t>
        </is>
      </c>
      <c r="G78" t="inlineStr">
        <is>
          <t>KNIVSTA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60243-2025</t>
        </is>
      </c>
      <c r="B79" t="inlineStr">
        <is>
          <t>avverkningsanmälan</t>
        </is>
      </c>
      <c r="C79" t="inlineStr">
        <is>
          <t>Föryngringsavverkning</t>
        </is>
      </c>
      <c r="D79" s="1" t="n">
        <v>45994</v>
      </c>
      <c r="E79" s="1" t="n">
        <v>46242</v>
      </c>
      <c r="F79" t="inlineStr">
        <is>
          <t>UPPSALA LÄN</t>
        </is>
      </c>
      <c r="G79" t="inlineStr">
        <is>
          <t>KNIVSTA</t>
        </is>
      </c>
      <c r="H79" t="inlineStr">
        <is>
          <t>Holmen skog AB</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33974-2025</t>
        </is>
      </c>
      <c r="B80" t="inlineStr">
        <is>
          <t>avverkningsanmälan</t>
        </is>
      </c>
      <c r="C80" t="inlineStr">
        <is>
          <t>Föryngringsavverkning</t>
        </is>
      </c>
      <c r="D80" s="1" t="n">
        <v>45843</v>
      </c>
      <c r="E80" s="1" t="n">
        <v>46242</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20528-2026</t>
        </is>
      </c>
      <c r="B81" t="inlineStr">
        <is>
          <t>avverkningsanmälan</t>
        </is>
      </c>
      <c r="C81" t="inlineStr">
        <is>
          <t>Föryngringsavverkning</t>
        </is>
      </c>
      <c r="D81" s="1" t="n">
        <v>46140</v>
      </c>
      <c r="E81" s="1" t="n">
        <v>46242</v>
      </c>
      <c r="F81" t="inlineStr">
        <is>
          <t>UPPSALA LÄN</t>
        </is>
      </c>
      <c r="G81" t="inlineStr">
        <is>
          <t>KNIVSTA</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19777-2026</t>
        </is>
      </c>
      <c r="B82" t="inlineStr">
        <is>
          <t>avverkningsanmälan</t>
        </is>
      </c>
      <c r="C82" t="inlineStr">
        <is>
          <t>Föryngringsavverkning</t>
        </is>
      </c>
      <c r="D82" s="1" t="n">
        <v>46135</v>
      </c>
      <c r="E82" s="1" t="n">
        <v>46242</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11847-2023</t>
        </is>
      </c>
      <c r="B83" t="inlineStr">
        <is>
          <t>avverkningsanmälan</t>
        </is>
      </c>
      <c r="C83" t="inlineStr">
        <is>
          <t>Föryngringsavverkning</t>
        </is>
      </c>
      <c r="D83" s="1" t="n">
        <v>44995</v>
      </c>
      <c r="E83" s="1" t="n">
        <v>46242</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34864-2025</t>
        </is>
      </c>
      <c r="B84" t="inlineStr">
        <is>
          <t>avverkningsanmälan</t>
        </is>
      </c>
      <c r="C84" t="inlineStr">
        <is>
          <t>Föryngringsavverkning</t>
        </is>
      </c>
      <c r="D84" s="1" t="n">
        <v>45849</v>
      </c>
      <c r="E84" s="1" t="n">
        <v>46242</v>
      </c>
      <c r="F84" t="inlineStr">
        <is>
          <t>UPPSALA LÄN</t>
        </is>
      </c>
      <c r="G84" t="inlineStr">
        <is>
          <t>KNIVSTA</t>
        </is>
      </c>
      <c r="H84" t="inlineStr">
        <is>
          <t>Holmen skog AB</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35318-2025</t>
        </is>
      </c>
      <c r="B85" t="inlineStr">
        <is>
          <t>avverkningsanmälan</t>
        </is>
      </c>
      <c r="C85" t="inlineStr">
        <is>
          <t>Föryngringsavverkning</t>
        </is>
      </c>
      <c r="D85" s="1" t="n">
        <v>45854</v>
      </c>
      <c r="E85" s="1" t="n">
        <v>46242</v>
      </c>
      <c r="F85" t="inlineStr">
        <is>
          <t>UPPSALA LÄN</t>
        </is>
      </c>
      <c r="G85" t="inlineStr">
        <is>
          <t>KNIVSTA</t>
        </is>
      </c>
      <c r="H85" t="inlineStr">
        <is>
          <t>Holmen skog AB</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36473-2025</t>
        </is>
      </c>
      <c r="B86" t="inlineStr">
        <is>
          <t>avverkningsanmälan</t>
        </is>
      </c>
      <c r="C86" t="inlineStr">
        <is>
          <t>Föryngringsavverkning</t>
        </is>
      </c>
      <c r="D86" s="1" t="n">
        <v>45869</v>
      </c>
      <c r="E86" s="1" t="n">
        <v>46242</v>
      </c>
      <c r="F86" t="inlineStr">
        <is>
          <t>UPPSALA LÄN</t>
        </is>
      </c>
      <c r="G86" t="inlineStr">
        <is>
          <t>KNIVSTA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23969-2026</t>
        </is>
      </c>
      <c r="B87" t="inlineStr">
        <is>
          <t>avverkningsanmälan</t>
        </is>
      </c>
      <c r="C87" t="inlineStr">
        <is>
          <t>Föryngringsavverkning</t>
        </is>
      </c>
      <c r="D87" s="1" t="n">
        <v>46167</v>
      </c>
      <c r="E87" s="1" t="n">
        <v>46242</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30351-2022</t>
        </is>
      </c>
      <c r="B88" t="inlineStr">
        <is>
          <t>avverkningsanmälan</t>
        </is>
      </c>
      <c r="C88" t="inlineStr">
        <is>
          <t>Föryngringsavverkning</t>
        </is>
      </c>
      <c r="D88" s="1" t="n">
        <v>44757</v>
      </c>
      <c r="E88" s="1" t="n">
        <v>46242</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31875-2022</t>
        </is>
      </c>
      <c r="B89" t="inlineStr">
        <is>
          <t>avverkningsanmälan</t>
        </is>
      </c>
      <c r="C89" t="inlineStr">
        <is>
          <t>Föryngringsavverkning</t>
        </is>
      </c>
      <c r="D89" s="1" t="n">
        <v>44777</v>
      </c>
      <c r="E89" s="1" t="n">
        <v>46242</v>
      </c>
      <c r="F89" t="inlineStr">
        <is>
          <t>UPPSALA LÄN</t>
        </is>
      </c>
      <c r="G89" t="inlineStr">
        <is>
          <t>KNIVSTA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51849-2023</t>
        </is>
      </c>
      <c r="B90" t="inlineStr">
        <is>
          <t>avverkningsanmälan</t>
        </is>
      </c>
      <c r="C90" t="inlineStr">
        <is>
          <t>Föryngringsavverkning</t>
        </is>
      </c>
      <c r="D90" s="1" t="n">
        <v>45223</v>
      </c>
      <c r="E90" s="1" t="n">
        <v>46242</v>
      </c>
      <c r="F90" t="inlineStr">
        <is>
          <t>UPPSALA LÄN</t>
        </is>
      </c>
      <c r="G90" t="inlineStr">
        <is>
          <t>KNIVSTA</t>
        </is>
      </c>
      <c r="I90" t="n">
        <v>16.3</v>
      </c>
      <c r="J90" t="n">
        <v>0</v>
      </c>
      <c r="K90" t="n">
        <v>0</v>
      </c>
      <c r="L90" t="n">
        <v>0</v>
      </c>
      <c r="M90" t="n">
        <v>0</v>
      </c>
      <c r="N90" t="n">
        <v>0</v>
      </c>
      <c r="O90" t="n">
        <v>0</v>
      </c>
      <c r="P90" t="n">
        <v>0</v>
      </c>
      <c r="Q90" t="n">
        <v>0</v>
      </c>
      <c r="R90" t="n">
        <v>0</v>
      </c>
      <c r="S90" t="n">
        <v>0</v>
      </c>
      <c r="T90" t="n">
        <v>0</v>
      </c>
      <c r="U90" t="n">
        <v>0</v>
      </c>
      <c r="V90" s="2" t="inlineStr"/>
    </row>
    <row r="91" ht="15" customHeight="1">
      <c r="A91" t="inlineStr">
        <is>
          <t>A 66293-2021</t>
        </is>
      </c>
      <c r="B91" t="inlineStr">
        <is>
          <t>avverkningsanmälan</t>
        </is>
      </c>
      <c r="C91" t="inlineStr">
        <is>
          <t>Föryngringsavverkning</t>
        </is>
      </c>
      <c r="D91" s="1" t="n">
        <v>44518</v>
      </c>
      <c r="E91" s="1" t="n">
        <v>46242</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46242</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46242</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46242</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46242</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30627-2023</t>
        </is>
      </c>
      <c r="B96" t="inlineStr">
        <is>
          <t>avverkningsanmälan</t>
        </is>
      </c>
      <c r="C96" t="inlineStr">
        <is>
          <t>Föryngringsavverkning</t>
        </is>
      </c>
      <c r="D96" s="1" t="n">
        <v>45112</v>
      </c>
      <c r="E96" s="1" t="n">
        <v>46242</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28668-2026</t>
        </is>
      </c>
      <c r="B97" t="inlineStr">
        <is>
          <t>avverkningsanmälan</t>
        </is>
      </c>
      <c r="C97" t="inlineStr">
        <is>
          <t>Avverkning för annat ändamål</t>
        </is>
      </c>
      <c r="D97" s="1" t="n">
        <v>46193</v>
      </c>
      <c r="E97" s="1" t="n">
        <v>46242</v>
      </c>
      <c r="F97" t="inlineStr">
        <is>
          <t>UPPSALA LÄN</t>
        </is>
      </c>
      <c r="G97" t="inlineStr">
        <is>
          <t>KNIVSTA</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46242</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8343-2024</t>
        </is>
      </c>
      <c r="B99" t="inlineStr">
        <is>
          <t>avverkningsanmälan</t>
        </is>
      </c>
      <c r="C99" t="inlineStr">
        <is>
          <t>Föryngringsavverkning</t>
        </is>
      </c>
      <c r="D99" s="1" t="n">
        <v>45352</v>
      </c>
      <c r="E99" s="1" t="n">
        <v>46242</v>
      </c>
      <c r="F99" t="inlineStr">
        <is>
          <t>UPPSALA LÄN</t>
        </is>
      </c>
      <c r="G99" t="inlineStr">
        <is>
          <t>KNIVSTA</t>
        </is>
      </c>
      <c r="H99" t="inlineStr">
        <is>
          <t>Holmen skog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19676-2025</t>
        </is>
      </c>
      <c r="B100" t="inlineStr">
        <is>
          <t>avverkningsanmälan</t>
        </is>
      </c>
      <c r="C100" t="inlineStr">
        <is>
          <t>Föryngringsavverkning</t>
        </is>
      </c>
      <c r="D100" s="1" t="n">
        <v>45770</v>
      </c>
      <c r="E100" s="1" t="n">
        <v>46242</v>
      </c>
      <c r="F100" t="inlineStr">
        <is>
          <t>UPPSALA LÄN</t>
        </is>
      </c>
      <c r="G100" t="inlineStr">
        <is>
          <t>KNIVSTA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46242</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1629-2024</t>
        </is>
      </c>
      <c r="B102" t="inlineStr">
        <is>
          <t>avverkningsanmälan</t>
        </is>
      </c>
      <c r="C102" t="inlineStr">
        <is>
          <t>Föryngringsavverkning</t>
        </is>
      </c>
      <c r="D102" s="1" t="n">
        <v>45306</v>
      </c>
      <c r="E102" s="1" t="n">
        <v>46242</v>
      </c>
      <c r="F102" t="inlineStr">
        <is>
          <t>UPPSALA LÄN</t>
        </is>
      </c>
      <c r="G102" t="inlineStr">
        <is>
          <t>KNIVSTA</t>
        </is>
      </c>
      <c r="H102" t="inlineStr">
        <is>
          <t>Holmen skog AB</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30764-2023</t>
        </is>
      </c>
      <c r="B103" t="inlineStr">
        <is>
          <t>avverkningsanmälan</t>
        </is>
      </c>
      <c r="C103" t="inlineStr">
        <is>
          <t>Föryngringsavverkning</t>
        </is>
      </c>
      <c r="D103" s="1" t="n">
        <v>45112</v>
      </c>
      <c r="E103" s="1" t="n">
        <v>46242</v>
      </c>
      <c r="F103" t="inlineStr">
        <is>
          <t>UPPSALA LÄN</t>
        </is>
      </c>
      <c r="G103" t="inlineStr">
        <is>
          <t>KNIVSTA</t>
        </is>
      </c>
      <c r="H103" t="inlineStr">
        <is>
          <t>Holmen skog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46242</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46242</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2026-08-08T01:55:12Z</dcterms:created>
  <dcterms:modified xmlns:dcterms="http://purl.org/dc/terms/" xmlns:xsi="http://www.w3.org/2001/XMLSchema-instance" xsi:type="dcterms:W3CDTF">2026-08-08T01:55:12Z</dcterms:modified>
</cp:coreProperties>
</file>