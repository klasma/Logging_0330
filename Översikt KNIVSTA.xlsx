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46300</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46300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46300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46300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46300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46300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46300</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46300</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46300</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46300</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46300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46300</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46300</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46300</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46300</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46300</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46300</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46300</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46300</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46300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46300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46300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46300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46300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46300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46300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46300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46300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46300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46300</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46300</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46300</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46300</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46300</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46300</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46300</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46300</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46300</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46300</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46300</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46300</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662-2026</t>
        </is>
      </c>
      <c r="B51" t="inlineStr">
        <is>
          <t>avverkningsanmälan</t>
        </is>
      </c>
      <c r="C51" t="inlineStr">
        <is>
          <t>Föryngringsavverkning</t>
        </is>
      </c>
      <c r="D51" s="1" t="n">
        <v>46029</v>
      </c>
      <c r="E51" s="1" t="n">
        <v>46300</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46300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46300</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3824-2026</t>
        </is>
      </c>
      <c r="B54" t="inlineStr">
        <is>
          <t>avverkningsanmälan</t>
        </is>
      </c>
      <c r="C54" t="inlineStr">
        <is>
          <t>Föryngringsavverkning</t>
        </is>
      </c>
      <c r="D54" s="1" t="n">
        <v>46043</v>
      </c>
      <c r="E54" s="1" t="n">
        <v>46300</v>
      </c>
      <c r="F54" t="inlineStr">
        <is>
          <t>UPPSALA LÄN</t>
        </is>
      </c>
      <c r="G54" t="inlineStr">
        <is>
          <t>KNIVSTA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3375-2026</t>
        </is>
      </c>
      <c r="B55" t="inlineStr">
        <is>
          <t>avverkningsanmälan</t>
        </is>
      </c>
      <c r="C55" t="inlineStr">
        <is>
          <t>Föryngringsavverkning</t>
        </is>
      </c>
      <c r="D55" s="1" t="n">
        <v>46042</v>
      </c>
      <c r="E55" s="1" t="n">
        <v>46300</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46300</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20902-2024</t>
        </is>
      </c>
      <c r="B57" t="inlineStr">
        <is>
          <t>avverkningsanmälan</t>
        </is>
      </c>
      <c r="C57" t="inlineStr">
        <is>
          <t>Föryngringsavverkning</t>
        </is>
      </c>
      <c r="D57" s="1" t="n">
        <v>45439</v>
      </c>
      <c r="E57" s="1" t="n">
        <v>46300</v>
      </c>
      <c r="F57" t="inlineStr">
        <is>
          <t>UPPSALA LÄN</t>
        </is>
      </c>
      <c r="G57" t="inlineStr">
        <is>
          <t>KNIVSTA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46300</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5908-2026</t>
        </is>
      </c>
      <c r="B59" t="inlineStr">
        <is>
          <t>avverkningsanmälan</t>
        </is>
      </c>
      <c r="C59" t="inlineStr">
        <is>
          <t>Föryngringsavverkning</t>
        </is>
      </c>
      <c r="D59" s="1" t="n">
        <v>46052</v>
      </c>
      <c r="E59" s="1" t="n">
        <v>46300</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5910-2026</t>
        </is>
      </c>
      <c r="B60" t="inlineStr">
        <is>
          <t>avverkningsanmälan</t>
        </is>
      </c>
      <c r="C60" t="inlineStr">
        <is>
          <t>Föryngringsavverkning</t>
        </is>
      </c>
      <c r="D60" s="1" t="n">
        <v>46052</v>
      </c>
      <c r="E60" s="1" t="n">
        <v>46300</v>
      </c>
      <c r="F60" t="inlineStr">
        <is>
          <t>UPPSALA LÄN</t>
        </is>
      </c>
      <c r="G60" t="inlineStr">
        <is>
          <t>KNIVSTA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46300</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16773-2022</t>
        </is>
      </c>
      <c r="B62" t="inlineStr">
        <is>
          <t>avverkningsanmälan</t>
        </is>
      </c>
      <c r="C62" t="inlineStr">
        <is>
          <t>Avverkning för annat ändamål</t>
        </is>
      </c>
      <c r="D62" s="1" t="n">
        <v>44673</v>
      </c>
      <c r="E62" s="1" t="n">
        <v>46300</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46300</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46300</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60018-2024</t>
        </is>
      </c>
      <c r="B65" t="inlineStr">
        <is>
          <t>avverkningsanmälan</t>
        </is>
      </c>
      <c r="C65" t="inlineStr">
        <is>
          <t>Föryngringsavverkning</t>
        </is>
      </c>
      <c r="D65" s="1" t="n">
        <v>45642</v>
      </c>
      <c r="E65" s="1" t="n">
        <v>46300</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46300</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12774-2026</t>
        </is>
      </c>
      <c r="B67" t="inlineStr">
        <is>
          <t>avverkningsanmälan</t>
        </is>
      </c>
      <c r="C67" t="inlineStr">
        <is>
          <t>Föryngringsavverkning</t>
        </is>
      </c>
      <c r="D67" s="1" t="n">
        <v>46091</v>
      </c>
      <c r="E67" s="1" t="n">
        <v>46300</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13011-2026</t>
        </is>
      </c>
      <c r="B68" t="inlineStr">
        <is>
          <t>avverkningsanmälan</t>
        </is>
      </c>
      <c r="C68" t="inlineStr">
        <is>
          <t>Föryngringsavverkning</t>
        </is>
      </c>
      <c r="D68" s="1" t="n">
        <v>46092</v>
      </c>
      <c r="E68" s="1" t="n">
        <v>46300</v>
      </c>
      <c r="F68" t="inlineStr">
        <is>
          <t>UPPSALA LÄN</t>
        </is>
      </c>
      <c r="G68" t="inlineStr">
        <is>
          <t>KNIVSTA</t>
        </is>
      </c>
      <c r="H68" t="inlineStr">
        <is>
          <t>Holmen skog AB</t>
        </is>
      </c>
      <c r="I68" t="n">
        <v>1.9</v>
      </c>
      <c r="J68" t="n">
        <v>0</v>
      </c>
      <c r="K68" t="n">
        <v>0</v>
      </c>
      <c r="L68" t="n">
        <v>0</v>
      </c>
      <c r="M68" t="n">
        <v>0</v>
      </c>
      <c r="N68" t="n">
        <v>0</v>
      </c>
      <c r="O68" t="n">
        <v>0</v>
      </c>
      <c r="P68" t="n">
        <v>0</v>
      </c>
      <c r="Q68" t="n">
        <v>0</v>
      </c>
      <c r="R68" t="n">
        <v>0</v>
      </c>
      <c r="S68" t="n">
        <v>0</v>
      </c>
      <c r="T68" t="n">
        <v>0</v>
      </c>
      <c r="U68" t="n">
        <v>0</v>
      </c>
      <c r="V68" s="2" t="inlineStr"/>
      <c r="Z68">
        <f>HYPERLINK("https://klasma.github.io/Logging_0330/knärot/A 13011-2026 karta knärot.png", "A 13011-2026")</f>
        <v/>
      </c>
      <c r="AA68">
        <f>HYPERLINK("https://klasma.github.io/Logging_0330/klagomål/A 13011-2026 FSC-klagomål.docx", "A 13011-2026")</f>
        <v/>
      </c>
      <c r="AB68">
        <f>HYPERLINK("https://klasma.github.io/Logging_0330/klagomålsmail/A 13011-2026 FSC-klagomål mail.docx", "A 13011-2026")</f>
        <v/>
      </c>
      <c r="AC68">
        <f>HYPERLINK("https://klasma.github.io/Logging_0330/tillsyn/A 13011-2026 tillsynsbegäran.docx", "A 13011-2026")</f>
        <v/>
      </c>
      <c r="AD68">
        <f>HYPERLINK("https://klasma.github.io/Logging_0330/tillsynsmail/A 13011-2026 tillsynsbegäran mail.docx", "A 13011-2026")</f>
        <v/>
      </c>
    </row>
    <row r="69" ht="15" customHeight="1">
      <c r="A69" t="inlineStr">
        <is>
          <t>A 13013-2026</t>
        </is>
      </c>
      <c r="B69" t="inlineStr">
        <is>
          <t>avverkningsanmälan</t>
        </is>
      </c>
      <c r="C69" t="inlineStr">
        <is>
          <t>Föryngringsavverkning</t>
        </is>
      </c>
      <c r="D69" s="1" t="n">
        <v>46092</v>
      </c>
      <c r="E69" s="1" t="n">
        <v>46300</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13001-2026</t>
        </is>
      </c>
      <c r="B70" t="inlineStr">
        <is>
          <t>avverkningsanmälan</t>
        </is>
      </c>
      <c r="C70" t="inlineStr">
        <is>
          <t>Föryngringsavverkning</t>
        </is>
      </c>
      <c r="D70" s="1" t="n">
        <v>46092</v>
      </c>
      <c r="E70" s="1" t="n">
        <v>46300</v>
      </c>
      <c r="F70" t="inlineStr">
        <is>
          <t>UPPSALA LÄN</t>
        </is>
      </c>
      <c r="G70" t="inlineStr">
        <is>
          <t>KNIVSTA</t>
        </is>
      </c>
      <c r="H70" t="inlineStr">
        <is>
          <t>Holmen skog AB</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13005-2026</t>
        </is>
      </c>
      <c r="B71" t="inlineStr">
        <is>
          <t>avverkningsanmälan</t>
        </is>
      </c>
      <c r="C71" t="inlineStr">
        <is>
          <t>Föryngringsavverkning</t>
        </is>
      </c>
      <c r="D71" s="1" t="n">
        <v>46092</v>
      </c>
      <c r="E71" s="1" t="n">
        <v>46300</v>
      </c>
      <c r="F71" t="inlineStr">
        <is>
          <t>UPPSALA LÄN</t>
        </is>
      </c>
      <c r="G71" t="inlineStr">
        <is>
          <t>KNIVSTA</t>
        </is>
      </c>
      <c r="H71" t="inlineStr">
        <is>
          <t>Holmen skog AB</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13016-2026</t>
        </is>
      </c>
      <c r="B72" t="inlineStr">
        <is>
          <t>avverkningsanmälan</t>
        </is>
      </c>
      <c r="C72" t="inlineStr">
        <is>
          <t>Föryngringsavverkning</t>
        </is>
      </c>
      <c r="D72" s="1" t="n">
        <v>46092</v>
      </c>
      <c r="E72" s="1" t="n">
        <v>46300</v>
      </c>
      <c r="F72" t="inlineStr">
        <is>
          <t>UPPSALA LÄN</t>
        </is>
      </c>
      <c r="G72" t="inlineStr">
        <is>
          <t>KNIVSTA</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1791-2024</t>
        </is>
      </c>
      <c r="B73" t="inlineStr">
        <is>
          <t>avverkningsanmälan</t>
        </is>
      </c>
      <c r="C73" t="inlineStr">
        <is>
          <t>Föryngringsavverkning</t>
        </is>
      </c>
      <c r="D73" s="1" t="n">
        <v>45307</v>
      </c>
      <c r="E73" s="1" t="n">
        <v>46300</v>
      </c>
      <c r="F73" t="inlineStr">
        <is>
          <t>UPPSALA LÄN</t>
        </is>
      </c>
      <c r="G73" t="inlineStr">
        <is>
          <t>KNIVSTA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60243-2025</t>
        </is>
      </c>
      <c r="B74" t="inlineStr">
        <is>
          <t>avverkningsanmälan</t>
        </is>
      </c>
      <c r="C74" t="inlineStr">
        <is>
          <t>Föryngringsavverkning</t>
        </is>
      </c>
      <c r="D74" s="1" t="n">
        <v>45994</v>
      </c>
      <c r="E74" s="1" t="n">
        <v>46300</v>
      </c>
      <c r="F74" t="inlineStr">
        <is>
          <t>UPPSALA LÄN</t>
        </is>
      </c>
      <c r="G74" t="inlineStr">
        <is>
          <t>KNIVSTA</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19774-2026</t>
        </is>
      </c>
      <c r="B75" t="inlineStr">
        <is>
          <t>avverkningsanmälan</t>
        </is>
      </c>
      <c r="C75" t="inlineStr">
        <is>
          <t>Föryngringsavverkning</t>
        </is>
      </c>
      <c r="D75" s="1" t="n">
        <v>46135</v>
      </c>
      <c r="E75" s="1" t="n">
        <v>46300</v>
      </c>
      <c r="F75" t="inlineStr">
        <is>
          <t>UPPSALA LÄN</t>
        </is>
      </c>
      <c r="G75" t="inlineStr">
        <is>
          <t>KNIVSTA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23239-2023</t>
        </is>
      </c>
      <c r="B76" t="inlineStr">
        <is>
          <t>avverkningsanmälan</t>
        </is>
      </c>
      <c r="C76" t="inlineStr">
        <is>
          <t>Föryngringsavverkning</t>
        </is>
      </c>
      <c r="D76" s="1" t="n">
        <v>45075</v>
      </c>
      <c r="E76" s="1" t="n">
        <v>46300</v>
      </c>
      <c r="F76" t="inlineStr">
        <is>
          <t>UPPSALA LÄN</t>
        </is>
      </c>
      <c r="G76" t="inlineStr">
        <is>
          <t>KNIVSTA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46300</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46300</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46300</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46300</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46300</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20528-2026</t>
        </is>
      </c>
      <c r="B82" t="inlineStr">
        <is>
          <t>avverkningsanmälan</t>
        </is>
      </c>
      <c r="C82" t="inlineStr">
        <is>
          <t>Föryngringsavverkning</t>
        </is>
      </c>
      <c r="D82" s="1" t="n">
        <v>46140</v>
      </c>
      <c r="E82" s="1" t="n">
        <v>46300</v>
      </c>
      <c r="F82" t="inlineStr">
        <is>
          <t>UPPSALA LÄN</t>
        </is>
      </c>
      <c r="G82" t="inlineStr">
        <is>
          <t>KNIVSTA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46300</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46300</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11847-2023</t>
        </is>
      </c>
      <c r="B85" t="inlineStr">
        <is>
          <t>avverkningsanmälan</t>
        </is>
      </c>
      <c r="C85" t="inlineStr">
        <is>
          <t>Föryngringsavverkning</t>
        </is>
      </c>
      <c r="D85" s="1" t="n">
        <v>44995</v>
      </c>
      <c r="E85" s="1" t="n">
        <v>46300</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23969-2026</t>
        </is>
      </c>
      <c r="B86" t="inlineStr">
        <is>
          <t>avverkningsanmälan</t>
        </is>
      </c>
      <c r="C86" t="inlineStr">
        <is>
          <t>Föryngringsavverkning</t>
        </is>
      </c>
      <c r="D86" s="1" t="n">
        <v>46167</v>
      </c>
      <c r="E86" s="1" t="n">
        <v>46300</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30351-2022</t>
        </is>
      </c>
      <c r="B87" t="inlineStr">
        <is>
          <t>avverkningsanmälan</t>
        </is>
      </c>
      <c r="C87" t="inlineStr">
        <is>
          <t>Föryngringsavverkning</t>
        </is>
      </c>
      <c r="D87" s="1" t="n">
        <v>44757</v>
      </c>
      <c r="E87" s="1" t="n">
        <v>46300</v>
      </c>
      <c r="F87" t="inlineStr">
        <is>
          <t>UPPSALA LÄN</t>
        </is>
      </c>
      <c r="G87" t="inlineStr">
        <is>
          <t>KNIVSTA</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46300</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46300</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46300</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46300</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35395-2026</t>
        </is>
      </c>
      <c r="B92" t="inlineStr">
        <is>
          <t>avverkningsanmälan</t>
        </is>
      </c>
      <c r="C92" t="inlineStr">
        <is>
          <t>Föryngringsavverkning</t>
        </is>
      </c>
      <c r="D92" s="1" t="n">
        <v>46261</v>
      </c>
      <c r="E92" s="1" t="n">
        <v>46300</v>
      </c>
      <c r="F92" t="inlineStr">
        <is>
          <t>UPPSALA LÄN</t>
        </is>
      </c>
      <c r="G92" t="inlineStr">
        <is>
          <t>KNIVSTA</t>
        </is>
      </c>
      <c r="H92" t="inlineStr">
        <is>
          <t>Holmen skog AB</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46300</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46300</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46300</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37356-2026</t>
        </is>
      </c>
      <c r="B96" t="inlineStr">
        <is>
          <t>avverkningsanmälan</t>
        </is>
      </c>
      <c r="C96" t="inlineStr">
        <is>
          <t>Föryngringsavverkning</t>
        </is>
      </c>
      <c r="D96" s="1" t="n">
        <v>46275</v>
      </c>
      <c r="E96" s="1" t="n">
        <v>46300</v>
      </c>
      <c r="F96" t="inlineStr">
        <is>
          <t>UPPSALA LÄN</t>
        </is>
      </c>
      <c r="G96" t="inlineStr">
        <is>
          <t>KNIVSTA</t>
        </is>
      </c>
      <c r="H96" t="inlineStr">
        <is>
          <t>Holmen skog AB</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37413-2026</t>
        </is>
      </c>
      <c r="B97" t="inlineStr">
        <is>
          <t>avverkningsanmälan</t>
        </is>
      </c>
      <c r="C97" t="inlineStr">
        <is>
          <t>Föryngringsavverkning</t>
        </is>
      </c>
      <c r="D97" s="1" t="n">
        <v>46275</v>
      </c>
      <c r="E97" s="1" t="n">
        <v>46300</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37437-2026</t>
        </is>
      </c>
      <c r="B98" t="inlineStr">
        <is>
          <t>avverkningsanmälan</t>
        </is>
      </c>
      <c r="C98" t="inlineStr">
        <is>
          <t>Föryngringsavverkning</t>
        </is>
      </c>
      <c r="D98" s="1" t="n">
        <v>46275</v>
      </c>
      <c r="E98" s="1" t="n">
        <v>46300</v>
      </c>
      <c r="F98" t="inlineStr">
        <is>
          <t>UPPSALA LÄN</t>
        </is>
      </c>
      <c r="G98" t="inlineStr">
        <is>
          <t>KNIVSTA</t>
        </is>
      </c>
      <c r="H98" t="inlineStr">
        <is>
          <t>Holmen skog AB</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46300</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30627-2023</t>
        </is>
      </c>
      <c r="B100" t="inlineStr">
        <is>
          <t>avverkningsanmälan</t>
        </is>
      </c>
      <c r="C100" t="inlineStr">
        <is>
          <t>Föryngringsavverkning</t>
        </is>
      </c>
      <c r="D100" s="1" t="n">
        <v>45112</v>
      </c>
      <c r="E100" s="1" t="n">
        <v>46300</v>
      </c>
      <c r="F100" t="inlineStr">
        <is>
          <t>UPPSALA LÄN</t>
        </is>
      </c>
      <c r="G100" t="inlineStr">
        <is>
          <t>KNIVSTA</t>
        </is>
      </c>
      <c r="H100" t="inlineStr">
        <is>
          <t>Holmen skog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43908-2023</t>
        </is>
      </c>
      <c r="B101" t="inlineStr">
        <is>
          <t>avverkningsanmälan</t>
        </is>
      </c>
      <c r="C101" t="inlineStr">
        <is>
          <t>Föryngringsavverkning</t>
        </is>
      </c>
      <c r="D101" s="1" t="n">
        <v>45187</v>
      </c>
      <c r="E101" s="1" t="n">
        <v>46300</v>
      </c>
      <c r="F101" t="inlineStr">
        <is>
          <t>UPPSALA LÄN</t>
        </is>
      </c>
      <c r="G101" t="inlineStr">
        <is>
          <t>KNIVSTA</t>
        </is>
      </c>
      <c r="H101" t="inlineStr">
        <is>
          <t>Kyrkan</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39978-2026</t>
        </is>
      </c>
      <c r="B102" t="inlineStr">
        <is>
          <t>avverkningsanmälan</t>
        </is>
      </c>
      <c r="C102" t="inlineStr">
        <is>
          <t>Föryngringsavverkning</t>
        </is>
      </c>
      <c r="D102" s="1" t="n">
        <v>46293</v>
      </c>
      <c r="E102" s="1" t="n">
        <v>46300</v>
      </c>
      <c r="F102" t="inlineStr">
        <is>
          <t>UPPSALA LÄN</t>
        </is>
      </c>
      <c r="G102" t="inlineStr">
        <is>
          <t>KNIVSTA</t>
        </is>
      </c>
      <c r="H102" t="inlineStr">
        <is>
          <t>Holmen skog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8343-2024</t>
        </is>
      </c>
      <c r="B103" t="inlineStr">
        <is>
          <t>avverkningsanmälan</t>
        </is>
      </c>
      <c r="C103" t="inlineStr">
        <is>
          <t>Föryngringsavverkning</t>
        </is>
      </c>
      <c r="D103" s="1" t="n">
        <v>45352</v>
      </c>
      <c r="E103" s="1" t="n">
        <v>46300</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34604-2026</t>
        </is>
      </c>
      <c r="B104" t="inlineStr">
        <is>
          <t>avverkningsanmälan</t>
        </is>
      </c>
      <c r="C104" t="inlineStr">
        <is>
          <t>Föryngringsavverkning</t>
        </is>
      </c>
      <c r="D104" s="1" t="n">
        <v>46255</v>
      </c>
      <c r="E104" s="1" t="n">
        <v>46300</v>
      </c>
      <c r="F104" t="inlineStr">
        <is>
          <t>UPPSALA LÄN</t>
        </is>
      </c>
      <c r="G104" t="inlineStr">
        <is>
          <t>KNIVSTA</t>
        </is>
      </c>
      <c r="H104" t="inlineStr">
        <is>
          <t>Holmen skog AB</t>
        </is>
      </c>
      <c r="I104" t="n">
        <v>7.6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19676-2025</t>
        </is>
      </c>
      <c r="B105" t="inlineStr">
        <is>
          <t>avverkningsanmälan</t>
        </is>
      </c>
      <c r="C105" t="inlineStr">
        <is>
          <t>Föryngringsavverkning</t>
        </is>
      </c>
      <c r="D105" s="1" t="n">
        <v>45770</v>
      </c>
      <c r="E105" s="1" t="n">
        <v>46300</v>
      </c>
      <c r="F105" t="inlineStr">
        <is>
          <t>UPPSALA LÄN</t>
        </is>
      </c>
      <c r="G105" t="inlineStr">
        <is>
          <t>KNIVSTA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13697-2024</t>
        </is>
      </c>
      <c r="B106" t="inlineStr">
        <is>
          <t>avverkningsanmälan</t>
        </is>
      </c>
      <c r="C106" t="inlineStr">
        <is>
          <t>Föryngringsavverkning</t>
        </is>
      </c>
      <c r="D106" s="1" t="n">
        <v>45390</v>
      </c>
      <c r="E106" s="1" t="n">
        <v>46300</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1629-2024</t>
        </is>
      </c>
      <c r="B107" t="inlineStr">
        <is>
          <t>avverkningsanmälan</t>
        </is>
      </c>
      <c r="C107" t="inlineStr">
        <is>
          <t>Föryngringsavverkning</t>
        </is>
      </c>
      <c r="D107" s="1" t="n">
        <v>45306</v>
      </c>
      <c r="E107" s="1" t="n">
        <v>46300</v>
      </c>
      <c r="F107" t="inlineStr">
        <is>
          <t>UPPSALA LÄN</t>
        </is>
      </c>
      <c r="G107" t="inlineStr">
        <is>
          <t>KNIVSTA</t>
        </is>
      </c>
      <c r="H107" t="inlineStr">
        <is>
          <t>Holmen skog AB</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30764-2023</t>
        </is>
      </c>
      <c r="B108" t="inlineStr">
        <is>
          <t>avverkningsanmälan</t>
        </is>
      </c>
      <c r="C108" t="inlineStr">
        <is>
          <t>Föryngringsavverkning</t>
        </is>
      </c>
      <c r="D108" s="1" t="n">
        <v>45112</v>
      </c>
      <c r="E108" s="1" t="n">
        <v>46300</v>
      </c>
      <c r="F108" t="inlineStr">
        <is>
          <t>UPPSALA LÄN</t>
        </is>
      </c>
      <c r="G108" t="inlineStr">
        <is>
          <t>KNIVSTA</t>
        </is>
      </c>
      <c r="H108" t="inlineStr">
        <is>
          <t>Holmen skog AB</t>
        </is>
      </c>
      <c r="I108" t="n">
        <v>0.9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46300</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2026-10-05T01:54:39Z</dcterms:created>
  <dcterms:modified xmlns:dcterms="http://purl.org/dc/terms/" xmlns:xsi="http://www.w3.org/2001/XMLSchema-instance" xsi:type="dcterms:W3CDTF">2026-10-05T01:54:39Z</dcterms:modified>
</cp:coreProperties>
</file>