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46221</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46221</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46221</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46221</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46221</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46221</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46221</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46221</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46221</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46221</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Y16">
        <f>HYPERLINK("https://klasma.github.io/Logging_0330/klagomål/A 34859-2025 FSC-klagomål.docx", "A 34859-2025")</f>
        <v/>
      </c>
      <c r="Z16">
        <f>HYPERLINK("https://klasma.github.io/Logging_0330/klagomålsmail/A 34859-2025 FSC-klagomål mail.docx", "A 34859-2025")</f>
        <v/>
      </c>
      <c r="AA16">
        <f>HYPERLINK("https://klasma.github.io/Logging_0330/tillsyn/A 34859-2025 tillsynsbegäran.docx", "A 34859-2025")</f>
        <v/>
      </c>
      <c r="AB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46221</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s="2" t="inlineStr">
        <is>
          <t>Knärot
Spillkråka</t>
        </is>
      </c>
      <c r="V17">
        <f>HYPERLINK("https://klasma.github.io/Logging_0330/artfynd/A 13004-2026 artfynd.xlsx", "A 13004-2026")</f>
        <v/>
      </c>
      <c r="W17">
        <f>HYPERLINK("https://klasma.github.io/Logging_0330/kartor/A 13004-2026 karta.png", "A 13004-2026")</f>
        <v/>
      </c>
      <c r="X17">
        <f>HYPERLINK("https://klasma.github.io/Logging_0330/knärot/A 13004-2026 karta knärot.png", "A 13004-2026")</f>
        <v/>
      </c>
      <c r="Y17">
        <f>HYPERLINK("https://klasma.github.io/Logging_0330/klagomål/A 13004-2026 FSC-klagomål.docx", "A 13004-2026")</f>
        <v/>
      </c>
      <c r="Z17">
        <f>HYPERLINK("https://klasma.github.io/Logging_0330/klagomålsmail/A 13004-2026 FSC-klagomål mail.docx", "A 13004-2026")</f>
        <v/>
      </c>
      <c r="AA17">
        <f>HYPERLINK("https://klasma.github.io/Logging_0330/tillsyn/A 13004-2026 tillsynsbegäran.docx", "A 13004-2026")</f>
        <v/>
      </c>
      <c r="AB17">
        <f>HYPERLINK("https://klasma.github.io/Logging_0330/tillsynsmail/A 13004-2026 tillsynsbegäran mail.docx", "A 13004-2026")</f>
        <v/>
      </c>
      <c r="AC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46221</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s="2" t="inlineStr">
        <is>
          <t>Gullpudra
Kamjordstjärna</t>
        </is>
      </c>
      <c r="V18">
        <f>HYPERLINK("https://klasma.github.io/Logging_0330/artfynd/A 61768-2025 artfynd.xlsx", "A 61768-2025")</f>
        <v/>
      </c>
      <c r="W18">
        <f>HYPERLINK("https://klasma.github.io/Logging_0330/kartor/A 61768-2025 karta.png", "A 61768-2025")</f>
        <v/>
      </c>
      <c r="Y18">
        <f>HYPERLINK("https://klasma.github.io/Logging_0330/klagomål/A 61768-2025 FSC-klagomål.docx", "A 61768-2025")</f>
        <v/>
      </c>
      <c r="Z18">
        <f>HYPERLINK("https://klasma.github.io/Logging_0330/klagomålsmail/A 61768-2025 FSC-klagomål mail.docx", "A 61768-2025")</f>
        <v/>
      </c>
      <c r="AA18">
        <f>HYPERLINK("https://klasma.github.io/Logging_0330/tillsyn/A 61768-2025 tillsynsbegäran.docx", "A 61768-2025")</f>
        <v/>
      </c>
      <c r="AB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46221</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Y19">
        <f>HYPERLINK("https://klasma.github.io/Logging_0330/klagomål/A 18576-2026 FSC-klagomål.docx", "A 18576-2026")</f>
        <v/>
      </c>
      <c r="Z19">
        <f>HYPERLINK("https://klasma.github.io/Logging_0330/klagomålsmail/A 18576-2026 FSC-klagomål mail.docx", "A 18576-2026")</f>
        <v/>
      </c>
      <c r="AA19">
        <f>HYPERLINK("https://klasma.github.io/Logging_0330/tillsyn/A 18576-2026 tillsynsbegäran.docx", "A 18576-2026")</f>
        <v/>
      </c>
      <c r="AB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46221</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s="2" t="inlineStr">
        <is>
          <t>Spillkråka</t>
        </is>
      </c>
      <c r="V21">
        <f>HYPERLINK("https://klasma.github.io/Logging_0330/artfynd/A 3836-2026 artfynd.xlsx", "A 3836-2026")</f>
        <v/>
      </c>
      <c r="W21">
        <f>HYPERLINK("https://klasma.github.io/Logging_0330/kartor/A 3836-2026 karta.png", "A 3836-2026")</f>
        <v/>
      </c>
      <c r="Y21">
        <f>HYPERLINK("https://klasma.github.io/Logging_0330/klagomål/A 3836-2026 FSC-klagomål.docx", "A 3836-2026")</f>
        <v/>
      </c>
      <c r="Z21">
        <f>HYPERLINK("https://klasma.github.io/Logging_0330/klagomålsmail/A 3836-2026 FSC-klagomål mail.docx", "A 3836-2026")</f>
        <v/>
      </c>
      <c r="AA21">
        <f>HYPERLINK("https://klasma.github.io/Logging_0330/tillsyn/A 3836-2026 tillsynsbegäran.docx", "A 3836-2026")</f>
        <v/>
      </c>
      <c r="AB21">
        <f>HYPERLINK("https://klasma.github.io/Logging_0330/tillsynsmail/A 3836-2026 tillsynsbegäran mail.docx", "A 3836-2026")</f>
        <v/>
      </c>
      <c r="AC21">
        <f>HYPERLINK("https://klasma.github.io/Logging_0330/fåglar/A 3836-2026 prioriterade fågelarter.docx", "A 3836-2026")</f>
        <v/>
      </c>
    </row>
    <row r="22" ht="15" customHeight="1">
      <c r="A22" t="inlineStr">
        <is>
          <t>A 11405-2025</t>
        </is>
      </c>
      <c r="B22" t="inlineStr">
        <is>
          <t>avverkningsanmälan</t>
        </is>
      </c>
      <c r="C22" t="inlineStr">
        <is>
          <t>Föryngringsavverkning</t>
        </is>
      </c>
      <c r="D22" s="1" t="n">
        <v>45726</v>
      </c>
      <c r="E22" s="1" t="n">
        <v>46221</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s="2" t="inlineStr">
        <is>
          <t>Fältgentiana</t>
        </is>
      </c>
      <c r="V22">
        <f>HYPERLINK("https://klasma.github.io/Logging_0330/artfynd/A 11405-2025 artfynd.xlsx", "A 11405-2025")</f>
        <v/>
      </c>
      <c r="W22">
        <f>HYPERLINK("https://klasma.github.io/Logging_0330/kartor/A 11405-2025 karta.png", "A 11405-2025")</f>
        <v/>
      </c>
      <c r="Y22">
        <f>HYPERLINK("https://klasma.github.io/Logging_0330/klagomål/A 11405-2025 FSC-klagomål.docx", "A 11405-2025")</f>
        <v/>
      </c>
      <c r="Z22">
        <f>HYPERLINK("https://klasma.github.io/Logging_0330/klagomålsmail/A 11405-2025 FSC-klagomål mail.docx", "A 11405-2025")</f>
        <v/>
      </c>
      <c r="AA22">
        <f>HYPERLINK("https://klasma.github.io/Logging_0330/tillsyn/A 11405-2025 tillsynsbegäran.docx", "A 11405-2025")</f>
        <v/>
      </c>
      <c r="AB22">
        <f>HYPERLINK("https://klasma.github.io/Logging_0330/tillsynsmail/A 11405-2025 tillsynsbegäran mail.docx", "A 11405-2025")</f>
        <v/>
      </c>
    </row>
    <row r="23" ht="15" customHeight="1">
      <c r="A23" t="inlineStr">
        <is>
          <t>A 9561-2026</t>
        </is>
      </c>
      <c r="B23" t="inlineStr">
        <is>
          <t>avverkningsanmälan</t>
        </is>
      </c>
      <c r="C23" t="inlineStr">
        <is>
          <t>Föryngringsavverkning</t>
        </is>
      </c>
      <c r="D23" s="1" t="n">
        <v>46071</v>
      </c>
      <c r="E23" s="1" t="n">
        <v>46221</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s="2" t="inlineStr">
        <is>
          <t>Svartöra</t>
        </is>
      </c>
      <c r="V23">
        <f>HYPERLINK("https://klasma.github.io/Logging_0330/artfynd/A 9561-2026 artfynd.xlsx", "A 9561-2026")</f>
        <v/>
      </c>
      <c r="W23">
        <f>HYPERLINK("https://klasma.github.io/Logging_0330/kartor/A 9561-2026 karta.png", "A 9561-2026")</f>
        <v/>
      </c>
      <c r="Y23">
        <f>HYPERLINK("https://klasma.github.io/Logging_0330/klagomål/A 9561-2026 FSC-klagomål.docx", "A 9561-2026")</f>
        <v/>
      </c>
      <c r="Z23">
        <f>HYPERLINK("https://klasma.github.io/Logging_0330/klagomålsmail/A 9561-2026 FSC-klagomål mail.docx", "A 9561-2026")</f>
        <v/>
      </c>
      <c r="AA23">
        <f>HYPERLINK("https://klasma.github.io/Logging_0330/tillsyn/A 9561-2026 tillsynsbegäran.docx", "A 9561-2026")</f>
        <v/>
      </c>
      <c r="AB23">
        <f>HYPERLINK("https://klasma.github.io/Logging_0330/tillsynsmail/A 9561-2026 tillsynsbegäran mail.docx", "A 9561-2026")</f>
        <v/>
      </c>
    </row>
    <row r="24" ht="15" customHeight="1">
      <c r="A24" t="inlineStr">
        <is>
          <t>A 33770-2023</t>
        </is>
      </c>
      <c r="B24" t="inlineStr">
        <is>
          <t>avverkningsanmälan</t>
        </is>
      </c>
      <c r="C24" t="inlineStr">
        <is>
          <t>Föryngringsavverkning</t>
        </is>
      </c>
      <c r="D24" s="1" t="n">
        <v>45133</v>
      </c>
      <c r="E24" s="1" t="n">
        <v>46221</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s="2" t="inlineStr">
        <is>
          <t>Slaguggla</t>
        </is>
      </c>
      <c r="V24">
        <f>HYPERLINK("https://klasma.github.io/Logging_0330/artfynd/A 33770-2023 artfynd.xlsx", "A 33770-2023")</f>
        <v/>
      </c>
      <c r="W24">
        <f>HYPERLINK("https://klasma.github.io/Logging_0330/kartor/A 33770-2023 karta.png", "A 33770-2023")</f>
        <v/>
      </c>
      <c r="Y24">
        <f>HYPERLINK("https://klasma.github.io/Logging_0330/klagomål/A 33770-2023 FSC-klagomål.docx", "A 33770-2023")</f>
        <v/>
      </c>
      <c r="Z24">
        <f>HYPERLINK("https://klasma.github.io/Logging_0330/klagomålsmail/A 33770-2023 FSC-klagomål mail.docx", "A 33770-2023")</f>
        <v/>
      </c>
      <c r="AA24">
        <f>HYPERLINK("https://klasma.github.io/Logging_0330/tillsyn/A 33770-2023 tillsynsbegäran.docx", "A 33770-2023")</f>
        <v/>
      </c>
      <c r="AB24">
        <f>HYPERLINK("https://klasma.github.io/Logging_0330/tillsynsmail/A 33770-2023 tillsynsbegäran mail.docx", "A 33770-2023")</f>
        <v/>
      </c>
      <c r="AC24">
        <f>HYPERLINK("https://klasma.github.io/Logging_0330/fåglar/A 33770-2023 prioriterade fågelarter.docx", "A 33770-2023")</f>
        <v/>
      </c>
    </row>
    <row r="25" ht="15" customHeight="1">
      <c r="A25" t="inlineStr">
        <is>
          <t>A 12991-2026</t>
        </is>
      </c>
      <c r="B25" t="inlineStr">
        <is>
          <t>avverkningsanmälan</t>
        </is>
      </c>
      <c r="C25" t="inlineStr">
        <is>
          <t>Föryngringsavverkning</t>
        </is>
      </c>
      <c r="D25" s="1" t="n">
        <v>46092</v>
      </c>
      <c r="E25" s="1" t="n">
        <v>46221</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s="2" t="inlineStr">
        <is>
          <t>Tjäder</t>
        </is>
      </c>
      <c r="V25">
        <f>HYPERLINK("https://klasma.github.io/Logging_0330/artfynd/A 12991-2026 artfynd.xlsx", "A 12991-2026")</f>
        <v/>
      </c>
      <c r="W25">
        <f>HYPERLINK("https://klasma.github.io/Logging_0330/kartor/A 12991-2026 karta.png", "A 12991-2026")</f>
        <v/>
      </c>
      <c r="Y25">
        <f>HYPERLINK("https://klasma.github.io/Logging_0330/klagomål/A 12991-2026 FSC-klagomål.docx", "A 12991-2026")</f>
        <v/>
      </c>
      <c r="Z25">
        <f>HYPERLINK("https://klasma.github.io/Logging_0330/klagomålsmail/A 12991-2026 FSC-klagomål mail.docx", "A 12991-2026")</f>
        <v/>
      </c>
      <c r="AA25">
        <f>HYPERLINK("https://klasma.github.io/Logging_0330/tillsyn/A 12991-2026 tillsynsbegäran.docx", "A 12991-2026")</f>
        <v/>
      </c>
      <c r="AB25">
        <f>HYPERLINK("https://klasma.github.io/Logging_0330/tillsynsmail/A 12991-2026 tillsynsbegäran mail.docx", "A 12991-2026")</f>
        <v/>
      </c>
      <c r="AC25">
        <f>HYPERLINK("https://klasma.github.io/Logging_0330/fåglar/A 12991-2026 prioriterade fågelarter.docx", "A 12991-2026")</f>
        <v/>
      </c>
    </row>
    <row r="26" ht="15" customHeight="1">
      <c r="A26" t="inlineStr">
        <is>
          <t>A 13002-2026</t>
        </is>
      </c>
      <c r="B26" t="inlineStr">
        <is>
          <t>avverkningsanmälan</t>
        </is>
      </c>
      <c r="C26" t="inlineStr">
        <is>
          <t>Föryngringsavverkning</t>
        </is>
      </c>
      <c r="D26" s="1" t="n">
        <v>46092</v>
      </c>
      <c r="E26" s="1" t="n">
        <v>46221</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s="2" t="inlineStr">
        <is>
          <t>Knärot</t>
        </is>
      </c>
      <c r="V26">
        <f>HYPERLINK("https://klasma.github.io/Logging_0330/artfynd/A 13002-2026 artfynd.xlsx", "A 13002-2026")</f>
        <v/>
      </c>
      <c r="W26">
        <f>HYPERLINK("https://klasma.github.io/Logging_0330/kartor/A 13002-2026 karta.png", "A 13002-2026")</f>
        <v/>
      </c>
      <c r="X26">
        <f>HYPERLINK("https://klasma.github.io/Logging_0330/knärot/A 13002-2026 karta knärot.png", "A 13002-2026")</f>
        <v/>
      </c>
      <c r="Y26">
        <f>HYPERLINK("https://klasma.github.io/Logging_0330/klagomål/A 13002-2026 FSC-klagomål.docx", "A 13002-2026")</f>
        <v/>
      </c>
      <c r="Z26">
        <f>HYPERLINK("https://klasma.github.io/Logging_0330/klagomålsmail/A 13002-2026 FSC-klagomål mail.docx", "A 13002-2026")</f>
        <v/>
      </c>
      <c r="AA26">
        <f>HYPERLINK("https://klasma.github.io/Logging_0330/tillsyn/A 13002-2026 tillsynsbegäran.docx", "A 13002-2026")</f>
        <v/>
      </c>
      <c r="AB26">
        <f>HYPERLINK("https://klasma.github.io/Logging_0330/tillsynsmail/A 13002-2026 tillsynsbegäran mail.docx", "A 13002-2026")</f>
        <v/>
      </c>
    </row>
    <row r="27" ht="15" customHeight="1">
      <c r="A27" t="inlineStr">
        <is>
          <t>A 13380-2026</t>
        </is>
      </c>
      <c r="B27" t="inlineStr">
        <is>
          <t>avverkningsanmälan</t>
        </is>
      </c>
      <c r="C27" t="inlineStr">
        <is>
          <t>Föryngringsavverkning</t>
        </is>
      </c>
      <c r="D27" s="1" t="n">
        <v>46094</v>
      </c>
      <c r="E27" s="1" t="n">
        <v>46221</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13380-2026 artfynd.xlsx", "A 13380-2026")</f>
        <v/>
      </c>
      <c r="W27">
        <f>HYPERLINK("https://klasma.github.io/Logging_0330/kartor/A 13380-2026 karta.png", "A 13380-2026")</f>
        <v/>
      </c>
      <c r="Y27">
        <f>HYPERLINK("https://klasma.github.io/Logging_0330/klagomål/A 13380-2026 FSC-klagomål.docx", "A 13380-2026")</f>
        <v/>
      </c>
      <c r="Z27">
        <f>HYPERLINK("https://klasma.github.io/Logging_0330/klagomålsmail/A 13380-2026 FSC-klagomål mail.docx", "A 13380-2026")</f>
        <v/>
      </c>
      <c r="AA27">
        <f>HYPERLINK("https://klasma.github.io/Logging_0330/tillsyn/A 13380-2026 tillsynsbegäran.docx", "A 13380-2026")</f>
        <v/>
      </c>
      <c r="AB27">
        <f>HYPERLINK("https://klasma.github.io/Logging_0330/tillsynsmail/A 13380-2026 tillsynsbegäran mail.docx", "A 13380-2026")</f>
        <v/>
      </c>
      <c r="AC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46221</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s="2" t="inlineStr">
        <is>
          <t>Askfingersvamp</t>
        </is>
      </c>
      <c r="V28">
        <f>HYPERLINK("https://klasma.github.io/Logging_0330/artfynd/A 5402-2023 artfynd.xlsx", "A 5402-2023")</f>
        <v/>
      </c>
      <c r="W28">
        <f>HYPERLINK("https://klasma.github.io/Logging_0330/kartor/A 5402-2023 karta.png", "A 5402-2023")</f>
        <v/>
      </c>
      <c r="Y28">
        <f>HYPERLINK("https://klasma.github.io/Logging_0330/klagomål/A 5402-2023 FSC-klagomål.docx", "A 5402-2023")</f>
        <v/>
      </c>
      <c r="Z28">
        <f>HYPERLINK("https://klasma.github.io/Logging_0330/klagomålsmail/A 5402-2023 FSC-klagomål mail.docx", "A 5402-2023")</f>
        <v/>
      </c>
      <c r="AA28">
        <f>HYPERLINK("https://klasma.github.io/Logging_0330/tillsyn/A 5402-2023 tillsynsbegäran.docx", "A 5402-2023")</f>
        <v/>
      </c>
      <c r="AB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46221</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s="2" t="inlineStr">
        <is>
          <t>Havsörn</t>
        </is>
      </c>
      <c r="V29">
        <f>HYPERLINK("https://klasma.github.io/Logging_0330/artfynd/A 666-2026 artfynd.xlsx", "A 666-2026")</f>
        <v/>
      </c>
      <c r="W29">
        <f>HYPERLINK("https://klasma.github.io/Logging_0330/kartor/A 666-2026 karta.png", "A 666-2026")</f>
        <v/>
      </c>
      <c r="Y29">
        <f>HYPERLINK("https://klasma.github.io/Logging_0330/klagomål/A 666-2026 FSC-klagomål.docx", "A 666-2026")</f>
        <v/>
      </c>
      <c r="Z29">
        <f>HYPERLINK("https://klasma.github.io/Logging_0330/klagomålsmail/A 666-2026 FSC-klagomål mail.docx", "A 666-2026")</f>
        <v/>
      </c>
      <c r="AA29">
        <f>HYPERLINK("https://klasma.github.io/Logging_0330/tillsyn/A 666-2026 tillsynsbegäran.docx", "A 666-2026")</f>
        <v/>
      </c>
      <c r="AB29">
        <f>HYPERLINK("https://klasma.github.io/Logging_0330/tillsynsmail/A 666-2026 tillsynsbegäran mail.docx", "A 666-2026")</f>
        <v/>
      </c>
      <c r="AC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46221</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s="2" t="inlineStr">
        <is>
          <t>Sotlav</t>
        </is>
      </c>
      <c r="V30">
        <f>HYPERLINK("https://klasma.github.io/Logging_0330/artfynd/A 60885-2021 artfynd.xlsx", "A 60885-2021")</f>
        <v/>
      </c>
      <c r="W30">
        <f>HYPERLINK("https://klasma.github.io/Logging_0330/kartor/A 60885-2021 karta.png", "A 60885-2021")</f>
        <v/>
      </c>
      <c r="Y30">
        <f>HYPERLINK("https://klasma.github.io/Logging_0330/klagomål/A 60885-2021 FSC-klagomål.docx", "A 60885-2021")</f>
        <v/>
      </c>
      <c r="Z30">
        <f>HYPERLINK("https://klasma.github.io/Logging_0330/klagomålsmail/A 60885-2021 FSC-klagomål mail.docx", "A 60885-2021")</f>
        <v/>
      </c>
      <c r="AA30">
        <f>HYPERLINK("https://klasma.github.io/Logging_0330/tillsyn/A 60885-2021 tillsynsbegäran.docx", "A 60885-2021")</f>
        <v/>
      </c>
      <c r="AB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Y31">
        <f>HYPERLINK("https://klasma.github.io/Logging_0330/klagomål/A 66305-2021 FSC-klagomål.docx", "A 66305-2021")</f>
        <v/>
      </c>
      <c r="Z31">
        <f>HYPERLINK("https://klasma.github.io/Logging_0330/klagomålsmail/A 66305-2021 FSC-klagomål mail.docx", "A 66305-2021")</f>
        <v/>
      </c>
      <c r="AA31">
        <f>HYPERLINK("https://klasma.github.io/Logging_0330/tillsyn/A 66305-2021 tillsynsbegäran.docx", "A 66305-2021")</f>
        <v/>
      </c>
      <c r="AB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Y32">
        <f>HYPERLINK("https://klasma.github.io/Logging_0330/klagomål/A 2171-2024 FSC-klagomål.docx", "A 2171-2024")</f>
        <v/>
      </c>
      <c r="Z32">
        <f>HYPERLINK("https://klasma.github.io/Logging_0330/klagomålsmail/A 2171-2024 FSC-klagomål mail.docx", "A 2171-2024")</f>
        <v/>
      </c>
      <c r="AA32">
        <f>HYPERLINK("https://klasma.github.io/Logging_0330/tillsyn/A 2171-2024 tillsynsbegäran.docx", "A 2171-2024")</f>
        <v/>
      </c>
      <c r="AB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46221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46221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46221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46221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46221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46221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46221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46221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46221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46221</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46221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46221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13697-2024</t>
        </is>
      </c>
      <c r="B47" t="inlineStr">
        <is>
          <t>avverkningsanmälan</t>
        </is>
      </c>
      <c r="C47" t="inlineStr">
        <is>
          <t>Föryngringsavverkning</t>
        </is>
      </c>
      <c r="D47" s="1" t="n">
        <v>45390</v>
      </c>
      <c r="E47" s="1" t="n">
        <v>46221</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s="2" t="inlineStr"/>
    </row>
    <row r="48" ht="15" customHeight="1">
      <c r="A48" t="inlineStr">
        <is>
          <t>A 3375-2026</t>
        </is>
      </c>
      <c r="B48" t="inlineStr">
        <is>
          <t>avverkningsanmälan</t>
        </is>
      </c>
      <c r="C48" t="inlineStr">
        <is>
          <t>Föryngringsavverkning</t>
        </is>
      </c>
      <c r="D48" s="1" t="n">
        <v>46042</v>
      </c>
      <c r="E48" s="1" t="n">
        <v>46221</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s="2" t="inlineStr"/>
    </row>
    <row r="49" ht="15" customHeight="1">
      <c r="A49" t="inlineStr">
        <is>
          <t>A 3824-2026</t>
        </is>
      </c>
      <c r="B49" t="inlineStr">
        <is>
          <t>avverkningsanmälan</t>
        </is>
      </c>
      <c r="C49" t="inlineStr">
        <is>
          <t>Föryngringsavverkning</t>
        </is>
      </c>
      <c r="D49" s="1" t="n">
        <v>46043</v>
      </c>
      <c r="E49" s="1" t="n">
        <v>46221</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s="2" t="inlineStr"/>
    </row>
    <row r="50" ht="15" customHeight="1">
      <c r="A50" t="inlineStr">
        <is>
          <t>A 11841-2023</t>
        </is>
      </c>
      <c r="B50" t="inlineStr">
        <is>
          <t>avverkningsanmälan</t>
        </is>
      </c>
      <c r="C50" t="inlineStr">
        <is>
          <t>Föryngringsavverkning</t>
        </is>
      </c>
      <c r="D50" s="1" t="n">
        <v>44995</v>
      </c>
      <c r="E50" s="1" t="n">
        <v>46221</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s="2" t="inlineStr"/>
    </row>
    <row r="51" ht="15" customHeight="1">
      <c r="A51" t="inlineStr">
        <is>
          <t>A 30351-2022</t>
        </is>
      </c>
      <c r="B51" t="inlineStr">
        <is>
          <t>avverkningsanmälan</t>
        </is>
      </c>
      <c r="C51" t="inlineStr">
        <is>
          <t>Föryngringsavverkning</t>
        </is>
      </c>
      <c r="D51" s="1" t="n">
        <v>44757</v>
      </c>
      <c r="E51" s="1" t="n">
        <v>46221</v>
      </c>
      <c r="F51" t="inlineStr">
        <is>
          <t>UPPSALA LÄN</t>
        </is>
      </c>
      <c r="G51" t="inlineStr">
        <is>
          <t>KNIVSTA</t>
        </is>
      </c>
      <c r="I51" t="n">
        <v>5.7</v>
      </c>
      <c r="J51" t="n">
        <v>0</v>
      </c>
      <c r="K51" t="n">
        <v>0</v>
      </c>
      <c r="L51" t="n">
        <v>0</v>
      </c>
      <c r="M51" t="n">
        <v>0</v>
      </c>
      <c r="N51" t="n">
        <v>0</v>
      </c>
      <c r="O51" t="n">
        <v>0</v>
      </c>
      <c r="P51" t="n">
        <v>0</v>
      </c>
      <c r="Q51" t="n">
        <v>0</v>
      </c>
      <c r="R51" t="n">
        <v>0</v>
      </c>
      <c r="S51" t="n">
        <v>0</v>
      </c>
      <c r="T51" t="n">
        <v>0</v>
      </c>
      <c r="U51" s="2" t="inlineStr"/>
    </row>
    <row r="52" ht="15" customHeight="1">
      <c r="A52" t="inlineStr">
        <is>
          <t>A 11847-2023</t>
        </is>
      </c>
      <c r="B52" t="inlineStr">
        <is>
          <t>avverkningsanmälan</t>
        </is>
      </c>
      <c r="C52" t="inlineStr">
        <is>
          <t>Föryngringsavverkning</t>
        </is>
      </c>
      <c r="D52" s="1" t="n">
        <v>44995</v>
      </c>
      <c r="E52" s="1" t="n">
        <v>46221</v>
      </c>
      <c r="F52" t="inlineStr">
        <is>
          <t>UPPSALA LÄN</t>
        </is>
      </c>
      <c r="G52" t="inlineStr">
        <is>
          <t>KNIVSTA</t>
        </is>
      </c>
      <c r="I52" t="n">
        <v>2.1</v>
      </c>
      <c r="J52" t="n">
        <v>0</v>
      </c>
      <c r="K52" t="n">
        <v>0</v>
      </c>
      <c r="L52" t="n">
        <v>0</v>
      </c>
      <c r="M52" t="n">
        <v>0</v>
      </c>
      <c r="N52" t="n">
        <v>0</v>
      </c>
      <c r="O52" t="n">
        <v>0</v>
      </c>
      <c r="P52" t="n">
        <v>0</v>
      </c>
      <c r="Q52" t="n">
        <v>0</v>
      </c>
      <c r="R52" t="n">
        <v>0</v>
      </c>
      <c r="S52" t="n">
        <v>0</v>
      </c>
      <c r="T52" t="n">
        <v>0</v>
      </c>
      <c r="U52" s="2" t="inlineStr"/>
    </row>
    <row r="53" ht="15" customHeight="1">
      <c r="A53" t="inlineStr">
        <is>
          <t>A 11450-2023</t>
        </is>
      </c>
      <c r="B53" t="inlineStr">
        <is>
          <t>avverkningsanmälan</t>
        </is>
      </c>
      <c r="C53" t="inlineStr">
        <is>
          <t>Föryngringsavverkning</t>
        </is>
      </c>
      <c r="D53" s="1" t="n">
        <v>44993</v>
      </c>
      <c r="E53" s="1" t="n">
        <v>46221</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s="2" t="inlineStr"/>
    </row>
    <row r="54" ht="15" customHeight="1">
      <c r="A54" t="inlineStr">
        <is>
          <t>A 31875-2022</t>
        </is>
      </c>
      <c r="B54" t="inlineStr">
        <is>
          <t>avverkningsanmälan</t>
        </is>
      </c>
      <c r="C54" t="inlineStr">
        <is>
          <t>Föryngringsavverkning</t>
        </is>
      </c>
      <c r="D54" s="1" t="n">
        <v>44777</v>
      </c>
      <c r="E54" s="1" t="n">
        <v>46221</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s="2" t="inlineStr"/>
    </row>
    <row r="55" ht="15" customHeight="1">
      <c r="A55" t="inlineStr">
        <is>
          <t>A 5908-2026</t>
        </is>
      </c>
      <c r="B55" t="inlineStr">
        <is>
          <t>avverkningsanmälan</t>
        </is>
      </c>
      <c r="C55" t="inlineStr">
        <is>
          <t>Föryngringsavverkning</t>
        </is>
      </c>
      <c r="D55" s="1" t="n">
        <v>46052</v>
      </c>
      <c r="E55" s="1" t="n">
        <v>46221</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s="2" t="inlineStr"/>
    </row>
    <row r="56" ht="15" customHeight="1">
      <c r="A56" t="inlineStr">
        <is>
          <t>A 5910-2026</t>
        </is>
      </c>
      <c r="B56" t="inlineStr">
        <is>
          <t>avverkningsanmälan</t>
        </is>
      </c>
      <c r="C56" t="inlineStr">
        <is>
          <t>Föryngringsavverkning</t>
        </is>
      </c>
      <c r="D56" s="1" t="n">
        <v>46052</v>
      </c>
      <c r="E56" s="1" t="n">
        <v>46221</v>
      </c>
      <c r="F56" t="inlineStr">
        <is>
          <t>UPPSALA LÄN</t>
        </is>
      </c>
      <c r="G56" t="inlineStr">
        <is>
          <t>KNIVSTA</t>
        </is>
      </c>
      <c r="I56" t="n">
        <v>0.6</v>
      </c>
      <c r="J56" t="n">
        <v>0</v>
      </c>
      <c r="K56" t="n">
        <v>0</v>
      </c>
      <c r="L56" t="n">
        <v>0</v>
      </c>
      <c r="M56" t="n">
        <v>0</v>
      </c>
      <c r="N56" t="n">
        <v>0</v>
      </c>
      <c r="O56" t="n">
        <v>0</v>
      </c>
      <c r="P56" t="n">
        <v>0</v>
      </c>
      <c r="Q56" t="n">
        <v>0</v>
      </c>
      <c r="R56" t="n">
        <v>0</v>
      </c>
      <c r="S56" t="n">
        <v>0</v>
      </c>
      <c r="T56" t="n">
        <v>0</v>
      </c>
      <c r="U56" s="2" t="inlineStr"/>
    </row>
    <row r="57" ht="15" customHeight="1">
      <c r="A57" t="inlineStr">
        <is>
          <t>A 45453-2025</t>
        </is>
      </c>
      <c r="B57" t="inlineStr">
        <is>
          <t>avverkningsanmälan</t>
        </is>
      </c>
      <c r="C57" t="inlineStr">
        <is>
          <t>Föryngringsavverkning</t>
        </is>
      </c>
      <c r="D57" s="1" t="n">
        <v>45922</v>
      </c>
      <c r="E57" s="1" t="n">
        <v>46221</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s="2" t="inlineStr"/>
    </row>
    <row r="58" ht="15" customHeight="1">
      <c r="A58" t="inlineStr">
        <is>
          <t>A 34864-2025</t>
        </is>
      </c>
      <c r="B58" t="inlineStr">
        <is>
          <t>avverkningsanmälan</t>
        </is>
      </c>
      <c r="C58" t="inlineStr">
        <is>
          <t>Föryngringsavverkning</t>
        </is>
      </c>
      <c r="D58" s="1" t="n">
        <v>45849</v>
      </c>
      <c r="E58" s="1" t="n">
        <v>46221</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s="2" t="inlineStr"/>
    </row>
    <row r="59" ht="15" customHeight="1">
      <c r="A59" t="inlineStr">
        <is>
          <t>A 35318-2025</t>
        </is>
      </c>
      <c r="B59" t="inlineStr">
        <is>
          <t>avverkningsanmälan</t>
        </is>
      </c>
      <c r="C59" t="inlineStr">
        <is>
          <t>Föryngringsavverkning</t>
        </is>
      </c>
      <c r="D59" s="1" t="n">
        <v>45854</v>
      </c>
      <c r="E59" s="1" t="n">
        <v>46221</v>
      </c>
      <c r="F59" t="inlineStr">
        <is>
          <t>UPPSALA LÄN</t>
        </is>
      </c>
      <c r="G59" t="inlineStr">
        <is>
          <t>KNIVSTA</t>
        </is>
      </c>
      <c r="H59" t="inlineStr">
        <is>
          <t>Holmen skog AB</t>
        </is>
      </c>
      <c r="I59" t="n">
        <v>2.2</v>
      </c>
      <c r="J59" t="n">
        <v>0</v>
      </c>
      <c r="K59" t="n">
        <v>0</v>
      </c>
      <c r="L59" t="n">
        <v>0</v>
      </c>
      <c r="M59" t="n">
        <v>0</v>
      </c>
      <c r="N59" t="n">
        <v>0</v>
      </c>
      <c r="O59" t="n">
        <v>0</v>
      </c>
      <c r="P59" t="n">
        <v>0</v>
      </c>
      <c r="Q59" t="n">
        <v>0</v>
      </c>
      <c r="R59" t="n">
        <v>0</v>
      </c>
      <c r="S59" t="n">
        <v>0</v>
      </c>
      <c r="T59" t="n">
        <v>0</v>
      </c>
      <c r="U59" s="2" t="inlineStr"/>
    </row>
    <row r="60" ht="15" customHeight="1">
      <c r="A60" t="inlineStr">
        <is>
          <t>A 47803-2025</t>
        </is>
      </c>
      <c r="B60" t="inlineStr">
        <is>
          <t>avverkningsanmälan</t>
        </is>
      </c>
      <c r="C60" t="inlineStr">
        <is>
          <t>Avverkning för annat ändamål</t>
        </is>
      </c>
      <c r="D60" s="1" t="n">
        <v>45931</v>
      </c>
      <c r="E60" s="1" t="n">
        <v>46221</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s="2" t="inlineStr"/>
    </row>
    <row r="61" ht="15" customHeight="1">
      <c r="A61" t="inlineStr">
        <is>
          <t>A 23239-2023</t>
        </is>
      </c>
      <c r="B61" t="inlineStr">
        <is>
          <t>avverkningsanmälan</t>
        </is>
      </c>
      <c r="C61" t="inlineStr">
        <is>
          <t>Föryngringsavverkning</t>
        </is>
      </c>
      <c r="D61" s="1" t="n">
        <v>45075</v>
      </c>
      <c r="E61" s="1" t="n">
        <v>46221</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s="2" t="inlineStr"/>
    </row>
    <row r="62" ht="15" customHeight="1">
      <c r="A62" t="inlineStr">
        <is>
          <t>A 36473-2025</t>
        </is>
      </c>
      <c r="B62" t="inlineStr">
        <is>
          <t>avverkningsanmälan</t>
        </is>
      </c>
      <c r="C62" t="inlineStr">
        <is>
          <t>Föryngringsavverkning</t>
        </is>
      </c>
      <c r="D62" s="1" t="n">
        <v>45869</v>
      </c>
      <c r="E62" s="1" t="n">
        <v>46221</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s="2" t="inlineStr"/>
    </row>
    <row r="63" ht="15" customHeight="1">
      <c r="A63" t="inlineStr">
        <is>
          <t>A 49090-2025</t>
        </is>
      </c>
      <c r="B63" t="inlineStr">
        <is>
          <t>avverkningsanmälan</t>
        </is>
      </c>
      <c r="C63" t="inlineStr">
        <is>
          <t>Föryngringsavverkning</t>
        </is>
      </c>
      <c r="D63" s="1" t="n">
        <v>45937</v>
      </c>
      <c r="E63" s="1" t="n">
        <v>46221</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s="2" t="inlineStr"/>
    </row>
    <row r="64" ht="15" customHeight="1">
      <c r="A64" t="inlineStr">
        <is>
          <t>A 9744-2026</t>
        </is>
      </c>
      <c r="B64" t="inlineStr">
        <is>
          <t>avverkningsanmälan</t>
        </is>
      </c>
      <c r="C64" t="inlineStr">
        <is>
          <t>Föryngringsavverkning</t>
        </is>
      </c>
      <c r="D64" s="1" t="n">
        <v>46072</v>
      </c>
      <c r="E64" s="1" t="n">
        <v>46221</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s="2" t="inlineStr"/>
    </row>
    <row r="65" ht="15" customHeight="1">
      <c r="A65" t="inlineStr">
        <is>
          <t>A 66293-2021</t>
        </is>
      </c>
      <c r="B65" t="inlineStr">
        <is>
          <t>avverkningsanmälan</t>
        </is>
      </c>
      <c r="C65" t="inlineStr">
        <is>
          <t>Föryngringsavverkning</t>
        </is>
      </c>
      <c r="D65" s="1" t="n">
        <v>44518</v>
      </c>
      <c r="E65" s="1" t="n">
        <v>46221</v>
      </c>
      <c r="F65" t="inlineStr">
        <is>
          <t>UPPSALA LÄN</t>
        </is>
      </c>
      <c r="G65" t="inlineStr">
        <is>
          <t>KNIVSTA</t>
        </is>
      </c>
      <c r="I65" t="n">
        <v>2.6</v>
      </c>
      <c r="J65" t="n">
        <v>0</v>
      </c>
      <c r="K65" t="n">
        <v>0</v>
      </c>
      <c r="L65" t="n">
        <v>0</v>
      </c>
      <c r="M65" t="n">
        <v>0</v>
      </c>
      <c r="N65" t="n">
        <v>0</v>
      </c>
      <c r="O65" t="n">
        <v>0</v>
      </c>
      <c r="P65" t="n">
        <v>0</v>
      </c>
      <c r="Q65" t="n">
        <v>0</v>
      </c>
      <c r="R65" t="n">
        <v>0</v>
      </c>
      <c r="S65" t="n">
        <v>0</v>
      </c>
      <c r="T65" t="n">
        <v>0</v>
      </c>
      <c r="U65" s="2" t="inlineStr"/>
    </row>
    <row r="66" ht="15" customHeight="1">
      <c r="A66" t="inlineStr">
        <is>
          <t>A 12027-2026</t>
        </is>
      </c>
      <c r="B66" t="inlineStr">
        <is>
          <t>avverkningsanmälan</t>
        </is>
      </c>
      <c r="C66" t="inlineStr">
        <is>
          <t>Avverkning för annat ändamål</t>
        </is>
      </c>
      <c r="D66" s="1" t="n">
        <v>46085</v>
      </c>
      <c r="E66" s="1" t="n">
        <v>46221</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s="2" t="inlineStr"/>
    </row>
    <row r="67" ht="15" customHeight="1">
      <c r="A67" t="inlineStr">
        <is>
          <t>A 12774-2026</t>
        </is>
      </c>
      <c r="B67" t="inlineStr">
        <is>
          <t>avverkningsanmälan</t>
        </is>
      </c>
      <c r="C67" t="inlineStr">
        <is>
          <t>Föryngringsavverkning</t>
        </is>
      </c>
      <c r="D67" s="1" t="n">
        <v>46091</v>
      </c>
      <c r="E67" s="1" t="n">
        <v>46221</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s="2" t="inlineStr"/>
    </row>
    <row r="68" ht="15" customHeight="1">
      <c r="A68" t="inlineStr">
        <is>
          <t>A 13013-2026</t>
        </is>
      </c>
      <c r="B68" t="inlineStr">
        <is>
          <t>avverkningsanmälan</t>
        </is>
      </c>
      <c r="C68" t="inlineStr">
        <is>
          <t>Föryngringsavverkning</t>
        </is>
      </c>
      <c r="D68" s="1" t="n">
        <v>46092</v>
      </c>
      <c r="E68" s="1" t="n">
        <v>46221</v>
      </c>
      <c r="F68" t="inlineStr">
        <is>
          <t>UPPSALA LÄN</t>
        </is>
      </c>
      <c r="G68" t="inlineStr">
        <is>
          <t>KNIVSTA</t>
        </is>
      </c>
      <c r="H68" t="inlineStr">
        <is>
          <t>Holmen skog AB</t>
        </is>
      </c>
      <c r="I68" t="n">
        <v>4.6</v>
      </c>
      <c r="J68" t="n">
        <v>0</v>
      </c>
      <c r="K68" t="n">
        <v>0</v>
      </c>
      <c r="L68" t="n">
        <v>0</v>
      </c>
      <c r="M68" t="n">
        <v>0</v>
      </c>
      <c r="N68" t="n">
        <v>0</v>
      </c>
      <c r="O68" t="n">
        <v>0</v>
      </c>
      <c r="P68" t="n">
        <v>0</v>
      </c>
      <c r="Q68" t="n">
        <v>0</v>
      </c>
      <c r="R68" t="n">
        <v>0</v>
      </c>
      <c r="S68" t="n">
        <v>0</v>
      </c>
      <c r="T68" t="n">
        <v>0</v>
      </c>
      <c r="U68" s="2" t="inlineStr"/>
    </row>
    <row r="69" ht="15" customHeight="1">
      <c r="A69" t="inlineStr">
        <is>
          <t>A 13011-2026</t>
        </is>
      </c>
      <c r="B69" t="inlineStr">
        <is>
          <t>avverkningsanmälan</t>
        </is>
      </c>
      <c r="C69" t="inlineStr">
        <is>
          <t>Föryngringsavverkning</t>
        </is>
      </c>
      <c r="D69" s="1" t="n">
        <v>46092</v>
      </c>
      <c r="E69" s="1" t="n">
        <v>46221</v>
      </c>
      <c r="F69" t="inlineStr">
        <is>
          <t>UPPSALA LÄN</t>
        </is>
      </c>
      <c r="G69" t="inlineStr">
        <is>
          <t>KNIVSTA</t>
        </is>
      </c>
      <c r="H69" t="inlineStr">
        <is>
          <t>Holmen skog AB</t>
        </is>
      </c>
      <c r="I69" t="n">
        <v>1.9</v>
      </c>
      <c r="J69" t="n">
        <v>0</v>
      </c>
      <c r="K69" t="n">
        <v>0</v>
      </c>
      <c r="L69" t="n">
        <v>0</v>
      </c>
      <c r="M69" t="n">
        <v>0</v>
      </c>
      <c r="N69" t="n">
        <v>0</v>
      </c>
      <c r="O69" t="n">
        <v>0</v>
      </c>
      <c r="P69" t="n">
        <v>0</v>
      </c>
      <c r="Q69" t="n">
        <v>0</v>
      </c>
      <c r="R69" t="n">
        <v>0</v>
      </c>
      <c r="S69" t="n">
        <v>0</v>
      </c>
      <c r="T69" t="n">
        <v>0</v>
      </c>
      <c r="U69" s="2" t="inlineStr"/>
      <c r="X69">
        <f>HYPERLINK("https://klasma.github.io/Logging_0330/knärot/A 13011-2026 karta knärot.png", "A 13011-2026")</f>
        <v/>
      </c>
      <c r="Y69">
        <f>HYPERLINK("https://klasma.github.io/Logging_0330/klagomål/A 13011-2026 FSC-klagomål.docx", "A 13011-2026")</f>
        <v/>
      </c>
      <c r="Z69">
        <f>HYPERLINK("https://klasma.github.io/Logging_0330/klagomålsmail/A 13011-2026 FSC-klagomål mail.docx", "A 13011-2026")</f>
        <v/>
      </c>
      <c r="AA69">
        <f>HYPERLINK("https://klasma.github.io/Logging_0330/tillsyn/A 13011-2026 tillsynsbegäran.docx", "A 13011-2026")</f>
        <v/>
      </c>
      <c r="AB69">
        <f>HYPERLINK("https://klasma.github.io/Logging_0330/tillsynsmail/A 13011-2026 tillsynsbegäran mail.docx", "A 13011-2026")</f>
        <v/>
      </c>
    </row>
    <row r="70" ht="15" customHeight="1">
      <c r="A70" t="inlineStr">
        <is>
          <t>A 13016-2026</t>
        </is>
      </c>
      <c r="B70" t="inlineStr">
        <is>
          <t>avverkningsanmälan</t>
        </is>
      </c>
      <c r="C70" t="inlineStr">
        <is>
          <t>Föryngringsavverkning</t>
        </is>
      </c>
      <c r="D70" s="1" t="n">
        <v>46092</v>
      </c>
      <c r="E70" s="1" t="n">
        <v>46221</v>
      </c>
      <c r="F70" t="inlineStr">
        <is>
          <t>UPPSALA LÄN</t>
        </is>
      </c>
      <c r="G70" t="inlineStr">
        <is>
          <t>KNIVSTA</t>
        </is>
      </c>
      <c r="H70" t="inlineStr">
        <is>
          <t>Holmen skog AB</t>
        </is>
      </c>
      <c r="I70" t="n">
        <v>1.5</v>
      </c>
      <c r="J70" t="n">
        <v>0</v>
      </c>
      <c r="K70" t="n">
        <v>0</v>
      </c>
      <c r="L70" t="n">
        <v>0</v>
      </c>
      <c r="M70" t="n">
        <v>0</v>
      </c>
      <c r="N70" t="n">
        <v>0</v>
      </c>
      <c r="O70" t="n">
        <v>0</v>
      </c>
      <c r="P70" t="n">
        <v>0</v>
      </c>
      <c r="Q70" t="n">
        <v>0</v>
      </c>
      <c r="R70" t="n">
        <v>0</v>
      </c>
      <c r="S70" t="n">
        <v>0</v>
      </c>
      <c r="T70" t="n">
        <v>0</v>
      </c>
      <c r="U70" s="2" t="inlineStr"/>
    </row>
    <row r="71" ht="15" customHeight="1">
      <c r="A71" t="inlineStr">
        <is>
          <t>A 60243-2025</t>
        </is>
      </c>
      <c r="B71" t="inlineStr">
        <is>
          <t>avverkningsanmälan</t>
        </is>
      </c>
      <c r="C71" t="inlineStr">
        <is>
          <t>Föryngringsavverkning</t>
        </is>
      </c>
      <c r="D71" s="1" t="n">
        <v>45994</v>
      </c>
      <c r="E71" s="1" t="n">
        <v>46221</v>
      </c>
      <c r="F71" t="inlineStr">
        <is>
          <t>UPPSALA LÄN</t>
        </is>
      </c>
      <c r="G71" t="inlineStr">
        <is>
          <t>KNIVSTA</t>
        </is>
      </c>
      <c r="H71" t="inlineStr">
        <is>
          <t>Holmen skog AB</t>
        </is>
      </c>
      <c r="I71" t="n">
        <v>2.4</v>
      </c>
      <c r="J71" t="n">
        <v>0</v>
      </c>
      <c r="K71" t="n">
        <v>0</v>
      </c>
      <c r="L71" t="n">
        <v>0</v>
      </c>
      <c r="M71" t="n">
        <v>0</v>
      </c>
      <c r="N71" t="n">
        <v>0</v>
      </c>
      <c r="O71" t="n">
        <v>0</v>
      </c>
      <c r="P71" t="n">
        <v>0</v>
      </c>
      <c r="Q71" t="n">
        <v>0</v>
      </c>
      <c r="R71" t="n">
        <v>0</v>
      </c>
      <c r="S71" t="n">
        <v>0</v>
      </c>
      <c r="T71" t="n">
        <v>0</v>
      </c>
      <c r="U71" s="2" t="inlineStr"/>
    </row>
    <row r="72" ht="15" customHeight="1">
      <c r="A72" t="inlineStr">
        <is>
          <t>A 13001-2026</t>
        </is>
      </c>
      <c r="B72" t="inlineStr">
        <is>
          <t>avverkningsanmälan</t>
        </is>
      </c>
      <c r="C72" t="inlineStr">
        <is>
          <t>Föryngringsavverkning</t>
        </is>
      </c>
      <c r="D72" s="1" t="n">
        <v>46092</v>
      </c>
      <c r="E72" s="1" t="n">
        <v>46221</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s="2" t="inlineStr"/>
    </row>
    <row r="73" ht="15" customHeight="1">
      <c r="A73" t="inlineStr">
        <is>
          <t>A 13005-2026</t>
        </is>
      </c>
      <c r="B73" t="inlineStr">
        <is>
          <t>avverkningsanmälan</t>
        </is>
      </c>
      <c r="C73" t="inlineStr">
        <is>
          <t>Föryngringsavverkning</t>
        </is>
      </c>
      <c r="D73" s="1" t="n">
        <v>46092</v>
      </c>
      <c r="E73" s="1" t="n">
        <v>46221</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s="2" t="inlineStr"/>
    </row>
    <row r="74" ht="15" customHeight="1">
      <c r="A74" t="inlineStr">
        <is>
          <t>A 66284-2021</t>
        </is>
      </c>
      <c r="B74" t="inlineStr">
        <is>
          <t>avverkningsanmälan</t>
        </is>
      </c>
      <c r="C74" t="inlineStr">
        <is>
          <t>Föryngringsavverkning</t>
        </is>
      </c>
      <c r="D74" s="1" t="n">
        <v>44518</v>
      </c>
      <c r="E74" s="1" t="n">
        <v>46221</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s="2" t="inlineStr"/>
    </row>
    <row r="75" ht="15" customHeight="1">
      <c r="A75" t="inlineStr">
        <is>
          <t>A 662-2026</t>
        </is>
      </c>
      <c r="B75" t="inlineStr">
        <is>
          <t>avverkningsanmälan</t>
        </is>
      </c>
      <c r="C75" t="inlineStr">
        <is>
          <t>Föryngringsavverkning</t>
        </is>
      </c>
      <c r="D75" s="1" t="n">
        <v>46029</v>
      </c>
      <c r="E75" s="1" t="n">
        <v>46221</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s="2" t="inlineStr"/>
    </row>
    <row r="76" ht="15" customHeight="1">
      <c r="A76" t="inlineStr">
        <is>
          <t>A 19676-2025</t>
        </is>
      </c>
      <c r="B76" t="inlineStr">
        <is>
          <t>avverkningsanmälan</t>
        </is>
      </c>
      <c r="C76" t="inlineStr">
        <is>
          <t>Föryngringsavverkning</t>
        </is>
      </c>
      <c r="D76" s="1" t="n">
        <v>45770</v>
      </c>
      <c r="E76" s="1" t="n">
        <v>46221</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s="2" t="inlineStr"/>
    </row>
    <row r="77" ht="15" customHeight="1">
      <c r="A77" t="inlineStr">
        <is>
          <t>A 8343-2024</t>
        </is>
      </c>
      <c r="B77" t="inlineStr">
        <is>
          <t>avverkningsanmälan</t>
        </is>
      </c>
      <c r="C77" t="inlineStr">
        <is>
          <t>Föryngringsavverkning</t>
        </is>
      </c>
      <c r="D77" s="1" t="n">
        <v>45352</v>
      </c>
      <c r="E77" s="1" t="n">
        <v>46221</v>
      </c>
      <c r="F77" t="inlineStr">
        <is>
          <t>UPPSALA LÄN</t>
        </is>
      </c>
      <c r="G77" t="inlineStr">
        <is>
          <t>KNIVSTA</t>
        </is>
      </c>
      <c r="H77" t="inlineStr">
        <is>
          <t>Holmen skog AB</t>
        </is>
      </c>
      <c r="I77" t="n">
        <v>1.4</v>
      </c>
      <c r="J77" t="n">
        <v>0</v>
      </c>
      <c r="K77" t="n">
        <v>0</v>
      </c>
      <c r="L77" t="n">
        <v>0</v>
      </c>
      <c r="M77" t="n">
        <v>0</v>
      </c>
      <c r="N77" t="n">
        <v>0</v>
      </c>
      <c r="O77" t="n">
        <v>0</v>
      </c>
      <c r="P77" t="n">
        <v>0</v>
      </c>
      <c r="Q77" t="n">
        <v>0</v>
      </c>
      <c r="R77" t="n">
        <v>0</v>
      </c>
      <c r="S77" t="n">
        <v>0</v>
      </c>
      <c r="T77" t="n">
        <v>0</v>
      </c>
      <c r="U77" s="2" t="inlineStr"/>
    </row>
    <row r="78" ht="15" customHeight="1">
      <c r="A78" t="inlineStr">
        <is>
          <t>A 30627-2023</t>
        </is>
      </c>
      <c r="B78" t="inlineStr">
        <is>
          <t>avverkningsanmälan</t>
        </is>
      </c>
      <c r="C78" t="inlineStr">
        <is>
          <t>Föryngringsavverkning</t>
        </is>
      </c>
      <c r="D78" s="1" t="n">
        <v>45112</v>
      </c>
      <c r="E78" s="1" t="n">
        <v>46221</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s="2" t="inlineStr"/>
    </row>
    <row r="79" ht="15" customHeight="1">
      <c r="A79" t="inlineStr">
        <is>
          <t>A 5276-2026</t>
        </is>
      </c>
      <c r="B79" t="inlineStr">
        <is>
          <t>avverkningsanmälan</t>
        </is>
      </c>
      <c r="C79" t="inlineStr">
        <is>
          <t>Föryngringsavverkning</t>
        </is>
      </c>
      <c r="D79" s="1" t="n">
        <v>46037</v>
      </c>
      <c r="E79" s="1" t="n">
        <v>46221</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s="2" t="inlineStr"/>
    </row>
    <row r="80" ht="15" customHeight="1">
      <c r="A80" t="inlineStr">
        <is>
          <t>A 1629-2024</t>
        </is>
      </c>
      <c r="B80" t="inlineStr">
        <is>
          <t>avverkningsanmälan</t>
        </is>
      </c>
      <c r="C80" t="inlineStr">
        <is>
          <t>Föryngringsavverkning</t>
        </is>
      </c>
      <c r="D80" s="1" t="n">
        <v>45306</v>
      </c>
      <c r="E80" s="1" t="n">
        <v>46221</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s="2" t="inlineStr"/>
    </row>
    <row r="81" ht="15" customHeight="1">
      <c r="A81" t="inlineStr">
        <is>
          <t>A 19774-2026</t>
        </is>
      </c>
      <c r="B81" t="inlineStr">
        <is>
          <t>avverkningsanmälan</t>
        </is>
      </c>
      <c r="C81" t="inlineStr">
        <is>
          <t>Föryngringsavverkning</t>
        </is>
      </c>
      <c r="D81" s="1" t="n">
        <v>46135</v>
      </c>
      <c r="E81" s="1" t="n">
        <v>46221</v>
      </c>
      <c r="F81" t="inlineStr">
        <is>
          <t>UPPSALA LÄN</t>
        </is>
      </c>
      <c r="G81" t="inlineStr">
        <is>
          <t>KNIVSTA</t>
        </is>
      </c>
      <c r="I81" t="n">
        <v>4.2</v>
      </c>
      <c r="J81" t="n">
        <v>0</v>
      </c>
      <c r="K81" t="n">
        <v>0</v>
      </c>
      <c r="L81" t="n">
        <v>0</v>
      </c>
      <c r="M81" t="n">
        <v>0</v>
      </c>
      <c r="N81" t="n">
        <v>0</v>
      </c>
      <c r="O81" t="n">
        <v>0</v>
      </c>
      <c r="P81" t="n">
        <v>0</v>
      </c>
      <c r="Q81" t="n">
        <v>0</v>
      </c>
      <c r="R81" t="n">
        <v>0</v>
      </c>
      <c r="S81" t="n">
        <v>0</v>
      </c>
      <c r="T81" t="n">
        <v>0</v>
      </c>
      <c r="U81" s="2" t="inlineStr"/>
    </row>
    <row r="82" ht="15" customHeight="1">
      <c r="A82" t="inlineStr">
        <is>
          <t>A 45525-2023</t>
        </is>
      </c>
      <c r="B82" t="inlineStr">
        <is>
          <t>avverkningsanmälan</t>
        </is>
      </c>
      <c r="C82" t="inlineStr">
        <is>
          <t>Avverkning för annat ändamål</t>
        </is>
      </c>
      <c r="D82" s="1" t="n">
        <v>45194</v>
      </c>
      <c r="E82" s="1" t="n">
        <v>46221</v>
      </c>
      <c r="F82" t="inlineStr">
        <is>
          <t>UPPSALA LÄN</t>
        </is>
      </c>
      <c r="G82" t="inlineStr">
        <is>
          <t>KNIVSTA</t>
        </is>
      </c>
      <c r="I82" t="n">
        <v>0.7</v>
      </c>
      <c r="J82" t="n">
        <v>0</v>
      </c>
      <c r="K82" t="n">
        <v>0</v>
      </c>
      <c r="L82" t="n">
        <v>0</v>
      </c>
      <c r="M82" t="n">
        <v>0</v>
      </c>
      <c r="N82" t="n">
        <v>0</v>
      </c>
      <c r="O82" t="n">
        <v>0</v>
      </c>
      <c r="P82" t="n">
        <v>0</v>
      </c>
      <c r="Q82" t="n">
        <v>0</v>
      </c>
      <c r="R82" t="n">
        <v>0</v>
      </c>
      <c r="S82" t="n">
        <v>0</v>
      </c>
      <c r="T82" t="n">
        <v>0</v>
      </c>
      <c r="U82" s="2" t="inlineStr"/>
    </row>
    <row r="83" ht="15" customHeight="1">
      <c r="A83" t="inlineStr">
        <is>
          <t>A 52666-2025</t>
        </is>
      </c>
      <c r="B83" t="inlineStr">
        <is>
          <t>avverkningsanmälan</t>
        </is>
      </c>
      <c r="C83" t="inlineStr">
        <is>
          <t>Föryngringsavverkning</t>
        </is>
      </c>
      <c r="D83" s="1" t="n">
        <v>45955</v>
      </c>
      <c r="E83" s="1" t="n">
        <v>46221</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s="2" t="inlineStr"/>
    </row>
    <row r="84" ht="15" customHeight="1">
      <c r="A84" t="inlineStr">
        <is>
          <t>A 33974-2025</t>
        </is>
      </c>
      <c r="B84" t="inlineStr">
        <is>
          <t>avverkningsanmälan</t>
        </is>
      </c>
      <c r="C84" t="inlineStr">
        <is>
          <t>Föryngringsavverkning</t>
        </is>
      </c>
      <c r="D84" s="1" t="n">
        <v>45843</v>
      </c>
      <c r="E84" s="1" t="n">
        <v>46221</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s="2" t="inlineStr"/>
    </row>
    <row r="85" ht="15" customHeight="1">
      <c r="A85" t="inlineStr">
        <is>
          <t>A 16773-2022</t>
        </is>
      </c>
      <c r="B85" t="inlineStr">
        <is>
          <t>avverkningsanmälan</t>
        </is>
      </c>
      <c r="C85" t="inlineStr">
        <is>
          <t>Avverkning för annat ändamål</t>
        </is>
      </c>
      <c r="D85" s="1" t="n">
        <v>44673</v>
      </c>
      <c r="E85" s="1" t="n">
        <v>46221</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s="2" t="inlineStr"/>
    </row>
    <row r="86" ht="15" customHeight="1">
      <c r="A86" t="inlineStr">
        <is>
          <t>A 30764-2023</t>
        </is>
      </c>
      <c r="B86" t="inlineStr">
        <is>
          <t>avverkningsanmälan</t>
        </is>
      </c>
      <c r="C86" t="inlineStr">
        <is>
          <t>Föryngringsavverkning</t>
        </is>
      </c>
      <c r="D86" s="1" t="n">
        <v>45112</v>
      </c>
      <c r="E86" s="1" t="n">
        <v>46221</v>
      </c>
      <c r="F86" t="inlineStr">
        <is>
          <t>UPPSALA LÄN</t>
        </is>
      </c>
      <c r="G86" t="inlineStr">
        <is>
          <t>KNIVSTA</t>
        </is>
      </c>
      <c r="H86" t="inlineStr">
        <is>
          <t>Holmen skog AB</t>
        </is>
      </c>
      <c r="I86" t="n">
        <v>0.9</v>
      </c>
      <c r="J86" t="n">
        <v>0</v>
      </c>
      <c r="K86" t="n">
        <v>0</v>
      </c>
      <c r="L86" t="n">
        <v>0</v>
      </c>
      <c r="M86" t="n">
        <v>0</v>
      </c>
      <c r="N86" t="n">
        <v>0</v>
      </c>
      <c r="O86" t="n">
        <v>0</v>
      </c>
      <c r="P86" t="n">
        <v>0</v>
      </c>
      <c r="Q86" t="n">
        <v>0</v>
      </c>
      <c r="R86" t="n">
        <v>0</v>
      </c>
      <c r="S86" t="n">
        <v>0</v>
      </c>
      <c r="T86" t="n">
        <v>0</v>
      </c>
      <c r="U86" s="2" t="inlineStr"/>
    </row>
    <row r="87" ht="15" customHeight="1">
      <c r="A87" t="inlineStr">
        <is>
          <t>A 51849-2023</t>
        </is>
      </c>
      <c r="B87" t="inlineStr">
        <is>
          <t>avverkningsanmälan</t>
        </is>
      </c>
      <c r="C87" t="inlineStr">
        <is>
          <t>Föryngringsavverkning</t>
        </is>
      </c>
      <c r="D87" s="1" t="n">
        <v>45223</v>
      </c>
      <c r="E87" s="1" t="n">
        <v>46221</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s="2" t="inlineStr"/>
    </row>
    <row r="88" ht="15" customHeight="1">
      <c r="A88" t="inlineStr">
        <is>
          <t>A 60018-2024</t>
        </is>
      </c>
      <c r="B88" t="inlineStr">
        <is>
          <t>avverkningsanmälan</t>
        </is>
      </c>
      <c r="C88" t="inlineStr">
        <is>
          <t>Föryngringsavverkning</t>
        </is>
      </c>
      <c r="D88" s="1" t="n">
        <v>45642</v>
      </c>
      <c r="E88" s="1" t="n">
        <v>46221</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s="2" t="inlineStr"/>
    </row>
    <row r="89" ht="15" customHeight="1">
      <c r="A89" t="inlineStr">
        <is>
          <t>A 20528-2026</t>
        </is>
      </c>
      <c r="B89" t="inlineStr">
        <is>
          <t>avverkningsanmälan</t>
        </is>
      </c>
      <c r="C89" t="inlineStr">
        <is>
          <t>Föryngringsavverkning</t>
        </is>
      </c>
      <c r="D89" s="1" t="n">
        <v>46140</v>
      </c>
      <c r="E89" s="1" t="n">
        <v>46221</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s="2" t="inlineStr"/>
    </row>
    <row r="90" ht="15" customHeight="1">
      <c r="A90" t="inlineStr">
        <is>
          <t>A 17333-2024</t>
        </is>
      </c>
      <c r="B90" t="inlineStr">
        <is>
          <t>avverkningsanmälan</t>
        </is>
      </c>
      <c r="C90" t="inlineStr">
        <is>
          <t>Föryngringsavverkning</t>
        </is>
      </c>
      <c r="D90" s="1" t="n">
        <v>45414</v>
      </c>
      <c r="E90" s="1" t="n">
        <v>46221</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s="2" t="inlineStr"/>
    </row>
    <row r="91" ht="15" customHeight="1">
      <c r="A91" t="inlineStr">
        <is>
          <t>A 1791-2024</t>
        </is>
      </c>
      <c r="B91" t="inlineStr">
        <is>
          <t>avverkningsanmälan</t>
        </is>
      </c>
      <c r="C91" t="inlineStr">
        <is>
          <t>Föryngringsavverkning</t>
        </is>
      </c>
      <c r="D91" s="1" t="n">
        <v>45307</v>
      </c>
      <c r="E91" s="1" t="n">
        <v>46221</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s="2" t="inlineStr"/>
    </row>
    <row r="92" ht="15" customHeight="1">
      <c r="A92" t="inlineStr">
        <is>
          <t>A 19777-2026</t>
        </is>
      </c>
      <c r="B92" t="inlineStr">
        <is>
          <t>avverkningsanmälan</t>
        </is>
      </c>
      <c r="C92" t="inlineStr">
        <is>
          <t>Föryngringsavverkning</t>
        </is>
      </c>
      <c r="D92" s="1" t="n">
        <v>46135</v>
      </c>
      <c r="E92" s="1" t="n">
        <v>46221</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s="2" t="inlineStr"/>
    </row>
    <row r="93" ht="15" customHeight="1">
      <c r="A93" t="inlineStr">
        <is>
          <t>A 2628-2025</t>
        </is>
      </c>
      <c r="B93" t="inlineStr">
        <is>
          <t>avverkningsanmälan</t>
        </is>
      </c>
      <c r="C93" t="inlineStr">
        <is>
          <t>Föryngringsavverkning</t>
        </is>
      </c>
      <c r="D93" s="1" t="n">
        <v>45675</v>
      </c>
      <c r="E93" s="1" t="n">
        <v>46221</v>
      </c>
      <c r="F93" t="inlineStr">
        <is>
          <t>UPPSALA LÄN</t>
        </is>
      </c>
      <c r="G93" t="inlineStr">
        <is>
          <t>KNIVSTA</t>
        </is>
      </c>
      <c r="I93" t="n">
        <v>2.9</v>
      </c>
      <c r="J93" t="n">
        <v>0</v>
      </c>
      <c r="K93" t="n">
        <v>0</v>
      </c>
      <c r="L93" t="n">
        <v>0</v>
      </c>
      <c r="M93" t="n">
        <v>0</v>
      </c>
      <c r="N93" t="n">
        <v>0</v>
      </c>
      <c r="O93" t="n">
        <v>0</v>
      </c>
      <c r="P93" t="n">
        <v>0</v>
      </c>
      <c r="Q93" t="n">
        <v>0</v>
      </c>
      <c r="R93" t="n">
        <v>0</v>
      </c>
      <c r="S93" t="n">
        <v>0</v>
      </c>
      <c r="T93" t="n">
        <v>0</v>
      </c>
      <c r="U93" s="2" t="inlineStr"/>
    </row>
    <row r="94" ht="15" customHeight="1">
      <c r="A94" t="inlineStr">
        <is>
          <t>A 11452-2023</t>
        </is>
      </c>
      <c r="B94" t="inlineStr">
        <is>
          <t>avverkningsanmälan</t>
        </is>
      </c>
      <c r="C94" t="inlineStr">
        <is>
          <t>Föryngringsavverkning</t>
        </is>
      </c>
      <c r="D94" s="1" t="n">
        <v>44993</v>
      </c>
      <c r="E94" s="1" t="n">
        <v>46221</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s="2" t="inlineStr"/>
    </row>
    <row r="95" ht="15" customHeight="1">
      <c r="A95" t="inlineStr">
        <is>
          <t>A 43908-2023</t>
        </is>
      </c>
      <c r="B95" t="inlineStr">
        <is>
          <t>avverkningsanmälan</t>
        </is>
      </c>
      <c r="C95" t="inlineStr">
        <is>
          <t>Föryngringsavverkning</t>
        </is>
      </c>
      <c r="D95" s="1" t="n">
        <v>45187</v>
      </c>
      <c r="E95" s="1" t="n">
        <v>46221</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s="2" t="inlineStr"/>
    </row>
    <row r="96" ht="15" customHeight="1">
      <c r="A96" t="inlineStr">
        <is>
          <t>A 28668-2026</t>
        </is>
      </c>
      <c r="B96" t="inlineStr">
        <is>
          <t>avverkningsanmälan</t>
        </is>
      </c>
      <c r="C96" t="inlineStr">
        <is>
          <t>Avverkning för annat ändamål</t>
        </is>
      </c>
      <c r="D96" s="1" t="n">
        <v>46193</v>
      </c>
      <c r="E96" s="1" t="n">
        <v>46221</v>
      </c>
      <c r="F96" t="inlineStr">
        <is>
          <t>UPPSALA LÄN</t>
        </is>
      </c>
      <c r="G96" t="inlineStr">
        <is>
          <t>KNIVSTA</t>
        </is>
      </c>
      <c r="I96" t="n">
        <v>7.4</v>
      </c>
      <c r="J96" t="n">
        <v>0</v>
      </c>
      <c r="K96" t="n">
        <v>0</v>
      </c>
      <c r="L96" t="n">
        <v>0</v>
      </c>
      <c r="M96" t="n">
        <v>0</v>
      </c>
      <c r="N96" t="n">
        <v>0</v>
      </c>
      <c r="O96" t="n">
        <v>0</v>
      </c>
      <c r="P96" t="n">
        <v>0</v>
      </c>
      <c r="Q96" t="n">
        <v>0</v>
      </c>
      <c r="R96" t="n">
        <v>0</v>
      </c>
      <c r="S96" t="n">
        <v>0</v>
      </c>
      <c r="T96" t="n">
        <v>0</v>
      </c>
      <c r="U96" s="2" t="inlineStr"/>
    </row>
    <row r="97" ht="15" customHeight="1">
      <c r="A97" t="inlineStr">
        <is>
          <t>A 34078-2022</t>
        </is>
      </c>
      <c r="B97" t="inlineStr">
        <is>
          <t>avverkningsanmälan</t>
        </is>
      </c>
      <c r="C97" t="inlineStr">
        <is>
          <t>Föryngringsavverkning</t>
        </is>
      </c>
      <c r="D97" s="1" t="n">
        <v>44791</v>
      </c>
      <c r="E97" s="1" t="n">
        <v>46221</v>
      </c>
      <c r="F97" t="inlineStr">
        <is>
          <t>UPPSALA LÄN</t>
        </is>
      </c>
      <c r="G97" t="inlineStr">
        <is>
          <t>KNIVSTA</t>
        </is>
      </c>
      <c r="H97" t="inlineStr">
        <is>
          <t>Övriga statliga verk och myndigheter</t>
        </is>
      </c>
      <c r="I97" t="n">
        <v>1.8</v>
      </c>
      <c r="J97" t="n">
        <v>0</v>
      </c>
      <c r="K97" t="n">
        <v>0</v>
      </c>
      <c r="L97" t="n">
        <v>0</v>
      </c>
      <c r="M97" t="n">
        <v>0</v>
      </c>
      <c r="N97" t="n">
        <v>0</v>
      </c>
      <c r="O97" t="n">
        <v>0</v>
      </c>
      <c r="P97" t="n">
        <v>0</v>
      </c>
      <c r="Q97" t="n">
        <v>0</v>
      </c>
      <c r="R97" t="n">
        <v>0</v>
      </c>
      <c r="S97" t="n">
        <v>0</v>
      </c>
      <c r="T97" t="n">
        <v>0</v>
      </c>
      <c r="U97" s="2" t="inlineStr"/>
    </row>
    <row r="98" ht="15" customHeight="1">
      <c r="A98" t="inlineStr">
        <is>
          <t>A 26182-2022</t>
        </is>
      </c>
      <c r="B98" t="inlineStr">
        <is>
          <t>avverkningsanmälan</t>
        </is>
      </c>
      <c r="C98" t="inlineStr">
        <is>
          <t>Föryngringsavverkning</t>
        </is>
      </c>
      <c r="D98" s="1" t="n">
        <v>44735</v>
      </c>
      <c r="E98" s="1" t="n">
        <v>46221</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s="2" t="inlineStr"/>
    </row>
    <row r="99" ht="15" customHeight="1">
      <c r="A99" t="inlineStr">
        <is>
          <t>A 23969-2026</t>
        </is>
      </c>
      <c r="B99" t="inlineStr">
        <is>
          <t>avverkningsanmälan</t>
        </is>
      </c>
      <c r="C99" t="inlineStr">
        <is>
          <t>Föryngringsavverkning</t>
        </is>
      </c>
      <c r="D99" s="1" t="n">
        <v>46167</v>
      </c>
      <c r="E99" s="1" t="n">
        <v>46221</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s="2" t="inlineStr"/>
    </row>
    <row r="100" ht="15" customHeight="1">
      <c r="A100" t="inlineStr">
        <is>
          <t>A 2629-2025</t>
        </is>
      </c>
      <c r="B100" t="inlineStr">
        <is>
          <t>avverkningsanmälan</t>
        </is>
      </c>
      <c r="C100" t="inlineStr">
        <is>
          <t>Föryngringsavverkning</t>
        </is>
      </c>
      <c r="D100" s="1" t="n">
        <v>45675</v>
      </c>
      <c r="E100" s="1" t="n">
        <v>46221</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5320-2023</t>
        </is>
      </c>
      <c r="B101" t="inlineStr">
        <is>
          <t>avverkningsanmälan</t>
        </is>
      </c>
      <c r="C101" t="inlineStr">
        <is>
          <t>Föryngringsavverkning</t>
        </is>
      </c>
      <c r="D101" s="1" t="n">
        <v>44959</v>
      </c>
      <c r="E101" s="1" t="n">
        <v>46221</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45916-2022</t>
        </is>
      </c>
      <c r="B102" t="inlineStr">
        <is>
          <t>avverkningsanmälan</t>
        </is>
      </c>
      <c r="C102" t="inlineStr">
        <is>
          <t>Föryngringsavverkning</t>
        </is>
      </c>
      <c r="D102" s="1" t="n">
        <v>44846</v>
      </c>
      <c r="E102" s="1" t="n">
        <v>46221</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s="2" t="inlineStr"/>
    </row>
    <row r="103" ht="15" customHeight="1">
      <c r="A103" t="inlineStr">
        <is>
          <t>A 17091-2023</t>
        </is>
      </c>
      <c r="B103" t="inlineStr">
        <is>
          <t>avverkningsanmälan</t>
        </is>
      </c>
      <c r="C103" t="inlineStr">
        <is>
          <t>Föryngringsavverkning</t>
        </is>
      </c>
      <c r="D103" s="1" t="n">
        <v>45034</v>
      </c>
      <c r="E103" s="1" t="n">
        <v>46221</v>
      </c>
      <c r="F103" t="inlineStr">
        <is>
          <t>UPPSALA LÄN</t>
        </is>
      </c>
      <c r="G103" t="inlineStr">
        <is>
          <t>KNIVSTA</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794-2024</t>
        </is>
      </c>
      <c r="B104" t="inlineStr">
        <is>
          <t>avverkningsanmälan</t>
        </is>
      </c>
      <c r="C104" t="inlineStr">
        <is>
          <t>Föryngringsavverkning</t>
        </is>
      </c>
      <c r="D104" s="1" t="n">
        <v>45300</v>
      </c>
      <c r="E104" s="1" t="n">
        <v>46221</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20902-2024</t>
        </is>
      </c>
      <c r="B105" t="inlineStr">
        <is>
          <t>avverkningsanmälan</t>
        </is>
      </c>
      <c r="C105" t="inlineStr">
        <is>
          <t>Föryngringsavverkning</t>
        </is>
      </c>
      <c r="D105" s="1" t="n">
        <v>45439</v>
      </c>
      <c r="E105" s="1" t="n">
        <v>46221</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46221</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2026-07-18T01:22:34Z</dcterms:created>
  <dcterms:modified xmlns:dcterms="http://purl.org/dc/terms/" xmlns:xsi="http://www.w3.org/2001/XMLSchema-instance" xsi:type="dcterms:W3CDTF">2026-07-18T01:22:34Z</dcterms:modified>
</cp:coreProperties>
</file>