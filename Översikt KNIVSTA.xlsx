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45917</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45917</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45917</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45917</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45917</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45917</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9553-2025</t>
        </is>
      </c>
      <c r="B9" s="1" t="n">
        <v>45715</v>
      </c>
      <c r="C9" s="1" t="n">
        <v>45917</v>
      </c>
      <c r="D9" t="inlineStr">
        <is>
          <t>UPPSALA LÄN</t>
        </is>
      </c>
      <c r="E9" t="inlineStr">
        <is>
          <t>KNIVSTA</t>
        </is>
      </c>
      <c r="G9" t="n">
        <v>3.5</v>
      </c>
      <c r="H9" t="n">
        <v>1</v>
      </c>
      <c r="I9" t="n">
        <v>0</v>
      </c>
      <c r="J9" t="n">
        <v>0</v>
      </c>
      <c r="K9" t="n">
        <v>0</v>
      </c>
      <c r="L9" t="n">
        <v>0</v>
      </c>
      <c r="M9" t="n">
        <v>0</v>
      </c>
      <c r="N9" t="n">
        <v>0</v>
      </c>
      <c r="O9" t="n">
        <v>0</v>
      </c>
      <c r="P9" t="n">
        <v>0</v>
      </c>
      <c r="Q9" t="n">
        <v>1</v>
      </c>
      <c r="R9" s="2" t="inlineStr">
        <is>
          <t>Nattviol</t>
        </is>
      </c>
      <c r="S9">
        <f>HYPERLINK("https://klasma.github.io/Logging_0330/artfynd/A 9553-2025 artfynd.xlsx", "A 9553-2025")</f>
        <v/>
      </c>
      <c r="T9">
        <f>HYPERLINK("https://klasma.github.io/Logging_0330/kartor/A 9553-2025 karta.png", "A 9553-2025")</f>
        <v/>
      </c>
      <c r="V9">
        <f>HYPERLINK("https://klasma.github.io/Logging_0330/klagomål/A 9553-2025 FSC-klagomål.docx", "A 9553-2025")</f>
        <v/>
      </c>
      <c r="W9">
        <f>HYPERLINK("https://klasma.github.io/Logging_0330/klagomålsmail/A 9553-2025 FSC-klagomål mail.docx", "A 9553-2025")</f>
        <v/>
      </c>
      <c r="X9">
        <f>HYPERLINK("https://klasma.github.io/Logging_0330/tillsyn/A 9553-2025 tillsynsbegäran.docx", "A 9553-2025")</f>
        <v/>
      </c>
      <c r="Y9">
        <f>HYPERLINK("https://klasma.github.io/Logging_0330/tillsynsmail/A 9553-2025 tillsynsbegäran mail.docx", "A 9553-2025")</f>
        <v/>
      </c>
    </row>
    <row r="10" ht="15" customHeight="1">
      <c r="A10" t="inlineStr">
        <is>
          <t>A 16407-2025</t>
        </is>
      </c>
      <c r="B10" s="1" t="n">
        <v>45751.45120370371</v>
      </c>
      <c r="C10" s="1" t="n">
        <v>45917</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16973-2021</t>
        </is>
      </c>
      <c r="B11" s="1" t="n">
        <v>44295</v>
      </c>
      <c r="C11" s="1" t="n">
        <v>45917</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11405-2025</t>
        </is>
      </c>
      <c r="B12" s="1" t="n">
        <v>45726</v>
      </c>
      <c r="C12" s="1" t="n">
        <v>45917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45917</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21831-2024</t>
        </is>
      </c>
      <c r="B14" s="1" t="n">
        <v>45442</v>
      </c>
      <c r="C14" s="1" t="n">
        <v>45917</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9725-2021</t>
        </is>
      </c>
      <c r="B15" s="1" t="n">
        <v>44252</v>
      </c>
      <c r="C15" s="1" t="n">
        <v>45917</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45917</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45917</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45917</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45917</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45917</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45917</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45917</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45917</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45917</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45917</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45917</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45917</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45917</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45917</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45917</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45917</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45917</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45917</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45917</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45917</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45917</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45917</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45917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26226-2025</t>
        </is>
      </c>
      <c r="B39" s="1" t="n">
        <v>45805.55829861111</v>
      </c>
      <c r="C39" s="1" t="n">
        <v>45917</v>
      </c>
      <c r="D39" t="inlineStr">
        <is>
          <t>UPPSALA LÄN</t>
        </is>
      </c>
      <c r="E39" t="inlineStr">
        <is>
          <t>KNIVSTA</t>
        </is>
      </c>
      <c r="G39" t="n">
        <v>9.1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45917</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17333-2024</t>
        </is>
      </c>
      <c r="B41" s="1" t="n">
        <v>45414.5625462963</v>
      </c>
      <c r="C41" s="1" t="n">
        <v>45917</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1791-2024</t>
        </is>
      </c>
      <c r="B42" s="1" t="n">
        <v>45307.574375</v>
      </c>
      <c r="C42" s="1" t="n">
        <v>45917</v>
      </c>
      <c r="D42" t="inlineStr">
        <is>
          <t>UPPSALA LÄN</t>
        </is>
      </c>
      <c r="E42" t="inlineStr">
        <is>
          <t>KNIVSTA</t>
        </is>
      </c>
      <c r="G42" t="n">
        <v>1.4</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45917</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66305-2021</t>
        </is>
      </c>
      <c r="B44" s="1" t="n">
        <v>44518</v>
      </c>
      <c r="C44" s="1" t="n">
        <v>45917</v>
      </c>
      <c r="D44" t="inlineStr">
        <is>
          <t>UPPSALA LÄN</t>
        </is>
      </c>
      <c r="E44" t="inlineStr">
        <is>
          <t>KNIVSTA</t>
        </is>
      </c>
      <c r="G44" t="n">
        <v>8.300000000000001</v>
      </c>
      <c r="H44" t="n">
        <v>0</v>
      </c>
      <c r="I44" t="n">
        <v>0</v>
      </c>
      <c r="J44" t="n">
        <v>0</v>
      </c>
      <c r="K44" t="n">
        <v>0</v>
      </c>
      <c r="L44" t="n">
        <v>0</v>
      </c>
      <c r="M44" t="n">
        <v>0</v>
      </c>
      <c r="N44" t="n">
        <v>0</v>
      </c>
      <c r="O44" t="n">
        <v>0</v>
      </c>
      <c r="P44" t="n">
        <v>0</v>
      </c>
      <c r="Q44" t="n">
        <v>0</v>
      </c>
      <c r="R44" s="2" t="inlineStr"/>
    </row>
    <row r="45" ht="15" customHeight="1">
      <c r="A45" t="inlineStr">
        <is>
          <t>A 14267-2025</t>
        </is>
      </c>
      <c r="B45" s="1" t="n">
        <v>45740.63686342593</v>
      </c>
      <c r="C45" s="1" t="n">
        <v>45917</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45917</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45917</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11452-2023</t>
        </is>
      </c>
      <c r="B48" s="1" t="n">
        <v>44993</v>
      </c>
      <c r="C48" s="1" t="n">
        <v>45917</v>
      </c>
      <c r="D48" t="inlineStr">
        <is>
          <t>UPPSALA LÄN</t>
        </is>
      </c>
      <c r="E48" t="inlineStr">
        <is>
          <t>KNIVSTA</t>
        </is>
      </c>
      <c r="G48" t="n">
        <v>2.5</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45917</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11847-2023</t>
        </is>
      </c>
      <c r="B50" s="1" t="n">
        <v>44995.33957175926</v>
      </c>
      <c r="C50" s="1" t="n">
        <v>45917</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43908-2023</t>
        </is>
      </c>
      <c r="B51" s="1" t="n">
        <v>45187</v>
      </c>
      <c r="C51" s="1" t="n">
        <v>45917</v>
      </c>
      <c r="D51" t="inlineStr">
        <is>
          <t>UPPSALA LÄN</t>
        </is>
      </c>
      <c r="E51" t="inlineStr">
        <is>
          <t>KNIVSTA</t>
        </is>
      </c>
      <c r="F51" t="inlineStr">
        <is>
          <t>Kyrkan</t>
        </is>
      </c>
      <c r="G51" t="n">
        <v>1.7</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45917</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5402-2023</t>
        </is>
      </c>
      <c r="B53" s="1" t="n">
        <v>44959</v>
      </c>
      <c r="C53" s="1" t="n">
        <v>45917</v>
      </c>
      <c r="D53" t="inlineStr">
        <is>
          <t>UPPSALA LÄN</t>
        </is>
      </c>
      <c r="E53" t="inlineStr">
        <is>
          <t>KNIVSTA</t>
        </is>
      </c>
      <c r="G53" t="n">
        <v>4.3</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45917</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45917</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45917</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45917</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34078-2022</t>
        </is>
      </c>
      <c r="B58" s="1" t="n">
        <v>44791</v>
      </c>
      <c r="C58" s="1" t="n">
        <v>45917</v>
      </c>
      <c r="D58" t="inlineStr">
        <is>
          <t>UPPSALA LÄN</t>
        </is>
      </c>
      <c r="E58" t="inlineStr">
        <is>
          <t>KNIVSTA</t>
        </is>
      </c>
      <c r="F58" t="inlineStr">
        <is>
          <t>Övriga statliga verk och myndigheter</t>
        </is>
      </c>
      <c r="G58" t="n">
        <v>1.8</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45917</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45917</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35318-2025</t>
        </is>
      </c>
      <c r="B61" s="1" t="n">
        <v>45854.47917824074</v>
      </c>
      <c r="C61" s="1" t="n">
        <v>45917</v>
      </c>
      <c r="D61" t="inlineStr">
        <is>
          <t>UPPSALA LÄN</t>
        </is>
      </c>
      <c r="E61" t="inlineStr">
        <is>
          <t>KNIVSTA</t>
        </is>
      </c>
      <c r="F61" t="inlineStr">
        <is>
          <t>Holmen skog AB</t>
        </is>
      </c>
      <c r="G61" t="n">
        <v>2.2</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45917</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26182-2022</t>
        </is>
      </c>
      <c r="B63" s="1" t="n">
        <v>44735</v>
      </c>
      <c r="C63" s="1" t="n">
        <v>45917</v>
      </c>
      <c r="D63" t="inlineStr">
        <is>
          <t>UPPSALA LÄN</t>
        </is>
      </c>
      <c r="E63" t="inlineStr">
        <is>
          <t>KNIVSTA</t>
        </is>
      </c>
      <c r="G63" t="n">
        <v>3.8</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45917</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36470-2025</t>
        </is>
      </c>
      <c r="B65" s="1" t="n">
        <v>45869.47915509259</v>
      </c>
      <c r="C65" s="1" t="n">
        <v>45917</v>
      </c>
      <c r="D65" t="inlineStr">
        <is>
          <t>UPPSALA LÄN</t>
        </is>
      </c>
      <c r="E65" t="inlineStr">
        <is>
          <t>KNIVSTA</t>
        </is>
      </c>
      <c r="G65" t="n">
        <v>3.6</v>
      </c>
      <c r="H65" t="n">
        <v>0</v>
      </c>
      <c r="I65" t="n">
        <v>0</v>
      </c>
      <c r="J65" t="n">
        <v>0</v>
      </c>
      <c r="K65" t="n">
        <v>0</v>
      </c>
      <c r="L65" t="n">
        <v>0</v>
      </c>
      <c r="M65" t="n">
        <v>0</v>
      </c>
      <c r="N65" t="n">
        <v>0</v>
      </c>
      <c r="O65" t="n">
        <v>0</v>
      </c>
      <c r="P65" t="n">
        <v>0</v>
      </c>
      <c r="Q65" t="n">
        <v>0</v>
      </c>
      <c r="R65" s="2" t="inlineStr"/>
    </row>
    <row r="66" ht="15" customHeight="1">
      <c r="A66" t="inlineStr">
        <is>
          <t>A 36472-2025</t>
        </is>
      </c>
      <c r="B66" s="1" t="n">
        <v>45869.48162037037</v>
      </c>
      <c r="C66" s="1" t="n">
        <v>45917</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45917</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45917</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45917</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66293-2021</t>
        </is>
      </c>
      <c r="B70" s="1" t="n">
        <v>44518</v>
      </c>
      <c r="C70" s="1" t="n">
        <v>45917</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5455-2025</t>
        </is>
      </c>
      <c r="B71" s="1" t="n">
        <v>45693</v>
      </c>
      <c r="C71" s="1" t="n">
        <v>45917</v>
      </c>
      <c r="D71" t="inlineStr">
        <is>
          <t>UPPSALA LÄN</t>
        </is>
      </c>
      <c r="E71" t="inlineStr">
        <is>
          <t>KNIVSTA</t>
        </is>
      </c>
      <c r="G71" t="n">
        <v>17.1</v>
      </c>
      <c r="H71" t="n">
        <v>0</v>
      </c>
      <c r="I71" t="n">
        <v>0</v>
      </c>
      <c r="J71" t="n">
        <v>0</v>
      </c>
      <c r="K71" t="n">
        <v>0</v>
      </c>
      <c r="L71" t="n">
        <v>0</v>
      </c>
      <c r="M71" t="n">
        <v>0</v>
      </c>
      <c r="N71" t="n">
        <v>0</v>
      </c>
      <c r="O71" t="n">
        <v>0</v>
      </c>
      <c r="P71" t="n">
        <v>0</v>
      </c>
      <c r="Q71" t="n">
        <v>0</v>
      </c>
      <c r="R71" s="2" t="inlineStr"/>
    </row>
    <row r="72" ht="15" customHeight="1">
      <c r="A72" t="inlineStr">
        <is>
          <t>A 45916-2022</t>
        </is>
      </c>
      <c r="B72" s="1" t="n">
        <v>44846</v>
      </c>
      <c r="C72" s="1" t="n">
        <v>45917</v>
      </c>
      <c r="D72" t="inlineStr">
        <is>
          <t>UPPSALA LÄN</t>
        </is>
      </c>
      <c r="E72" t="inlineStr">
        <is>
          <t>KNIVSTA</t>
        </is>
      </c>
      <c r="G72" t="n">
        <v>3.8</v>
      </c>
      <c r="H72" t="n">
        <v>0</v>
      </c>
      <c r="I72" t="n">
        <v>0</v>
      </c>
      <c r="J72" t="n">
        <v>0</v>
      </c>
      <c r="K72" t="n">
        <v>0</v>
      </c>
      <c r="L72" t="n">
        <v>0</v>
      </c>
      <c r="M72" t="n">
        <v>0</v>
      </c>
      <c r="N72" t="n">
        <v>0</v>
      </c>
      <c r="O72" t="n">
        <v>0</v>
      </c>
      <c r="P72" t="n">
        <v>0</v>
      </c>
      <c r="Q72" t="n">
        <v>0</v>
      </c>
      <c r="R72" s="2" t="inlineStr"/>
    </row>
    <row r="73" ht="15" customHeight="1">
      <c r="A73" t="inlineStr">
        <is>
          <t>A 16396-2025</t>
        </is>
      </c>
      <c r="B73" s="1" t="n">
        <v>45751.44219907407</v>
      </c>
      <c r="C73" s="1" t="n">
        <v>45917</v>
      </c>
      <c r="D73" t="inlineStr">
        <is>
          <t>UPPSALA LÄN</t>
        </is>
      </c>
      <c r="E73" t="inlineStr">
        <is>
          <t>KNIVSTA</t>
        </is>
      </c>
      <c r="G73" t="n">
        <v>5.1</v>
      </c>
      <c r="H73" t="n">
        <v>0</v>
      </c>
      <c r="I73" t="n">
        <v>0</v>
      </c>
      <c r="J73" t="n">
        <v>0</v>
      </c>
      <c r="K73" t="n">
        <v>0</v>
      </c>
      <c r="L73" t="n">
        <v>0</v>
      </c>
      <c r="M73" t="n">
        <v>0</v>
      </c>
      <c r="N73" t="n">
        <v>0</v>
      </c>
      <c r="O73" t="n">
        <v>0</v>
      </c>
      <c r="P73" t="n">
        <v>0</v>
      </c>
      <c r="Q73" t="n">
        <v>0</v>
      </c>
      <c r="R73" s="2" t="inlineStr"/>
    </row>
    <row r="74" ht="15" customHeight="1">
      <c r="A74" t="inlineStr">
        <is>
          <t>A 17091-2023</t>
        </is>
      </c>
      <c r="B74" s="1" t="n">
        <v>45034.53554398148</v>
      </c>
      <c r="C74" s="1" t="n">
        <v>45917</v>
      </c>
      <c r="D74" t="inlineStr">
        <is>
          <t>UPPSALA LÄN</t>
        </is>
      </c>
      <c r="E74" t="inlineStr">
        <is>
          <t>KNIVSTA</t>
        </is>
      </c>
      <c r="G74" t="n">
        <v>0.8</v>
      </c>
      <c r="H74" t="n">
        <v>0</v>
      </c>
      <c r="I74" t="n">
        <v>0</v>
      </c>
      <c r="J74" t="n">
        <v>0</v>
      </c>
      <c r="K74" t="n">
        <v>0</v>
      </c>
      <c r="L74" t="n">
        <v>0</v>
      </c>
      <c r="M74" t="n">
        <v>0</v>
      </c>
      <c r="N74" t="n">
        <v>0</v>
      </c>
      <c r="O74" t="n">
        <v>0</v>
      </c>
      <c r="P74" t="n">
        <v>0</v>
      </c>
      <c r="Q74" t="n">
        <v>0</v>
      </c>
      <c r="R74" s="2" t="inlineStr"/>
    </row>
    <row r="75" ht="15" customHeight="1">
      <c r="A75" t="inlineStr">
        <is>
          <t>A 68257-2020</t>
        </is>
      </c>
      <c r="B75" s="1" t="n">
        <v>44182</v>
      </c>
      <c r="C75" s="1" t="n">
        <v>45917</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45917</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13040-2025</t>
        </is>
      </c>
      <c r="B77" s="1" t="n">
        <v>45734.58258101852</v>
      </c>
      <c r="C77" s="1" t="n">
        <v>45917</v>
      </c>
      <c r="D77" t="inlineStr">
        <is>
          <t>UPPSALA LÄN</t>
        </is>
      </c>
      <c r="E77" t="inlineStr">
        <is>
          <t>KNIVSTA</t>
        </is>
      </c>
      <c r="F77" t="inlineStr">
        <is>
          <t>Allmännings- och besparingsskogar</t>
        </is>
      </c>
      <c r="G77" t="n">
        <v>1.6</v>
      </c>
      <c r="H77" t="n">
        <v>0</v>
      </c>
      <c r="I77" t="n">
        <v>0</v>
      </c>
      <c r="J77" t="n">
        <v>0</v>
      </c>
      <c r="K77" t="n">
        <v>0</v>
      </c>
      <c r="L77" t="n">
        <v>0</v>
      </c>
      <c r="M77" t="n">
        <v>0</v>
      </c>
      <c r="N77" t="n">
        <v>0</v>
      </c>
      <c r="O77" t="n">
        <v>0</v>
      </c>
      <c r="P77" t="n">
        <v>0</v>
      </c>
      <c r="Q77" t="n">
        <v>0</v>
      </c>
      <c r="R77" s="2" t="inlineStr"/>
    </row>
    <row r="78" ht="15" customHeight="1">
      <c r="A78" t="inlineStr">
        <is>
          <t>A 19676-2025</t>
        </is>
      </c>
      <c r="B78" s="1" t="n">
        <v>45770</v>
      </c>
      <c r="C78" s="1" t="n">
        <v>45917</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8343-2024</t>
        </is>
      </c>
      <c r="B79" s="1" t="n">
        <v>45352</v>
      </c>
      <c r="C79" s="1" t="n">
        <v>45917</v>
      </c>
      <c r="D79" t="inlineStr">
        <is>
          <t>UPPSALA LÄN</t>
        </is>
      </c>
      <c r="E79" t="inlineStr">
        <is>
          <t>KNIVSTA</t>
        </is>
      </c>
      <c r="F79" t="inlineStr">
        <is>
          <t>Holmen skog AB</t>
        </is>
      </c>
      <c r="G79" t="n">
        <v>1.4</v>
      </c>
      <c r="H79" t="n">
        <v>0</v>
      </c>
      <c r="I79" t="n">
        <v>0</v>
      </c>
      <c r="J79" t="n">
        <v>0</v>
      </c>
      <c r="K79" t="n">
        <v>0</v>
      </c>
      <c r="L79" t="n">
        <v>0</v>
      </c>
      <c r="M79" t="n">
        <v>0</v>
      </c>
      <c r="N79" t="n">
        <v>0</v>
      </c>
      <c r="O79" t="n">
        <v>0</v>
      </c>
      <c r="P79" t="n">
        <v>0</v>
      </c>
      <c r="Q79" t="n">
        <v>0</v>
      </c>
      <c r="R79" s="2" t="inlineStr"/>
    </row>
    <row r="80" ht="15" customHeight="1">
      <c r="A80" t="inlineStr">
        <is>
          <t>A 30627-2023</t>
        </is>
      </c>
      <c r="B80" s="1" t="n">
        <v>45112</v>
      </c>
      <c r="C80" s="1" t="n">
        <v>45917</v>
      </c>
      <c r="D80" t="inlineStr">
        <is>
          <t>UPPSALA LÄN</t>
        </is>
      </c>
      <c r="E80" t="inlineStr">
        <is>
          <t>KNIVSTA</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2171-2024</t>
        </is>
      </c>
      <c r="B81" s="1" t="n">
        <v>45309</v>
      </c>
      <c r="C81" s="1" t="n">
        <v>45917</v>
      </c>
      <c r="D81" t="inlineStr">
        <is>
          <t>UPPSALA LÄN</t>
        </is>
      </c>
      <c r="E81" t="inlineStr">
        <is>
          <t>KNIVSTA</t>
        </is>
      </c>
      <c r="F81" t="inlineStr">
        <is>
          <t>Holmen skog AB</t>
        </is>
      </c>
      <c r="G81" t="n">
        <v>3.3</v>
      </c>
      <c r="H81" t="n">
        <v>0</v>
      </c>
      <c r="I81" t="n">
        <v>0</v>
      </c>
      <c r="J81" t="n">
        <v>0</v>
      </c>
      <c r="K81" t="n">
        <v>0</v>
      </c>
      <c r="L81" t="n">
        <v>0</v>
      </c>
      <c r="M81" t="n">
        <v>0</v>
      </c>
      <c r="N81" t="n">
        <v>0</v>
      </c>
      <c r="O81" t="n">
        <v>0</v>
      </c>
      <c r="P81" t="n">
        <v>0</v>
      </c>
      <c r="Q81" t="n">
        <v>0</v>
      </c>
      <c r="R81" s="2" t="inlineStr"/>
    </row>
    <row r="82" ht="15" customHeight="1">
      <c r="A82" t="inlineStr">
        <is>
          <t>A 21130-2025</t>
        </is>
      </c>
      <c r="B82" s="1" t="n">
        <v>45778.35857638889</v>
      </c>
      <c r="C82" s="1" t="n">
        <v>45917</v>
      </c>
      <c r="D82" t="inlineStr">
        <is>
          <t>UPPSALA LÄN</t>
        </is>
      </c>
      <c r="E82" t="inlineStr">
        <is>
          <t>KNIVSTA</t>
        </is>
      </c>
      <c r="G82" t="n">
        <v>2.2</v>
      </c>
      <c r="H82" t="n">
        <v>0</v>
      </c>
      <c r="I82" t="n">
        <v>0</v>
      </c>
      <c r="J82" t="n">
        <v>0</v>
      </c>
      <c r="K82" t="n">
        <v>0</v>
      </c>
      <c r="L82" t="n">
        <v>0</v>
      </c>
      <c r="M82" t="n">
        <v>0</v>
      </c>
      <c r="N82" t="n">
        <v>0</v>
      </c>
      <c r="O82" t="n">
        <v>0</v>
      </c>
      <c r="P82" t="n">
        <v>0</v>
      </c>
      <c r="Q82" t="n">
        <v>0</v>
      </c>
      <c r="R82" s="2" t="inlineStr"/>
    </row>
    <row r="83" ht="15" customHeight="1">
      <c r="A83" t="inlineStr">
        <is>
          <t>A 1629-2024</t>
        </is>
      </c>
      <c r="B83" s="1" t="n">
        <v>45306</v>
      </c>
      <c r="C83" s="1" t="n">
        <v>45917</v>
      </c>
      <c r="D83" t="inlineStr">
        <is>
          <t>UPPSALA LÄN</t>
        </is>
      </c>
      <c r="E83" t="inlineStr">
        <is>
          <t>KNIVSTA</t>
        </is>
      </c>
      <c r="F83" t="inlineStr">
        <is>
          <t>Holmen skog AB</t>
        </is>
      </c>
      <c r="G83" t="n">
        <v>3.6</v>
      </c>
      <c r="H83" t="n">
        <v>0</v>
      </c>
      <c r="I83" t="n">
        <v>0</v>
      </c>
      <c r="J83" t="n">
        <v>0</v>
      </c>
      <c r="K83" t="n">
        <v>0</v>
      </c>
      <c r="L83" t="n">
        <v>0</v>
      </c>
      <c r="M83" t="n">
        <v>0</v>
      </c>
      <c r="N83" t="n">
        <v>0</v>
      </c>
      <c r="O83" t="n">
        <v>0</v>
      </c>
      <c r="P83" t="n">
        <v>0</v>
      </c>
      <c r="Q83" t="n">
        <v>0</v>
      </c>
      <c r="R83" s="2" t="inlineStr"/>
    </row>
    <row r="84" ht="15" customHeight="1">
      <c r="A84" t="inlineStr">
        <is>
          <t>A 794-2024</t>
        </is>
      </c>
      <c r="B84" s="1" t="n">
        <v>45300.58149305556</v>
      </c>
      <c r="C84" s="1" t="n">
        <v>45917</v>
      </c>
      <c r="D84" t="inlineStr">
        <is>
          <t>UPPSALA LÄN</t>
        </is>
      </c>
      <c r="E84" t="inlineStr">
        <is>
          <t>KNIVSTA</t>
        </is>
      </c>
      <c r="G84" t="n">
        <v>1.6</v>
      </c>
      <c r="H84" t="n">
        <v>0</v>
      </c>
      <c r="I84" t="n">
        <v>0</v>
      </c>
      <c r="J84" t="n">
        <v>0</v>
      </c>
      <c r="K84" t="n">
        <v>0</v>
      </c>
      <c r="L84" t="n">
        <v>0</v>
      </c>
      <c r="M84" t="n">
        <v>0</v>
      </c>
      <c r="N84" t="n">
        <v>0</v>
      </c>
      <c r="O84" t="n">
        <v>0</v>
      </c>
      <c r="P84" t="n">
        <v>0</v>
      </c>
      <c r="Q84" t="n">
        <v>0</v>
      </c>
      <c r="R84" s="2" t="inlineStr"/>
    </row>
    <row r="85" ht="15" customHeight="1">
      <c r="A85" t="inlineStr">
        <is>
          <t>A 60885-2021</t>
        </is>
      </c>
      <c r="B85" s="1" t="n">
        <v>44497</v>
      </c>
      <c r="C85" s="1" t="n">
        <v>45917</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20902-2024</t>
        </is>
      </c>
      <c r="B86" s="1" t="n">
        <v>45439.48104166667</v>
      </c>
      <c r="C86" s="1" t="n">
        <v>45917</v>
      </c>
      <c r="D86" t="inlineStr">
        <is>
          <t>UPPSALA LÄN</t>
        </is>
      </c>
      <c r="E86" t="inlineStr">
        <is>
          <t>KNIVSTA</t>
        </is>
      </c>
      <c r="G86" t="n">
        <v>1</v>
      </c>
      <c r="H86" t="n">
        <v>0</v>
      </c>
      <c r="I86" t="n">
        <v>0</v>
      </c>
      <c r="J86" t="n">
        <v>0</v>
      </c>
      <c r="K86" t="n">
        <v>0</v>
      </c>
      <c r="L86" t="n">
        <v>0</v>
      </c>
      <c r="M86" t="n">
        <v>0</v>
      </c>
      <c r="N86" t="n">
        <v>0</v>
      </c>
      <c r="O86" t="n">
        <v>0</v>
      </c>
      <c r="P86" t="n">
        <v>0</v>
      </c>
      <c r="Q86" t="n">
        <v>0</v>
      </c>
      <c r="R86" s="2" t="inlineStr"/>
    </row>
    <row r="87" ht="15" customHeight="1">
      <c r="A87" t="inlineStr">
        <is>
          <t>A 3191-2024</t>
        </is>
      </c>
      <c r="B87" s="1" t="n">
        <v>45316.67186342592</v>
      </c>
      <c r="C87" s="1" t="n">
        <v>45917</v>
      </c>
      <c r="D87" t="inlineStr">
        <is>
          <t>UPPSALA LÄN</t>
        </is>
      </c>
      <c r="E87" t="inlineStr">
        <is>
          <t>KNIVSTA</t>
        </is>
      </c>
      <c r="G87" t="n">
        <v>0.6</v>
      </c>
      <c r="H87" t="n">
        <v>0</v>
      </c>
      <c r="I87" t="n">
        <v>0</v>
      </c>
      <c r="J87" t="n">
        <v>0</v>
      </c>
      <c r="K87" t="n">
        <v>0</v>
      </c>
      <c r="L87" t="n">
        <v>0</v>
      </c>
      <c r="M87" t="n">
        <v>0</v>
      </c>
      <c r="N87" t="n">
        <v>0</v>
      </c>
      <c r="O87" t="n">
        <v>0</v>
      </c>
      <c r="P87" t="n">
        <v>0</v>
      </c>
      <c r="Q87" t="n">
        <v>0</v>
      </c>
      <c r="R87" s="2" t="inlineStr"/>
    </row>
    <row r="88" ht="15" customHeight="1">
      <c r="A88" t="inlineStr">
        <is>
          <t>A 45525-2023</t>
        </is>
      </c>
      <c r="B88" s="1" t="n">
        <v>45194</v>
      </c>
      <c r="C88" s="1" t="n">
        <v>45917</v>
      </c>
      <c r="D88" t="inlineStr">
        <is>
          <t>UPPSALA LÄN</t>
        </is>
      </c>
      <c r="E88" t="inlineStr">
        <is>
          <t>KNIVSTA</t>
        </is>
      </c>
      <c r="G88" t="n">
        <v>0.7</v>
      </c>
      <c r="H88" t="n">
        <v>0</v>
      </c>
      <c r="I88" t="n">
        <v>0</v>
      </c>
      <c r="J88" t="n">
        <v>0</v>
      </c>
      <c r="K88" t="n">
        <v>0</v>
      </c>
      <c r="L88" t="n">
        <v>0</v>
      </c>
      <c r="M88" t="n">
        <v>0</v>
      </c>
      <c r="N88" t="n">
        <v>0</v>
      </c>
      <c r="O88" t="n">
        <v>0</v>
      </c>
      <c r="P88" t="n">
        <v>0</v>
      </c>
      <c r="Q88" t="n">
        <v>0</v>
      </c>
      <c r="R88" s="2" t="inlineStr"/>
    </row>
    <row r="89" ht="15" customHeight="1">
      <c r="A89" t="inlineStr">
        <is>
          <t>A 16773-2022</t>
        </is>
      </c>
      <c r="B89" s="1" t="n">
        <v>44673</v>
      </c>
      <c r="C89" s="1" t="n">
        <v>45917</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30764-2023</t>
        </is>
      </c>
      <c r="B90" s="1" t="n">
        <v>45112</v>
      </c>
      <c r="C90" s="1" t="n">
        <v>45917</v>
      </c>
      <c r="D90" t="inlineStr">
        <is>
          <t>UPPSALA LÄN</t>
        </is>
      </c>
      <c r="E90" t="inlineStr">
        <is>
          <t>KNIVSTA</t>
        </is>
      </c>
      <c r="F90" t="inlineStr">
        <is>
          <t>Holmen skog AB</t>
        </is>
      </c>
      <c r="G90" t="n">
        <v>0.9</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45917</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c r="A92" t="inlineStr">
        <is>
          <t>A 60018-2024</t>
        </is>
      </c>
      <c r="B92" s="1" t="n">
        <v>45642</v>
      </c>
      <c r="C92" s="1" t="n">
        <v>45917</v>
      </c>
      <c r="D92" t="inlineStr">
        <is>
          <t>UPPSALA LÄN</t>
        </is>
      </c>
      <c r="E92" t="inlineStr">
        <is>
          <t>KNIVSTA</t>
        </is>
      </c>
      <c r="G92" t="n">
        <v>4.1</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2025-09-17T09:01:58Z</dcterms:created>
  <dcterms:modified xmlns:dcterms="http://purl.org/dc/terms/" xmlns:xsi="http://www.w3.org/2001/XMLSchema-instance" xsi:type="dcterms:W3CDTF">2025-09-17T09:01:58Z</dcterms:modified>
</cp:coreProperties>
</file>