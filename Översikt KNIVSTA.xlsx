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46305</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46305</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46305</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46305</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46305</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46305</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46305</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46305</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46305</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46305</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46305</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17101-2023</t>
        </is>
      </c>
      <c r="B13" t="inlineStr">
        <is>
          <t>avverkningsanmälan</t>
        </is>
      </c>
      <c r="C13" t="inlineStr">
        <is>
          <t>Föryngringsavverkning</t>
        </is>
      </c>
      <c r="D13" s="1" t="n">
        <v>45034</v>
      </c>
      <c r="E13" s="1" t="n">
        <v>46305</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12958-2026</t>
        </is>
      </c>
      <c r="B14" t="inlineStr">
        <is>
          <t>avverkningsanmälan</t>
        </is>
      </c>
      <c r="C14" t="inlineStr">
        <is>
          <t>Föryngringsavverkning</t>
        </is>
      </c>
      <c r="D14" s="1" t="n">
        <v>46092</v>
      </c>
      <c r="E14" s="1" t="n">
        <v>46305</v>
      </c>
      <c r="F14" t="inlineStr">
        <is>
          <t>UPPSALA LÄN</t>
        </is>
      </c>
      <c r="G14" t="inlineStr">
        <is>
          <t>KNIVSTA</t>
        </is>
      </c>
      <c r="H14" t="inlineStr">
        <is>
          <t>Holmen skog AB</t>
        </is>
      </c>
      <c r="I14" t="n">
        <v>3.8</v>
      </c>
      <c r="J14" t="n">
        <v>1</v>
      </c>
      <c r="K14" t="n">
        <v>2</v>
      </c>
      <c r="L14" t="n">
        <v>2</v>
      </c>
      <c r="M14" t="n">
        <v>0</v>
      </c>
      <c r="N14" t="n">
        <v>0</v>
      </c>
      <c r="O14" t="n">
        <v>0</v>
      </c>
      <c r="P14" t="n">
        <v>0</v>
      </c>
      <c r="Q14" t="n">
        <v>2</v>
      </c>
      <c r="R14" t="n">
        <v>0</v>
      </c>
      <c r="S14" t="n">
        <v>5</v>
      </c>
      <c r="T14" t="n">
        <v>5</v>
      </c>
      <c r="U14" t="n">
        <v>5</v>
      </c>
      <c r="V14" s="2" t="inlineStr">
        <is>
          <t>Tallkötticka
Ullticka
Blodticka
Vågbandad barkbock
Tjäder</t>
        </is>
      </c>
      <c r="W14">
        <f>HYPERLINK("https://klasma.github.io/Logging_0330/artfynd/A 12958-2026 artfynd.xlsx", "A 12958-2026")</f>
        <v/>
      </c>
      <c r="X14">
        <f>HYPERLINK("https://klasma.github.io/Logging_0330/kartor/A 12958-2026 karta.png", "A 12958-2026")</f>
        <v/>
      </c>
      <c r="Y14">
        <f>HYPERLINK("https://klasma.github.io/Logging_0330/kartor_geotiff/A 12958-2026 georefererad karta.tif", "A 12958-2026")</f>
        <v/>
      </c>
      <c r="AA14">
        <f>HYPERLINK("https://klasma.github.io/Logging_0330/klagomål/A 12958-2026 FSC-klagomål.docx", "A 12958-2026")</f>
        <v/>
      </c>
      <c r="AB14">
        <f>HYPERLINK("https://klasma.github.io/Logging_0330/klagomålsmail/A 12958-2026 FSC-klagomål mail.docx", "A 12958-2026")</f>
        <v/>
      </c>
      <c r="AC14">
        <f>HYPERLINK("https://klasma.github.io/Logging_0330/tillsyn/A 12958-2026 tillsynsbegäran.docx", "A 12958-2026")</f>
        <v/>
      </c>
      <c r="AD14">
        <f>HYPERLINK("https://klasma.github.io/Logging_0330/tillsynsmail/A 12958-2026 tillsynsbegäran mail.docx", "A 12958-2026")</f>
        <v/>
      </c>
      <c r="AE14">
        <f>HYPERLINK("https://klasma.github.io/Logging_0330/fåglar/A 12958-2026 prioriterade fågelarter.docx", "A 12958-2026")</f>
        <v/>
      </c>
    </row>
    <row r="15" ht="15" customHeight="1">
      <c r="A15" t="inlineStr">
        <is>
          <t>A 34604-2026</t>
        </is>
      </c>
      <c r="B15" t="inlineStr">
        <is>
          <t>avverkningsanmälan</t>
        </is>
      </c>
      <c r="C15" t="inlineStr">
        <is>
          <t>Föryngringsavverkning</t>
        </is>
      </c>
      <c r="D15" s="1" t="n">
        <v>46255</v>
      </c>
      <c r="E15" s="1" t="n">
        <v>46305</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46305</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46305</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46305</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18576-2026</t>
        </is>
      </c>
      <c r="B19" t="inlineStr">
        <is>
          <t>avverkningsanmälan</t>
        </is>
      </c>
      <c r="C19" t="inlineStr">
        <is>
          <t>Föryngringsavverkning</t>
        </is>
      </c>
      <c r="D19" s="1" t="n">
        <v>46127</v>
      </c>
      <c r="E19" s="1" t="n">
        <v>46305</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A 61768-2025</t>
        </is>
      </c>
      <c r="B20" t="inlineStr">
        <is>
          <t>avverkningsanmälan</t>
        </is>
      </c>
      <c r="C20" t="inlineStr">
        <is>
          <t>Föryngringsavverkning</t>
        </is>
      </c>
      <c r="D20" s="1" t="n">
        <v>46002</v>
      </c>
      <c r="E20" s="1" t="n">
        <v>46305</v>
      </c>
      <c r="F20" t="inlineStr">
        <is>
          <t>UPPSALA LÄN</t>
        </is>
      </c>
      <c r="G20" t="inlineStr">
        <is>
          <t>KNIVSTA</t>
        </is>
      </c>
      <c r="I20" t="n">
        <v>3</v>
      </c>
      <c r="J20" t="n">
        <v>0</v>
      </c>
      <c r="K20" t="n">
        <v>1</v>
      </c>
      <c r="L20" t="n">
        <v>1</v>
      </c>
      <c r="M20" t="n">
        <v>0</v>
      </c>
      <c r="N20" t="n">
        <v>0</v>
      </c>
      <c r="O20" t="n">
        <v>0</v>
      </c>
      <c r="P20" t="n">
        <v>0</v>
      </c>
      <c r="Q20" t="n">
        <v>1</v>
      </c>
      <c r="R20" t="n">
        <v>0</v>
      </c>
      <c r="S20" t="n">
        <v>2</v>
      </c>
      <c r="T20" t="n">
        <v>2</v>
      </c>
      <c r="U20" t="n">
        <v>0</v>
      </c>
      <c r="V20" s="2" t="inlineStr">
        <is>
          <t>Gullpudra
Kamjordstjärna</t>
        </is>
      </c>
      <c r="W20">
        <f>HYPERLINK("https://klasma.github.io/Logging_0330/artfynd/A 61768-2025 artfynd.xlsx", "A 61768-2025")</f>
        <v/>
      </c>
      <c r="X20">
        <f>HYPERLINK("https://klasma.github.io/Logging_0330/kartor/A 61768-2025 karta.png", "A 61768-2025")</f>
        <v/>
      </c>
      <c r="Y20">
        <f>HYPERLINK("https://klasma.github.io/Logging_0330/kartor_geotiff/A 61768-2025 georefererad karta.tif", "A 61768-2025")</f>
        <v/>
      </c>
      <c r="AA20">
        <f>HYPERLINK("https://klasma.github.io/Logging_0330/klagomål/A 61768-2025 FSC-klagomål.docx", "A 61768-2025")</f>
        <v/>
      </c>
      <c r="AB20">
        <f>HYPERLINK("https://klasma.github.io/Logging_0330/klagomålsmail/A 61768-2025 FSC-klagomål mail.docx", "A 61768-2025")</f>
        <v/>
      </c>
      <c r="AC20">
        <f>HYPERLINK("https://klasma.github.io/Logging_0330/tillsyn/A 61768-2025 tillsynsbegäran.docx", "A 61768-2025")</f>
        <v/>
      </c>
      <c r="AD20">
        <f>HYPERLINK("https://klasma.github.io/Logging_0330/tillsynsmail/A 61768-2025 tillsynsbegäran mail.docx", "A 61768-2025")</f>
        <v/>
      </c>
    </row>
    <row r="21" ht="15" customHeight="1">
      <c r="A21" t="inlineStr">
        <is>
          <t>A 13004-2026</t>
        </is>
      </c>
      <c r="B21" t="inlineStr">
        <is>
          <t>avverkningsanmälan</t>
        </is>
      </c>
      <c r="C21" t="inlineStr">
        <is>
          <t>Föryngringsavverkning</t>
        </is>
      </c>
      <c r="D21" s="1" t="n">
        <v>46092</v>
      </c>
      <c r="E21" s="1" t="n">
        <v>46305</v>
      </c>
      <c r="F21" t="inlineStr">
        <is>
          <t>UPPSALA LÄN</t>
        </is>
      </c>
      <c r="G21" t="inlineStr">
        <is>
          <t>KNIVSTA</t>
        </is>
      </c>
      <c r="H21" t="inlineStr">
        <is>
          <t>Holmen skog AB</t>
        </is>
      </c>
      <c r="I21" t="n">
        <v>7.8</v>
      </c>
      <c r="J21" t="n">
        <v>2</v>
      </c>
      <c r="K21" t="n">
        <v>0</v>
      </c>
      <c r="L21" t="n">
        <v>0</v>
      </c>
      <c r="M21" t="n">
        <v>1</v>
      </c>
      <c r="N21" t="n">
        <v>0</v>
      </c>
      <c r="O21" t="n">
        <v>0</v>
      </c>
      <c r="P21" t="n">
        <v>0</v>
      </c>
      <c r="Q21" t="n">
        <v>1</v>
      </c>
      <c r="R21" t="n">
        <v>1</v>
      </c>
      <c r="S21" t="n">
        <v>2</v>
      </c>
      <c r="T21" t="n">
        <v>2</v>
      </c>
      <c r="U21" t="n">
        <v>2</v>
      </c>
      <c r="V21" s="2" t="inlineStr">
        <is>
          <t>Knärot
Spillkråka</t>
        </is>
      </c>
      <c r="W21">
        <f>HYPERLINK("https://klasma.github.io/Logging_0330/artfynd/A 13004-2026 artfynd.xlsx", "A 13004-2026")</f>
        <v/>
      </c>
      <c r="X21">
        <f>HYPERLINK("https://klasma.github.io/Logging_0330/kartor/A 13004-2026 karta.png", "A 13004-2026")</f>
        <v/>
      </c>
      <c r="Y21">
        <f>HYPERLINK("https://klasma.github.io/Logging_0330/kartor_geotiff/A 13004-2026 georefererad karta.tif", "A 13004-2026")</f>
        <v/>
      </c>
      <c r="Z21">
        <f>HYPERLINK("https://klasma.github.io/Logging_0330/knärot/A 13004-2026 karta knärot.png", "A 13004-2026")</f>
        <v/>
      </c>
      <c r="AA21">
        <f>HYPERLINK("https://klasma.github.io/Logging_0330/klagomål/A 13004-2026 FSC-klagomål.docx", "A 13004-2026")</f>
        <v/>
      </c>
      <c r="AB21">
        <f>HYPERLINK("https://klasma.github.io/Logging_0330/klagomålsmail/A 13004-2026 FSC-klagomål mail.docx", "A 13004-2026")</f>
        <v/>
      </c>
      <c r="AC21">
        <f>HYPERLINK("https://klasma.github.io/Logging_0330/tillsyn/A 13004-2026 tillsynsbegäran.docx", "A 13004-2026")</f>
        <v/>
      </c>
      <c r="AD21">
        <f>HYPERLINK("https://klasma.github.io/Logging_0330/tillsynsmail/A 13004-2026 tillsynsbegäran mail.docx", "A 13004-2026")</f>
        <v/>
      </c>
      <c r="AE21">
        <f>HYPERLINK("https://klasma.github.io/Logging_0330/fåglar/A 13004-2026 prioriterade fågelarter.docx", "A 13004-2026")</f>
        <v/>
      </c>
    </row>
    <row r="22" ht="15" customHeight="1">
      <c r="A22" t="inlineStr">
        <is>
          <t>A 37356-2026</t>
        </is>
      </c>
      <c r="B22" t="inlineStr">
        <is>
          <t>avverkningsanmälan</t>
        </is>
      </c>
      <c r="C22" t="inlineStr">
        <is>
          <t>Föryngringsavverkning</t>
        </is>
      </c>
      <c r="D22" s="1" t="n">
        <v>46275</v>
      </c>
      <c r="E22" s="1" t="n">
        <v>46305</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46305</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2171-2024</t>
        </is>
      </c>
      <c r="B24" t="inlineStr">
        <is>
          <t>avverkningsanmälan</t>
        </is>
      </c>
      <c r="C24" t="inlineStr">
        <is>
          <t>Föryngringsavverkning</t>
        </is>
      </c>
      <c r="D24" s="1" t="n">
        <v>45309</v>
      </c>
      <c r="E24" s="1" t="n">
        <v>46305</v>
      </c>
      <c r="F24" t="inlineStr">
        <is>
          <t>UPPSALA LÄN</t>
        </is>
      </c>
      <c r="G24" t="inlineStr">
        <is>
          <t>KNIVSTA</t>
        </is>
      </c>
      <c r="H24" t="inlineStr">
        <is>
          <t>Holmen skog AB</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HYPERLINK("https://klasma.github.io/Logging_0330/artfynd/A 2171-2024 artfynd.xlsx", "A 2171-2024")</f>
        <v/>
      </c>
      <c r="X24">
        <f>HYPERLINK("https://klasma.github.io/Logging_0330/kartor/A 2171-2024 karta.png", "A 2171-2024")</f>
        <v/>
      </c>
      <c r="Y24">
        <f>HYPERLINK("https://klasma.github.io/Logging_0330/kartor_geotiff/A 2171-2024 georefererad karta.tif", "A 2171-2024")</f>
        <v/>
      </c>
      <c r="AA24">
        <f>HYPERLINK("https://klasma.github.io/Logging_0330/klagomål/A 2171-2024 FSC-klagomål.docx", "A 2171-2024")</f>
        <v/>
      </c>
      <c r="AB24">
        <f>HYPERLINK("https://klasma.github.io/Logging_0330/klagomålsmail/A 2171-2024 FSC-klagomål mail.docx", "A 2171-2024")</f>
        <v/>
      </c>
      <c r="AC24">
        <f>HYPERLINK("https://klasma.github.io/Logging_0330/tillsyn/A 2171-2024 tillsynsbegäran.docx", "A 2171-2024")</f>
        <v/>
      </c>
      <c r="AD24">
        <f>HYPERLINK("https://klasma.github.io/Logging_0330/tillsynsmail/A 2171-2024 tillsynsbegäran mail.docx", "A 2171-2024")</f>
        <v/>
      </c>
    </row>
    <row r="25" ht="15" customHeight="1">
      <c r="A25" t="inlineStr">
        <is>
          <t>A 60885-2021</t>
        </is>
      </c>
      <c r="B25" t="inlineStr">
        <is>
          <t>avverkningsanmälan</t>
        </is>
      </c>
      <c r="C25" t="inlineStr">
        <is>
          <t>Föryngringsavverkning</t>
        </is>
      </c>
      <c r="D25" s="1" t="n">
        <v>44497</v>
      </c>
      <c r="E25" s="1" t="n">
        <v>46305</v>
      </c>
      <c r="F25" t="inlineStr">
        <is>
          <t>UPPSALA LÄN</t>
        </is>
      </c>
      <c r="G25" t="inlineStr">
        <is>
          <t>KNIVSTA</t>
        </is>
      </c>
      <c r="I25" t="n">
        <v>1.5</v>
      </c>
      <c r="J25" t="n">
        <v>0</v>
      </c>
      <c r="K25" t="n">
        <v>1</v>
      </c>
      <c r="L25" t="n">
        <v>0</v>
      </c>
      <c r="M25" t="n">
        <v>0</v>
      </c>
      <c r="N25" t="n">
        <v>0</v>
      </c>
      <c r="O25" t="n">
        <v>0</v>
      </c>
      <c r="P25" t="n">
        <v>0</v>
      </c>
      <c r="Q25" t="n">
        <v>0</v>
      </c>
      <c r="R25" t="n">
        <v>0</v>
      </c>
      <c r="S25" t="n">
        <v>1</v>
      </c>
      <c r="T25" t="n">
        <v>1</v>
      </c>
      <c r="U25" t="n">
        <v>1</v>
      </c>
      <c r="V25" s="2" t="inlineStr">
        <is>
          <t>Sotlav</t>
        </is>
      </c>
      <c r="W25">
        <f>HYPERLINK("https://klasma.github.io/Logging_0330/artfynd/A 60885-2021 artfynd.xlsx", "A 60885-2021")</f>
        <v/>
      </c>
      <c r="X25">
        <f>HYPERLINK("https://klasma.github.io/Logging_0330/kartor/A 60885-2021 karta.png", "A 60885-2021")</f>
        <v/>
      </c>
      <c r="Y25">
        <f>HYPERLINK("https://klasma.github.io/Logging_0330/kartor_geotiff/A 60885-2021 georefererad karta.tif", "A 60885-2021")</f>
        <v/>
      </c>
      <c r="AA25">
        <f>HYPERLINK("https://klasma.github.io/Logging_0330/klagomål/A 60885-2021 FSC-klagomål.docx", "A 60885-2021")</f>
        <v/>
      </c>
      <c r="AB25">
        <f>HYPERLINK("https://klasma.github.io/Logging_0330/klagomålsmail/A 60885-2021 FSC-klagomål mail.docx", "A 60885-2021")</f>
        <v/>
      </c>
      <c r="AC25">
        <f>HYPERLINK("https://klasma.github.io/Logging_0330/tillsyn/A 60885-2021 tillsynsbegäran.docx", "A 60885-2021")</f>
        <v/>
      </c>
      <c r="AD25">
        <f>HYPERLINK("https://klasma.github.io/Logging_0330/tillsynsmail/A 60885-2021 tillsynsbegäran mail.docx", "A 60885-2021")</f>
        <v/>
      </c>
    </row>
    <row r="26" ht="15" customHeight="1">
      <c r="A26" t="inlineStr">
        <is>
          <t>A 11405-2025</t>
        </is>
      </c>
      <c r="B26" t="inlineStr">
        <is>
          <t>avverkningsanmälan</t>
        </is>
      </c>
      <c r="C26" t="inlineStr">
        <is>
          <t>Föryngringsavverkning</t>
        </is>
      </c>
      <c r="D26" s="1" t="n">
        <v>45726</v>
      </c>
      <c r="E26" s="1" t="n">
        <v>46305</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66305-2021</t>
        </is>
      </c>
      <c r="B27" t="inlineStr">
        <is>
          <t>avverkningsanmälan</t>
        </is>
      </c>
      <c r="C27" t="inlineStr">
        <is>
          <t>Föryngringsavverkning</t>
        </is>
      </c>
      <c r="D27" s="1" t="n">
        <v>44518</v>
      </c>
      <c r="E27" s="1" t="n">
        <v>46305</v>
      </c>
      <c r="F27" t="inlineStr">
        <is>
          <t>UPPSALA LÄN</t>
        </is>
      </c>
      <c r="G27" t="inlineStr">
        <is>
          <t>KNIVSTA</t>
        </is>
      </c>
      <c r="I27" t="n">
        <v>8.300000000000001</v>
      </c>
      <c r="J27" t="n">
        <v>0</v>
      </c>
      <c r="K27" t="n">
        <v>0</v>
      </c>
      <c r="L27" t="n">
        <v>0</v>
      </c>
      <c r="M27" t="n">
        <v>1</v>
      </c>
      <c r="N27" t="n">
        <v>0</v>
      </c>
      <c r="O27" t="n">
        <v>0</v>
      </c>
      <c r="P27" t="n">
        <v>0</v>
      </c>
      <c r="Q27" t="n">
        <v>1</v>
      </c>
      <c r="R27" t="n">
        <v>1</v>
      </c>
      <c r="S27" t="n">
        <v>1</v>
      </c>
      <c r="T27" t="n">
        <v>1</v>
      </c>
      <c r="U27" t="n">
        <v>1</v>
      </c>
      <c r="V27" s="2" t="inlineStr">
        <is>
          <t>Silverblåvinge</t>
        </is>
      </c>
      <c r="W27">
        <f>HYPERLINK("https://klasma.github.io/Logging_0330/artfynd/A 66305-2021 artfynd.xlsx", "A 66305-2021")</f>
        <v/>
      </c>
      <c r="X27">
        <f>HYPERLINK("https://klasma.github.io/Logging_0330/kartor/A 66305-2021 karta.png", "A 66305-2021")</f>
        <v/>
      </c>
      <c r="Y27">
        <f>HYPERLINK("https://klasma.github.io/Logging_0330/kartor_geotiff/A 66305-2021 georefererad karta.tif", "A 66305-2021")</f>
        <v/>
      </c>
      <c r="AA27">
        <f>HYPERLINK("https://klasma.github.io/Logging_0330/klagomål/A 66305-2021 FSC-klagomål.docx", "A 66305-2021")</f>
        <v/>
      </c>
      <c r="AB27">
        <f>HYPERLINK("https://klasma.github.io/Logging_0330/klagomålsmail/A 66305-2021 FSC-klagomål mail.docx", "A 66305-2021")</f>
        <v/>
      </c>
      <c r="AC27">
        <f>HYPERLINK("https://klasma.github.io/Logging_0330/tillsyn/A 66305-2021 tillsynsbegäran.docx", "A 66305-2021")</f>
        <v/>
      </c>
      <c r="AD27">
        <f>HYPERLINK("https://klasma.github.io/Logging_0330/tillsynsmail/A 66305-2021 tillsynsbegäran mail.docx", "A 66305-2021")</f>
        <v/>
      </c>
    </row>
    <row r="28" ht="15" customHeight="1">
      <c r="A28" t="inlineStr">
        <is>
          <t>A 33770-2023</t>
        </is>
      </c>
      <c r="B28" t="inlineStr">
        <is>
          <t>avverkningsanmälan</t>
        </is>
      </c>
      <c r="C28" t="inlineStr">
        <is>
          <t>Föryngringsavverkning</t>
        </is>
      </c>
      <c r="D28" s="1" t="n">
        <v>45133</v>
      </c>
      <c r="E28" s="1" t="n">
        <v>46305</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5402-2023</t>
        </is>
      </c>
      <c r="B29" t="inlineStr">
        <is>
          <t>avverkningsanmälan</t>
        </is>
      </c>
      <c r="C29" t="inlineStr">
        <is>
          <t>Föryngringsavverkning</t>
        </is>
      </c>
      <c r="D29" s="1" t="n">
        <v>44959</v>
      </c>
      <c r="E29" s="1" t="n">
        <v>46305</v>
      </c>
      <c r="F29" t="inlineStr">
        <is>
          <t>UPPSALA LÄN</t>
        </is>
      </c>
      <c r="G29" t="inlineStr">
        <is>
          <t>KNIVSTA</t>
        </is>
      </c>
      <c r="I29" t="n">
        <v>4.3</v>
      </c>
      <c r="J29" t="n">
        <v>0</v>
      </c>
      <c r="K29" t="n">
        <v>0</v>
      </c>
      <c r="L29" t="n">
        <v>0</v>
      </c>
      <c r="M29" t="n">
        <v>1</v>
      </c>
      <c r="N29" t="n">
        <v>0</v>
      </c>
      <c r="O29" t="n">
        <v>0</v>
      </c>
      <c r="P29" t="n">
        <v>0</v>
      </c>
      <c r="Q29" t="n">
        <v>1</v>
      </c>
      <c r="R29" t="n">
        <v>1</v>
      </c>
      <c r="S29" t="n">
        <v>1</v>
      </c>
      <c r="T29" t="n">
        <v>1</v>
      </c>
      <c r="U29" t="n">
        <v>0</v>
      </c>
      <c r="V29" s="2" t="inlineStr">
        <is>
          <t>Askfingersvamp</t>
        </is>
      </c>
      <c r="W29">
        <f>HYPERLINK("https://klasma.github.io/Logging_0330/artfynd/A 5402-2023 artfynd.xlsx", "A 5402-2023")</f>
        <v/>
      </c>
      <c r="X29">
        <f>HYPERLINK("https://klasma.github.io/Logging_0330/kartor/A 5402-2023 karta.png", "A 5402-2023")</f>
        <v/>
      </c>
      <c r="Y29">
        <f>HYPERLINK("https://klasma.github.io/Logging_0330/kartor_geotiff/A 5402-2023 georefererad karta.tif", "A 5402-2023")</f>
        <v/>
      </c>
      <c r="AA29">
        <f>HYPERLINK("https://klasma.github.io/Logging_0330/klagomål/A 5402-2023 FSC-klagomål.docx", "A 5402-2023")</f>
        <v/>
      </c>
      <c r="AB29">
        <f>HYPERLINK("https://klasma.github.io/Logging_0330/klagomålsmail/A 5402-2023 FSC-klagomål mail.docx", "A 5402-2023")</f>
        <v/>
      </c>
      <c r="AC29">
        <f>HYPERLINK("https://klasma.github.io/Logging_0330/tillsyn/A 5402-2023 tillsynsbegäran.docx", "A 5402-2023")</f>
        <v/>
      </c>
      <c r="AD29">
        <f>HYPERLINK("https://klasma.github.io/Logging_0330/tillsynsmail/A 5402-2023 tillsynsbegäran mail.docx", "A 5402-2023")</f>
        <v/>
      </c>
    </row>
    <row r="30" ht="15" customHeight="1">
      <c r="A30" t="inlineStr">
        <is>
          <t>A 666-2026</t>
        </is>
      </c>
      <c r="B30" t="inlineStr">
        <is>
          <t>avverkningsanmälan</t>
        </is>
      </c>
      <c r="C30" t="inlineStr">
        <is>
          <t>Föryngringsavverkning</t>
        </is>
      </c>
      <c r="D30" s="1" t="n">
        <v>46029</v>
      </c>
      <c r="E30" s="1" t="n">
        <v>46305</v>
      </c>
      <c r="F30" t="inlineStr">
        <is>
          <t>UPPSALA LÄN</t>
        </is>
      </c>
      <c r="G30" t="inlineStr">
        <is>
          <t>KNIVSTA</t>
        </is>
      </c>
      <c r="I30" t="n">
        <v>1.8</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HYPERLINK("https://klasma.github.io/Logging_0330/artfynd/A 666-2026 artfynd.xlsx", "A 666-2026")</f>
        <v/>
      </c>
      <c r="X30">
        <f>HYPERLINK("https://klasma.github.io/Logging_0330/kartor/A 666-2026 karta.png", "A 666-2026")</f>
        <v/>
      </c>
      <c r="Y30">
        <f>HYPERLINK("https://klasma.github.io/Logging_0330/kartor_geotiff/A 666-2026 georefererad karta.tif", "A 666-2026")</f>
        <v/>
      </c>
      <c r="AA30">
        <f>HYPERLINK("https://klasma.github.io/Logging_0330/klagomål/A 666-2026 FSC-klagomål.docx", "A 666-2026")</f>
        <v/>
      </c>
      <c r="AB30">
        <f>HYPERLINK("https://klasma.github.io/Logging_0330/klagomålsmail/A 666-2026 FSC-klagomål mail.docx", "A 666-2026")</f>
        <v/>
      </c>
      <c r="AC30">
        <f>HYPERLINK("https://klasma.github.io/Logging_0330/tillsyn/A 666-2026 tillsynsbegäran.docx", "A 666-2026")</f>
        <v/>
      </c>
      <c r="AD30">
        <f>HYPERLINK("https://klasma.github.io/Logging_0330/tillsynsmail/A 666-2026 tillsynsbegäran mail.docx", "A 666-2026")</f>
        <v/>
      </c>
      <c r="AE30">
        <f>HYPERLINK("https://klasma.github.io/Logging_0330/fåglar/A 666-2026 prioriterade fågelarter.docx", "A 666-2026")</f>
        <v/>
      </c>
    </row>
    <row r="31" ht="15" customHeight="1">
      <c r="A31" t="inlineStr">
        <is>
          <t>A 3836-2026</t>
        </is>
      </c>
      <c r="B31" t="inlineStr">
        <is>
          <t>avverkningsanmälan</t>
        </is>
      </c>
      <c r="C31" t="inlineStr">
        <is>
          <t>Föryngringsavverkning</t>
        </is>
      </c>
      <c r="D31" s="1" t="n">
        <v>46043</v>
      </c>
      <c r="E31" s="1" t="n">
        <v>46305</v>
      </c>
      <c r="F31" t="inlineStr">
        <is>
          <t>UPPSALA LÄN</t>
        </is>
      </c>
      <c r="G31" t="inlineStr">
        <is>
          <t>KNIVSTA</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3836-2026 artfynd.xlsx", "A 3836-2026")</f>
        <v/>
      </c>
      <c r="X31">
        <f>HYPERLINK("https://klasma.github.io/Logging_0330/kartor/A 3836-2026 karta.png", "A 3836-2026")</f>
        <v/>
      </c>
      <c r="Y31">
        <f>HYPERLINK("https://klasma.github.io/Logging_0330/kartor_geotiff/A 3836-2026 georefererad karta.tif", "A 3836-2026")</f>
        <v/>
      </c>
      <c r="AA31">
        <f>HYPERLINK("https://klasma.github.io/Logging_0330/klagomål/A 3836-2026 FSC-klagomål.docx", "A 3836-2026")</f>
        <v/>
      </c>
      <c r="AB31">
        <f>HYPERLINK("https://klasma.github.io/Logging_0330/klagomålsmail/A 3836-2026 FSC-klagomål mail.docx", "A 3836-2026")</f>
        <v/>
      </c>
      <c r="AC31">
        <f>HYPERLINK("https://klasma.github.io/Logging_0330/tillsyn/A 3836-2026 tillsynsbegäran.docx", "A 3836-2026")</f>
        <v/>
      </c>
      <c r="AD31">
        <f>HYPERLINK("https://klasma.github.io/Logging_0330/tillsynsmail/A 3836-2026 tillsynsbegäran mail.docx", "A 3836-2026")</f>
        <v/>
      </c>
      <c r="AE31">
        <f>HYPERLINK("https://klasma.github.io/Logging_0330/fåglar/A 3836-2026 prioriterade fågelarter.docx", "A 3836-2026")</f>
        <v/>
      </c>
    </row>
    <row r="32" ht="15" customHeight="1">
      <c r="A32" t="inlineStr">
        <is>
          <t>A 9561-2026</t>
        </is>
      </c>
      <c r="B32" t="inlineStr">
        <is>
          <t>avverkningsanmälan</t>
        </is>
      </c>
      <c r="C32" t="inlineStr">
        <is>
          <t>Föryngringsavverkning</t>
        </is>
      </c>
      <c r="D32" s="1" t="n">
        <v>46071</v>
      </c>
      <c r="E32" s="1" t="n">
        <v>46305</v>
      </c>
      <c r="F32" t="inlineStr">
        <is>
          <t>UPPSALA LÄN</t>
        </is>
      </c>
      <c r="G32" t="inlineStr">
        <is>
          <t>KNIVSTA</t>
        </is>
      </c>
      <c r="H32" t="inlineStr">
        <is>
          <t>Övriga statliga verk och myndigheter</t>
        </is>
      </c>
      <c r="I32" t="n">
        <v>2.6</v>
      </c>
      <c r="J32" t="n">
        <v>0</v>
      </c>
      <c r="K32" t="n">
        <v>0</v>
      </c>
      <c r="L32" t="n">
        <v>1</v>
      </c>
      <c r="M32" t="n">
        <v>0</v>
      </c>
      <c r="N32" t="n">
        <v>0</v>
      </c>
      <c r="O32" t="n">
        <v>0</v>
      </c>
      <c r="P32" t="n">
        <v>0</v>
      </c>
      <c r="Q32" t="n">
        <v>1</v>
      </c>
      <c r="R32" t="n">
        <v>0</v>
      </c>
      <c r="S32" t="n">
        <v>1</v>
      </c>
      <c r="T32" t="n">
        <v>1</v>
      </c>
      <c r="U32" t="n">
        <v>0</v>
      </c>
      <c r="V32" s="2" t="inlineStr">
        <is>
          <t>Svartöra</t>
        </is>
      </c>
      <c r="W32">
        <f>HYPERLINK("https://klasma.github.io/Logging_0330/artfynd/A 9561-2026 artfynd.xlsx", "A 9561-2026")</f>
        <v/>
      </c>
      <c r="X32">
        <f>HYPERLINK("https://klasma.github.io/Logging_0330/kartor/A 9561-2026 karta.png", "A 9561-2026")</f>
        <v/>
      </c>
      <c r="Y32">
        <f>HYPERLINK("https://klasma.github.io/Logging_0330/kartor_geotiff/A 9561-2026 georefererad karta.tif", "A 9561-2026")</f>
        <v/>
      </c>
      <c r="AA32">
        <f>HYPERLINK("https://klasma.github.io/Logging_0330/klagomål/A 9561-2026 FSC-klagomål.docx", "A 9561-2026")</f>
        <v/>
      </c>
      <c r="AB32">
        <f>HYPERLINK("https://klasma.github.io/Logging_0330/klagomålsmail/A 9561-2026 FSC-klagomål mail.docx", "A 9561-2026")</f>
        <v/>
      </c>
      <c r="AC32">
        <f>HYPERLINK("https://klasma.github.io/Logging_0330/tillsyn/A 9561-2026 tillsynsbegäran.docx", "A 9561-2026")</f>
        <v/>
      </c>
      <c r="AD32">
        <f>HYPERLINK("https://klasma.github.io/Logging_0330/tillsynsmail/A 9561-2026 tillsynsbegäran mail.docx", "A 9561-2026")</f>
        <v/>
      </c>
    </row>
    <row r="33" ht="15" customHeight="1">
      <c r="A33" t="inlineStr">
        <is>
          <t>A 12991-2026</t>
        </is>
      </c>
      <c r="B33" t="inlineStr">
        <is>
          <t>avverkningsanmälan</t>
        </is>
      </c>
      <c r="C33" t="inlineStr">
        <is>
          <t>Föryngringsavverkning</t>
        </is>
      </c>
      <c r="D33" s="1" t="n">
        <v>46092</v>
      </c>
      <c r="E33" s="1" t="n">
        <v>46305</v>
      </c>
      <c r="F33" t="inlineStr">
        <is>
          <t>UPPSALA LÄN</t>
        </is>
      </c>
      <c r="G33" t="inlineStr">
        <is>
          <t>KNIVSTA</t>
        </is>
      </c>
      <c r="H33" t="inlineStr">
        <is>
          <t>Holmen skog AB</t>
        </is>
      </c>
      <c r="I33" t="n">
        <v>4.6</v>
      </c>
      <c r="J33" t="n">
        <v>1</v>
      </c>
      <c r="K33" t="n">
        <v>0</v>
      </c>
      <c r="L33" t="n">
        <v>0</v>
      </c>
      <c r="M33" t="n">
        <v>0</v>
      </c>
      <c r="N33" t="n">
        <v>0</v>
      </c>
      <c r="O33" t="n">
        <v>0</v>
      </c>
      <c r="P33" t="n">
        <v>0</v>
      </c>
      <c r="Q33" t="n">
        <v>0</v>
      </c>
      <c r="R33" t="n">
        <v>0</v>
      </c>
      <c r="S33" t="n">
        <v>1</v>
      </c>
      <c r="T33" t="n">
        <v>1</v>
      </c>
      <c r="U33" t="n">
        <v>1</v>
      </c>
      <c r="V33" s="2" t="inlineStr">
        <is>
          <t>Tjäder</t>
        </is>
      </c>
      <c r="W33">
        <f>HYPERLINK("https://klasma.github.io/Logging_0330/artfynd/A 12991-2026 artfynd.xlsx", "A 12991-2026")</f>
        <v/>
      </c>
      <c r="X33">
        <f>HYPERLINK("https://klasma.github.io/Logging_0330/kartor/A 12991-2026 karta.png", "A 12991-2026")</f>
        <v/>
      </c>
      <c r="Y33">
        <f>HYPERLINK("https://klasma.github.io/Logging_0330/kartor_geotiff/A 12991-2026 georefererad karta.tif", "A 12991-2026")</f>
        <v/>
      </c>
      <c r="AA33">
        <f>HYPERLINK("https://klasma.github.io/Logging_0330/klagomål/A 12991-2026 FSC-klagomål.docx", "A 12991-2026")</f>
        <v/>
      </c>
      <c r="AB33">
        <f>HYPERLINK("https://klasma.github.io/Logging_0330/klagomålsmail/A 12991-2026 FSC-klagomål mail.docx", "A 12991-2026")</f>
        <v/>
      </c>
      <c r="AC33">
        <f>HYPERLINK("https://klasma.github.io/Logging_0330/tillsyn/A 12991-2026 tillsynsbegäran.docx", "A 12991-2026")</f>
        <v/>
      </c>
      <c r="AD33">
        <f>HYPERLINK("https://klasma.github.io/Logging_0330/tillsynsmail/A 12991-2026 tillsynsbegäran mail.docx", "A 12991-2026")</f>
        <v/>
      </c>
      <c r="AE33">
        <f>HYPERLINK("https://klasma.github.io/Logging_0330/fåglar/A 12991-2026 prioriterade fågelarter.docx", "A 12991-2026")</f>
        <v/>
      </c>
    </row>
    <row r="34" ht="15" customHeight="1">
      <c r="A34" t="inlineStr">
        <is>
          <t>A 13002-2026</t>
        </is>
      </c>
      <c r="B34" t="inlineStr">
        <is>
          <t>avverkningsanmälan</t>
        </is>
      </c>
      <c r="C34" t="inlineStr">
        <is>
          <t>Föryngringsavverkning</t>
        </is>
      </c>
      <c r="D34" s="1" t="n">
        <v>46092</v>
      </c>
      <c r="E34" s="1" t="n">
        <v>46305</v>
      </c>
      <c r="F34" t="inlineStr">
        <is>
          <t>UPPSALA LÄN</t>
        </is>
      </c>
      <c r="G34" t="inlineStr">
        <is>
          <t>KNIVSTA</t>
        </is>
      </c>
      <c r="H34" t="inlineStr">
        <is>
          <t>Holmen skog AB</t>
        </is>
      </c>
      <c r="I34" t="n">
        <v>0.7</v>
      </c>
      <c r="J34" t="n">
        <v>1</v>
      </c>
      <c r="K34" t="n">
        <v>0</v>
      </c>
      <c r="L34" t="n">
        <v>0</v>
      </c>
      <c r="M34" t="n">
        <v>1</v>
      </c>
      <c r="N34" t="n">
        <v>0</v>
      </c>
      <c r="O34" t="n">
        <v>0</v>
      </c>
      <c r="P34" t="n">
        <v>0</v>
      </c>
      <c r="Q34" t="n">
        <v>1</v>
      </c>
      <c r="R34" t="n">
        <v>1</v>
      </c>
      <c r="S34" t="n">
        <v>1</v>
      </c>
      <c r="T34" t="n">
        <v>1</v>
      </c>
      <c r="U34" t="n">
        <v>1</v>
      </c>
      <c r="V34" s="2" t="inlineStr">
        <is>
          <t>Knärot</t>
        </is>
      </c>
      <c r="W34">
        <f>HYPERLINK("https://klasma.github.io/Logging_0330/artfynd/A 13002-2026 artfynd.xlsx", "A 13002-2026")</f>
        <v/>
      </c>
      <c r="X34">
        <f>HYPERLINK("https://klasma.github.io/Logging_0330/kartor/A 13002-2026 karta.png", "A 13002-2026")</f>
        <v/>
      </c>
      <c r="Y34">
        <f>HYPERLINK("https://klasma.github.io/Logging_0330/kartor_geotiff/A 13002-2026 georefererad karta.tif", "A 13002-2026")</f>
        <v/>
      </c>
      <c r="Z34">
        <f>HYPERLINK("https://klasma.github.io/Logging_0330/knärot/A 13002-2026 karta knärot.png", "A 13002-2026")</f>
        <v/>
      </c>
      <c r="AA34">
        <f>HYPERLINK("https://klasma.github.io/Logging_0330/klagomål/A 13002-2026 FSC-klagomål.docx", "A 13002-2026")</f>
        <v/>
      </c>
      <c r="AB34">
        <f>HYPERLINK("https://klasma.github.io/Logging_0330/klagomålsmail/A 13002-2026 FSC-klagomål mail.docx", "A 13002-2026")</f>
        <v/>
      </c>
      <c r="AC34">
        <f>HYPERLINK("https://klasma.github.io/Logging_0330/tillsyn/A 13002-2026 tillsynsbegäran.docx", "A 13002-2026")</f>
        <v/>
      </c>
      <c r="AD34">
        <f>HYPERLINK("https://klasma.github.io/Logging_0330/tillsynsmail/A 13002-2026 tillsynsbegäran mail.docx", "A 13002-2026")</f>
        <v/>
      </c>
    </row>
    <row r="35" ht="15" customHeight="1">
      <c r="A35" t="inlineStr">
        <is>
          <t>A 13380-2026</t>
        </is>
      </c>
      <c r="B35" t="inlineStr">
        <is>
          <t>avverkningsanmälan</t>
        </is>
      </c>
      <c r="C35" t="inlineStr">
        <is>
          <t>Föryngringsavverkning</t>
        </is>
      </c>
      <c r="D35" s="1" t="n">
        <v>46094</v>
      </c>
      <c r="E35" s="1" t="n">
        <v>46305</v>
      </c>
      <c r="F35" t="inlineStr">
        <is>
          <t>UPPSALA LÄN</t>
        </is>
      </c>
      <c r="G35" t="inlineStr">
        <is>
          <t>KNIVSTA</t>
        </is>
      </c>
      <c r="I35" t="n">
        <v>1.7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HYPERLINK("https://klasma.github.io/Logging_0330/artfynd/A 13380-2026 artfynd.xlsx", "A 13380-2026")</f>
        <v/>
      </c>
      <c r="X35">
        <f>HYPERLINK("https://klasma.github.io/Logging_0330/kartor/A 13380-2026 karta.png", "A 13380-2026")</f>
        <v/>
      </c>
      <c r="Y35">
        <f>HYPERLINK("https://klasma.github.io/Logging_0330/kartor_geotiff/A 13380-2026 georefererad karta.tif", "A 13380-2026")</f>
        <v/>
      </c>
      <c r="AA35">
        <f>HYPERLINK("https://klasma.github.io/Logging_0330/klagomål/A 13380-2026 FSC-klagomål.docx", "A 13380-2026")</f>
        <v/>
      </c>
      <c r="AB35">
        <f>HYPERLINK("https://klasma.github.io/Logging_0330/klagomålsmail/A 13380-2026 FSC-klagomål mail.docx", "A 13380-2026")</f>
        <v/>
      </c>
      <c r="AC35">
        <f>HYPERLINK("https://klasma.github.io/Logging_0330/tillsyn/A 13380-2026 tillsynsbegäran.docx", "A 13380-2026")</f>
        <v/>
      </c>
      <c r="AD35">
        <f>HYPERLINK("https://klasma.github.io/Logging_0330/tillsynsmail/A 13380-2026 tillsynsbegäran mail.docx", "A 13380-2026")</f>
        <v/>
      </c>
      <c r="AE35">
        <f>HYPERLINK("https://klasma.github.io/Logging_0330/fåglar/A 13380-2026 prioriterade fågelarter.docx", "A 13380-2026")</f>
        <v/>
      </c>
    </row>
    <row r="36" ht="15" customHeight="1">
      <c r="A36" t="inlineStr">
        <is>
          <t>S 1786-2022</t>
        </is>
      </c>
      <c r="B36" t="inlineStr">
        <is>
          <t>samrådsanmälan</t>
        </is>
      </c>
      <c r="C36" t="inlineStr">
        <is>
          <t>Åtgärd i nyckelbiotop</t>
        </is>
      </c>
      <c r="D36" s="1" t="n">
        <v>44655</v>
      </c>
      <c r="E36" s="1" t="n">
        <v>46305</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46305</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46305</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46305</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46305</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46305</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18820-2022</t>
        </is>
      </c>
      <c r="B42" t="inlineStr">
        <is>
          <t>avverkningsanmälan</t>
        </is>
      </c>
      <c r="C42" t="inlineStr">
        <is>
          <t>Föryngringsavverkning</t>
        </is>
      </c>
      <c r="D42" s="1" t="n">
        <v>44690</v>
      </c>
      <c r="E42" s="1" t="n">
        <v>46305</v>
      </c>
      <c r="F42" t="inlineStr">
        <is>
          <t>UPPSALA LÄN</t>
        </is>
      </c>
      <c r="G42" t="inlineStr">
        <is>
          <t>KNIVSTA</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46305</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46305</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66256-2021</t>
        </is>
      </c>
      <c r="B45" t="inlineStr">
        <is>
          <t>avverkningsanmälan</t>
        </is>
      </c>
      <c r="C45" t="inlineStr">
        <is>
          <t>Föryngringsavverkning</t>
        </is>
      </c>
      <c r="D45" s="1" t="n">
        <v>44518</v>
      </c>
      <c r="E45" s="1" t="n">
        <v>46305</v>
      </c>
      <c r="F45" t="inlineStr">
        <is>
          <t>UPPSALA LÄN</t>
        </is>
      </c>
      <c r="G45" t="inlineStr">
        <is>
          <t>KNIVSTA</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46305</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46305</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2629-2025</t>
        </is>
      </c>
      <c r="B48" t="inlineStr">
        <is>
          <t>avverkningsanmälan</t>
        </is>
      </c>
      <c r="C48" t="inlineStr">
        <is>
          <t>Föryngringsavverkning</t>
        </is>
      </c>
      <c r="D48" s="1" t="n">
        <v>45675</v>
      </c>
      <c r="E48" s="1" t="n">
        <v>46305</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46305</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5320-2023</t>
        </is>
      </c>
      <c r="B50" t="inlineStr">
        <is>
          <t>avverkningsanmälan</t>
        </is>
      </c>
      <c r="C50" t="inlineStr">
        <is>
          <t>Föryngringsavverkning</t>
        </is>
      </c>
      <c r="D50" s="1" t="n">
        <v>44959</v>
      </c>
      <c r="E50" s="1" t="n">
        <v>46305</v>
      </c>
      <c r="F50" t="inlineStr">
        <is>
          <t>UPPSALA LÄN</t>
        </is>
      </c>
      <c r="G50" t="inlineStr">
        <is>
          <t>KNIVSTA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46305</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45916-2022</t>
        </is>
      </c>
      <c r="B52" t="inlineStr">
        <is>
          <t>avverkningsanmälan</t>
        </is>
      </c>
      <c r="C52" t="inlineStr">
        <is>
          <t>Föryngringsavverkning</t>
        </is>
      </c>
      <c r="D52" s="1" t="n">
        <v>44846</v>
      </c>
      <c r="E52" s="1" t="n">
        <v>46305</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19676-2025</t>
        </is>
      </c>
      <c r="B53" t="inlineStr">
        <is>
          <t>avverkningsanmälan</t>
        </is>
      </c>
      <c r="C53" t="inlineStr">
        <is>
          <t>Föryngringsavverkning</t>
        </is>
      </c>
      <c r="D53" s="1" t="n">
        <v>45770</v>
      </c>
      <c r="E53" s="1" t="n">
        <v>46305</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8343-2024</t>
        </is>
      </c>
      <c r="B54" t="inlineStr">
        <is>
          <t>avverkningsanmälan</t>
        </is>
      </c>
      <c r="C54" t="inlineStr">
        <is>
          <t>Föryngringsavverkning</t>
        </is>
      </c>
      <c r="D54" s="1" t="n">
        <v>45352</v>
      </c>
      <c r="E54" s="1" t="n">
        <v>46305</v>
      </c>
      <c r="F54" t="inlineStr">
        <is>
          <t>UPPSALA LÄN</t>
        </is>
      </c>
      <c r="G54" t="inlineStr">
        <is>
          <t>KNIVSTA</t>
        </is>
      </c>
      <c r="H54" t="inlineStr">
        <is>
          <t>Holmen skog AB</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17091-2023</t>
        </is>
      </c>
      <c r="B55" t="inlineStr">
        <is>
          <t>avverkningsanmälan</t>
        </is>
      </c>
      <c r="C55" t="inlineStr">
        <is>
          <t>Föryngringsavverkning</t>
        </is>
      </c>
      <c r="D55" s="1" t="n">
        <v>45034</v>
      </c>
      <c r="E55" s="1" t="n">
        <v>46305</v>
      </c>
      <c r="F55" t="inlineStr">
        <is>
          <t>UPPSALA LÄN</t>
        </is>
      </c>
      <c r="G55" t="inlineStr">
        <is>
          <t>KNIVSTA</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30627-2023</t>
        </is>
      </c>
      <c r="B56" t="inlineStr">
        <is>
          <t>avverkningsanmälan</t>
        </is>
      </c>
      <c r="C56" t="inlineStr">
        <is>
          <t>Föryngringsavverkning</t>
        </is>
      </c>
      <c r="D56" s="1" t="n">
        <v>45112</v>
      </c>
      <c r="E56" s="1" t="n">
        <v>46305</v>
      </c>
      <c r="F56" t="inlineStr">
        <is>
          <t>UPPSALA LÄN</t>
        </is>
      </c>
      <c r="G56" t="inlineStr">
        <is>
          <t>KNIVSTA</t>
        </is>
      </c>
      <c r="H56" t="inlineStr">
        <is>
          <t>Holmen skog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1629-2024</t>
        </is>
      </c>
      <c r="B57" t="inlineStr">
        <is>
          <t>avverkningsanmälan</t>
        </is>
      </c>
      <c r="C57" t="inlineStr">
        <is>
          <t>Föryngringsavverkning</t>
        </is>
      </c>
      <c r="D57" s="1" t="n">
        <v>45306</v>
      </c>
      <c r="E57" s="1" t="n">
        <v>46305</v>
      </c>
      <c r="F57" t="inlineStr">
        <is>
          <t>UPPSALA LÄN</t>
        </is>
      </c>
      <c r="G57" t="inlineStr">
        <is>
          <t>KNIVSTA</t>
        </is>
      </c>
      <c r="H57" t="inlineStr">
        <is>
          <t>Holmen skog AB</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794-2024</t>
        </is>
      </c>
      <c r="B58" t="inlineStr">
        <is>
          <t>avverkningsanmälan</t>
        </is>
      </c>
      <c r="C58" t="inlineStr">
        <is>
          <t>Föryngringsavverkning</t>
        </is>
      </c>
      <c r="D58" s="1" t="n">
        <v>45300</v>
      </c>
      <c r="E58" s="1" t="n">
        <v>46305</v>
      </c>
      <c r="F58" t="inlineStr">
        <is>
          <t>UPPSALA LÄN</t>
        </is>
      </c>
      <c r="G58" t="inlineStr">
        <is>
          <t>KNIVSTA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46305</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46305</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46305</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20902-2024</t>
        </is>
      </c>
      <c r="B62" t="inlineStr">
        <is>
          <t>avverkningsanmälan</t>
        </is>
      </c>
      <c r="C62" t="inlineStr">
        <is>
          <t>Föryngringsavverkning</t>
        </is>
      </c>
      <c r="D62" s="1" t="n">
        <v>45439</v>
      </c>
      <c r="E62" s="1" t="n">
        <v>46305</v>
      </c>
      <c r="F62" t="inlineStr">
        <is>
          <t>UPPSALA LÄN</t>
        </is>
      </c>
      <c r="G62" t="inlineStr">
        <is>
          <t>KNIVSTA</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30351-2022</t>
        </is>
      </c>
      <c r="B63" t="inlineStr">
        <is>
          <t>avverkningsanmälan</t>
        </is>
      </c>
      <c r="C63" t="inlineStr">
        <is>
          <t>Föryngringsavverkning</t>
        </is>
      </c>
      <c r="D63" s="1" t="n">
        <v>44757</v>
      </c>
      <c r="E63" s="1" t="n">
        <v>46305</v>
      </c>
      <c r="F63" t="inlineStr">
        <is>
          <t>UPPSALA LÄN</t>
        </is>
      </c>
      <c r="G63" t="inlineStr">
        <is>
          <t>KNIVSTA</t>
        </is>
      </c>
      <c r="I63" t="n">
        <v>5.7</v>
      </c>
      <c r="J63" t="n">
        <v>0</v>
      </c>
      <c r="K63" t="n">
        <v>0</v>
      </c>
      <c r="L63" t="n">
        <v>0</v>
      </c>
      <c r="M63" t="n">
        <v>0</v>
      </c>
      <c r="N63" t="n">
        <v>0</v>
      </c>
      <c r="O63" t="n">
        <v>0</v>
      </c>
      <c r="P63" t="n">
        <v>0</v>
      </c>
      <c r="Q63" t="n">
        <v>0</v>
      </c>
      <c r="R63" t="n">
        <v>0</v>
      </c>
      <c r="S63" t="n">
        <v>0</v>
      </c>
      <c r="T63" t="n">
        <v>0</v>
      </c>
      <c r="U63" t="n">
        <v>0</v>
      </c>
      <c r="V63" s="2" t="inlineStr"/>
    </row>
    <row r="64" ht="15" customHeight="1">
      <c r="A64" t="inlineStr">
        <is>
          <t>A 45525-2023</t>
        </is>
      </c>
      <c r="B64" t="inlineStr">
        <is>
          <t>avverkningsanmälan</t>
        </is>
      </c>
      <c r="C64" t="inlineStr">
        <is>
          <t>Avverkning för annat ändamål</t>
        </is>
      </c>
      <c r="D64" s="1" t="n">
        <v>45194</v>
      </c>
      <c r="E64" s="1" t="n">
        <v>46305</v>
      </c>
      <c r="F64" t="inlineStr">
        <is>
          <t>UPPSALA LÄN</t>
        </is>
      </c>
      <c r="G64" t="inlineStr">
        <is>
          <t>KNIVSTA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46305</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11450-2023</t>
        </is>
      </c>
      <c r="B66" t="inlineStr">
        <is>
          <t>avverkningsanmälan</t>
        </is>
      </c>
      <c r="C66" t="inlineStr">
        <is>
          <t>Föryngringsavverkning</t>
        </is>
      </c>
      <c r="D66" s="1" t="n">
        <v>44993</v>
      </c>
      <c r="E66" s="1" t="n">
        <v>46305</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46305</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31875-2022</t>
        </is>
      </c>
      <c r="B68" t="inlineStr">
        <is>
          <t>avverkningsanmälan</t>
        </is>
      </c>
      <c r="C68" t="inlineStr">
        <is>
          <t>Föryngringsavverkning</t>
        </is>
      </c>
      <c r="D68" s="1" t="n">
        <v>44777</v>
      </c>
      <c r="E68" s="1" t="n">
        <v>46305</v>
      </c>
      <c r="F68" t="inlineStr">
        <is>
          <t>UPPSALA LÄN</t>
        </is>
      </c>
      <c r="G68" t="inlineStr">
        <is>
          <t>KNIVSTA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16773-2022</t>
        </is>
      </c>
      <c r="B69" t="inlineStr">
        <is>
          <t>avverkningsanmälan</t>
        </is>
      </c>
      <c r="C69" t="inlineStr">
        <is>
          <t>Avverkning för annat ändamål</t>
        </is>
      </c>
      <c r="D69" s="1" t="n">
        <v>44673</v>
      </c>
      <c r="E69" s="1" t="n">
        <v>46305</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30764-2023</t>
        </is>
      </c>
      <c r="B70" t="inlineStr">
        <is>
          <t>avverkningsanmälan</t>
        </is>
      </c>
      <c r="C70" t="inlineStr">
        <is>
          <t>Föryngringsavverkning</t>
        </is>
      </c>
      <c r="D70" s="1" t="n">
        <v>45112</v>
      </c>
      <c r="E70" s="1" t="n">
        <v>46305</v>
      </c>
      <c r="F70" t="inlineStr">
        <is>
          <t>UPPSALA LÄN</t>
        </is>
      </c>
      <c r="G70" t="inlineStr">
        <is>
          <t>KNIVSTA</t>
        </is>
      </c>
      <c r="H70" t="inlineStr">
        <is>
          <t>Holmen skog AB</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51849-2023</t>
        </is>
      </c>
      <c r="B71" t="inlineStr">
        <is>
          <t>avverkningsanmälan</t>
        </is>
      </c>
      <c r="C71" t="inlineStr">
        <is>
          <t>Föryngringsavverkning</t>
        </is>
      </c>
      <c r="D71" s="1" t="n">
        <v>45223</v>
      </c>
      <c r="E71" s="1" t="n">
        <v>46305</v>
      </c>
      <c r="F71" t="inlineStr">
        <is>
          <t>UPPSALA LÄN</t>
        </is>
      </c>
      <c r="G71" t="inlineStr">
        <is>
          <t>KNIVSTA</t>
        </is>
      </c>
      <c r="I71" t="n">
        <v>16.3</v>
      </c>
      <c r="J71" t="n">
        <v>0</v>
      </c>
      <c r="K71" t="n">
        <v>0</v>
      </c>
      <c r="L71" t="n">
        <v>0</v>
      </c>
      <c r="M71" t="n">
        <v>0</v>
      </c>
      <c r="N71" t="n">
        <v>0</v>
      </c>
      <c r="O71" t="n">
        <v>0</v>
      </c>
      <c r="P71" t="n">
        <v>0</v>
      </c>
      <c r="Q71" t="n">
        <v>0</v>
      </c>
      <c r="R71" t="n">
        <v>0</v>
      </c>
      <c r="S71" t="n">
        <v>0</v>
      </c>
      <c r="T71" t="n">
        <v>0</v>
      </c>
      <c r="U71" t="n">
        <v>0</v>
      </c>
      <c r="V71" s="2" t="inlineStr"/>
    </row>
    <row r="72" ht="15" customHeight="1">
      <c r="A72" t="inlineStr">
        <is>
          <t>A 60018-2024</t>
        </is>
      </c>
      <c r="B72" t="inlineStr">
        <is>
          <t>avverkningsanmälan</t>
        </is>
      </c>
      <c r="C72" t="inlineStr">
        <is>
          <t>Föryngringsavverkning</t>
        </is>
      </c>
      <c r="D72" s="1" t="n">
        <v>45642</v>
      </c>
      <c r="E72" s="1" t="n">
        <v>46305</v>
      </c>
      <c r="F72" t="inlineStr">
        <is>
          <t>UPPSALA LÄN</t>
        </is>
      </c>
      <c r="G72" t="inlineStr">
        <is>
          <t>KNIVSTA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23239-2023</t>
        </is>
      </c>
      <c r="B73" t="inlineStr">
        <is>
          <t>avverkningsanmälan</t>
        </is>
      </c>
      <c r="C73" t="inlineStr">
        <is>
          <t>Föryngringsavverkning</t>
        </is>
      </c>
      <c r="D73" s="1" t="n">
        <v>45075</v>
      </c>
      <c r="E73" s="1" t="n">
        <v>46305</v>
      </c>
      <c r="F73" t="inlineStr">
        <is>
          <t>UPPSALA LÄN</t>
        </is>
      </c>
      <c r="G73" t="inlineStr">
        <is>
          <t>KNIVSTA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17333-2024</t>
        </is>
      </c>
      <c r="B74" t="inlineStr">
        <is>
          <t>avverkningsanmälan</t>
        </is>
      </c>
      <c r="C74" t="inlineStr">
        <is>
          <t>Föryngringsavverkning</t>
        </is>
      </c>
      <c r="D74" s="1" t="n">
        <v>45414</v>
      </c>
      <c r="E74" s="1" t="n">
        <v>46305</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1791-2024</t>
        </is>
      </c>
      <c r="B75" t="inlineStr">
        <is>
          <t>avverkningsanmälan</t>
        </is>
      </c>
      <c r="C75" t="inlineStr">
        <is>
          <t>Föryngringsavverkning</t>
        </is>
      </c>
      <c r="D75" s="1" t="n">
        <v>45307</v>
      </c>
      <c r="E75" s="1" t="n">
        <v>46305</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34864-2025</t>
        </is>
      </c>
      <c r="B76" t="inlineStr">
        <is>
          <t>avverkningsanmälan</t>
        </is>
      </c>
      <c r="C76" t="inlineStr">
        <is>
          <t>Föryngringsavverkning</t>
        </is>
      </c>
      <c r="D76" s="1" t="n">
        <v>45849</v>
      </c>
      <c r="E76" s="1" t="n">
        <v>46305</v>
      </c>
      <c r="F76" t="inlineStr">
        <is>
          <t>UPPSALA LÄN</t>
        </is>
      </c>
      <c r="G76" t="inlineStr">
        <is>
          <t>KNIVSTA</t>
        </is>
      </c>
      <c r="H76" t="inlineStr">
        <is>
          <t>Holmen skog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35318-2025</t>
        </is>
      </c>
      <c r="B77" t="inlineStr">
        <is>
          <t>avverkningsanmälan</t>
        </is>
      </c>
      <c r="C77" t="inlineStr">
        <is>
          <t>Föryngringsavverkning</t>
        </is>
      </c>
      <c r="D77" s="1" t="n">
        <v>45854</v>
      </c>
      <c r="E77" s="1" t="n">
        <v>46305</v>
      </c>
      <c r="F77" t="inlineStr">
        <is>
          <t>UPPSALA LÄN</t>
        </is>
      </c>
      <c r="G77" t="inlineStr">
        <is>
          <t>KNIVSTA</t>
        </is>
      </c>
      <c r="H77" t="inlineStr">
        <is>
          <t>Holmen skog AB</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36473-2025</t>
        </is>
      </c>
      <c r="B78" t="inlineStr">
        <is>
          <t>avverkningsanmälan</t>
        </is>
      </c>
      <c r="C78" t="inlineStr">
        <is>
          <t>Föryngringsavverkning</t>
        </is>
      </c>
      <c r="D78" s="1" t="n">
        <v>45869</v>
      </c>
      <c r="E78" s="1" t="n">
        <v>46305</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66293-2021</t>
        </is>
      </c>
      <c r="B79" t="inlineStr">
        <is>
          <t>avverkningsanmälan</t>
        </is>
      </c>
      <c r="C79" t="inlineStr">
        <is>
          <t>Föryngringsavverkning</t>
        </is>
      </c>
      <c r="D79" s="1" t="n">
        <v>44518</v>
      </c>
      <c r="E79" s="1" t="n">
        <v>46305</v>
      </c>
      <c r="F79" t="inlineStr">
        <is>
          <t>UPPSALA LÄN</t>
        </is>
      </c>
      <c r="G79" t="inlineStr">
        <is>
          <t>KNIVSTA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2628-2025</t>
        </is>
      </c>
      <c r="B80" t="inlineStr">
        <is>
          <t>avverkningsanmälan</t>
        </is>
      </c>
      <c r="C80" t="inlineStr">
        <is>
          <t>Föryngringsavverkning</t>
        </is>
      </c>
      <c r="D80" s="1" t="n">
        <v>45675</v>
      </c>
      <c r="E80" s="1" t="n">
        <v>46305</v>
      </c>
      <c r="F80" t="inlineStr">
        <is>
          <t>UPPSALA LÄN</t>
        </is>
      </c>
      <c r="G80" t="inlineStr">
        <is>
          <t>KNIVSTA</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60243-2025</t>
        </is>
      </c>
      <c r="B81" t="inlineStr">
        <is>
          <t>avverkningsanmälan</t>
        </is>
      </c>
      <c r="C81" t="inlineStr">
        <is>
          <t>Föryngringsavverkning</t>
        </is>
      </c>
      <c r="D81" s="1" t="n">
        <v>45994</v>
      </c>
      <c r="E81" s="1" t="n">
        <v>46305</v>
      </c>
      <c r="F81" t="inlineStr">
        <is>
          <t>UPPSALA LÄN</t>
        </is>
      </c>
      <c r="G81" t="inlineStr">
        <is>
          <t>KNIVSTA</t>
        </is>
      </c>
      <c r="H81" t="inlineStr">
        <is>
          <t>Holmen skog AB</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11452-2023</t>
        </is>
      </c>
      <c r="B82" t="inlineStr">
        <is>
          <t>avverkningsanmälan</t>
        </is>
      </c>
      <c r="C82" t="inlineStr">
        <is>
          <t>Föryngringsavverkning</t>
        </is>
      </c>
      <c r="D82" s="1" t="n">
        <v>44993</v>
      </c>
      <c r="E82" s="1" t="n">
        <v>46305</v>
      </c>
      <c r="F82" t="inlineStr">
        <is>
          <t>UPPSALA LÄN</t>
        </is>
      </c>
      <c r="G82" t="inlineStr">
        <is>
          <t>KNIVSTA</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43908-2023</t>
        </is>
      </c>
      <c r="B83" t="inlineStr">
        <is>
          <t>avverkningsanmälan</t>
        </is>
      </c>
      <c r="C83" t="inlineStr">
        <is>
          <t>Föryngringsavverkning</t>
        </is>
      </c>
      <c r="D83" s="1" t="n">
        <v>45187</v>
      </c>
      <c r="E83" s="1" t="n">
        <v>46305</v>
      </c>
      <c r="F83" t="inlineStr">
        <is>
          <t>UPPSALA LÄN</t>
        </is>
      </c>
      <c r="G83" t="inlineStr">
        <is>
          <t>KNIVSTA</t>
        </is>
      </c>
      <c r="H83" t="inlineStr">
        <is>
          <t>Kyrkan</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19774-2026</t>
        </is>
      </c>
      <c r="B84" t="inlineStr">
        <is>
          <t>avverkningsanmälan</t>
        </is>
      </c>
      <c r="C84" t="inlineStr">
        <is>
          <t>Föryngringsavverkning</t>
        </is>
      </c>
      <c r="D84" s="1" t="n">
        <v>46135</v>
      </c>
      <c r="E84" s="1" t="n">
        <v>46305</v>
      </c>
      <c r="F84" t="inlineStr">
        <is>
          <t>UPPSALA LÄN</t>
        </is>
      </c>
      <c r="G84" t="inlineStr">
        <is>
          <t>KNIVSTA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34078-2022</t>
        </is>
      </c>
      <c r="B85" t="inlineStr">
        <is>
          <t>avverkningsanmälan</t>
        </is>
      </c>
      <c r="C85" t="inlineStr">
        <is>
          <t>Föryngringsavverkning</t>
        </is>
      </c>
      <c r="D85" s="1" t="n">
        <v>44791</v>
      </c>
      <c r="E85" s="1" t="n">
        <v>46305</v>
      </c>
      <c r="F85" t="inlineStr">
        <is>
          <t>UPPSALA LÄN</t>
        </is>
      </c>
      <c r="G85" t="inlineStr">
        <is>
          <t>KNIVSTA</t>
        </is>
      </c>
      <c r="H85" t="inlineStr">
        <is>
          <t>Övriga statliga verk och myndigheter</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662-2026</t>
        </is>
      </c>
      <c r="B86" t="inlineStr">
        <is>
          <t>avverkningsanmälan</t>
        </is>
      </c>
      <c r="C86" t="inlineStr">
        <is>
          <t>Föryngringsavverkning</t>
        </is>
      </c>
      <c r="D86" s="1" t="n">
        <v>46029</v>
      </c>
      <c r="E86" s="1" t="n">
        <v>46305</v>
      </c>
      <c r="F86" t="inlineStr">
        <is>
          <t>UPPSALA LÄN</t>
        </is>
      </c>
      <c r="G86" t="inlineStr">
        <is>
          <t>KNIVSTA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52666-2025</t>
        </is>
      </c>
      <c r="B87" t="inlineStr">
        <is>
          <t>avverkningsanmälan</t>
        </is>
      </c>
      <c r="C87" t="inlineStr">
        <is>
          <t>Föryngringsavverkning</t>
        </is>
      </c>
      <c r="D87" s="1" t="n">
        <v>45955</v>
      </c>
      <c r="E87" s="1" t="n">
        <v>46305</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33974-2025</t>
        </is>
      </c>
      <c r="B88" t="inlineStr">
        <is>
          <t>avverkningsanmälan</t>
        </is>
      </c>
      <c r="C88" t="inlineStr">
        <is>
          <t>Föryngringsavverkning</t>
        </is>
      </c>
      <c r="D88" s="1" t="n">
        <v>45843</v>
      </c>
      <c r="E88" s="1" t="n">
        <v>46305</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3375-2026</t>
        </is>
      </c>
      <c r="B89" t="inlineStr">
        <is>
          <t>avverkningsanmälan</t>
        </is>
      </c>
      <c r="C89" t="inlineStr">
        <is>
          <t>Föryngringsavverkning</t>
        </is>
      </c>
      <c r="D89" s="1" t="n">
        <v>46042</v>
      </c>
      <c r="E89" s="1" t="n">
        <v>46305</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3824-2026</t>
        </is>
      </c>
      <c r="B90" t="inlineStr">
        <is>
          <t>avverkningsanmälan</t>
        </is>
      </c>
      <c r="C90" t="inlineStr">
        <is>
          <t>Föryngringsavverkning</t>
        </is>
      </c>
      <c r="D90" s="1" t="n">
        <v>46043</v>
      </c>
      <c r="E90" s="1" t="n">
        <v>46305</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26182-2022</t>
        </is>
      </c>
      <c r="B91" t="inlineStr">
        <is>
          <t>avverkningsanmälan</t>
        </is>
      </c>
      <c r="C91" t="inlineStr">
        <is>
          <t>Föryngringsavverkning</t>
        </is>
      </c>
      <c r="D91" s="1" t="n">
        <v>44735</v>
      </c>
      <c r="E91" s="1" t="n">
        <v>46305</v>
      </c>
      <c r="F91" t="inlineStr">
        <is>
          <t>UPPSALA LÄN</t>
        </is>
      </c>
      <c r="G91" t="inlineStr">
        <is>
          <t>KNIVSTA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20528-2026</t>
        </is>
      </c>
      <c r="B92" t="inlineStr">
        <is>
          <t>avverkningsanmälan</t>
        </is>
      </c>
      <c r="C92" t="inlineStr">
        <is>
          <t>Föryngringsavverkning</t>
        </is>
      </c>
      <c r="D92" s="1" t="n">
        <v>46140</v>
      </c>
      <c r="E92" s="1" t="n">
        <v>46305</v>
      </c>
      <c r="F92" t="inlineStr">
        <is>
          <t>UPPSALA LÄN</t>
        </is>
      </c>
      <c r="G92" t="inlineStr">
        <is>
          <t>KNIVSTA</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5908-2026</t>
        </is>
      </c>
      <c r="B93" t="inlineStr">
        <is>
          <t>avverkningsanmälan</t>
        </is>
      </c>
      <c r="C93" t="inlineStr">
        <is>
          <t>Föryngringsavverkning</t>
        </is>
      </c>
      <c r="D93" s="1" t="n">
        <v>46052</v>
      </c>
      <c r="E93" s="1" t="n">
        <v>46305</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5910-2026</t>
        </is>
      </c>
      <c r="B94" t="inlineStr">
        <is>
          <t>avverkningsanmälan</t>
        </is>
      </c>
      <c r="C94" t="inlineStr">
        <is>
          <t>Föryngringsavverkning</t>
        </is>
      </c>
      <c r="D94" s="1" t="n">
        <v>46052</v>
      </c>
      <c r="E94" s="1" t="n">
        <v>46305</v>
      </c>
      <c r="F94" t="inlineStr">
        <is>
          <t>UPPSALA LÄN</t>
        </is>
      </c>
      <c r="G94" t="inlineStr">
        <is>
          <t>KNIVSTA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9744-2026</t>
        </is>
      </c>
      <c r="B95" t="inlineStr">
        <is>
          <t>avverkningsanmälan</t>
        </is>
      </c>
      <c r="C95" t="inlineStr">
        <is>
          <t>Föryngringsavverkning</t>
        </is>
      </c>
      <c r="D95" s="1" t="n">
        <v>46072</v>
      </c>
      <c r="E95" s="1" t="n">
        <v>46305</v>
      </c>
      <c r="F95" t="inlineStr">
        <is>
          <t>UPPSALA LÄN</t>
        </is>
      </c>
      <c r="G95" t="inlineStr">
        <is>
          <t>KNIVSTA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12027-2026</t>
        </is>
      </c>
      <c r="B96" t="inlineStr">
        <is>
          <t>avverkningsanmälan</t>
        </is>
      </c>
      <c r="C96" t="inlineStr">
        <is>
          <t>Avverkning för annat ändamål</t>
        </is>
      </c>
      <c r="D96" s="1" t="n">
        <v>46085</v>
      </c>
      <c r="E96" s="1" t="n">
        <v>46305</v>
      </c>
      <c r="F96" t="inlineStr">
        <is>
          <t>UPPSALA LÄN</t>
        </is>
      </c>
      <c r="G96" t="inlineStr">
        <is>
          <t>KNIVSTA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12774-2026</t>
        </is>
      </c>
      <c r="B97" t="inlineStr">
        <is>
          <t>avverkningsanmälan</t>
        </is>
      </c>
      <c r="C97" t="inlineStr">
        <is>
          <t>Föryngringsavverkning</t>
        </is>
      </c>
      <c r="D97" s="1" t="n">
        <v>46091</v>
      </c>
      <c r="E97" s="1" t="n">
        <v>46305</v>
      </c>
      <c r="F97" t="inlineStr">
        <is>
          <t>UPPSALA LÄN</t>
        </is>
      </c>
      <c r="G97" t="inlineStr">
        <is>
          <t>KNIVSTA</t>
        </is>
      </c>
      <c r="H97" t="inlineStr">
        <is>
          <t>Holmen skog AB</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13013-2026</t>
        </is>
      </c>
      <c r="B98" t="inlineStr">
        <is>
          <t>avverkningsanmälan</t>
        </is>
      </c>
      <c r="C98" t="inlineStr">
        <is>
          <t>Föryngringsavverkning</t>
        </is>
      </c>
      <c r="D98" s="1" t="n">
        <v>46092</v>
      </c>
      <c r="E98" s="1" t="n">
        <v>46305</v>
      </c>
      <c r="F98" t="inlineStr">
        <is>
          <t>UPPSALA LÄN</t>
        </is>
      </c>
      <c r="G98" t="inlineStr">
        <is>
          <t>KNIVSTA</t>
        </is>
      </c>
      <c r="H98" t="inlineStr">
        <is>
          <t>Holmen skog AB</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13011-2026</t>
        </is>
      </c>
      <c r="B99" t="inlineStr">
        <is>
          <t>avverkningsanmälan</t>
        </is>
      </c>
      <c r="C99" t="inlineStr">
        <is>
          <t>Föryngringsavverkning</t>
        </is>
      </c>
      <c r="D99" s="1" t="n">
        <v>46092</v>
      </c>
      <c r="E99" s="1" t="n">
        <v>46305</v>
      </c>
      <c r="F99" t="inlineStr">
        <is>
          <t>UPPSALA LÄN</t>
        </is>
      </c>
      <c r="G99" t="inlineStr">
        <is>
          <t>KNIVSTA</t>
        </is>
      </c>
      <c r="H99" t="inlineStr">
        <is>
          <t>Holmen skog AB</t>
        </is>
      </c>
      <c r="I99" t="n">
        <v>1.9</v>
      </c>
      <c r="J99" t="n">
        <v>0</v>
      </c>
      <c r="K99" t="n">
        <v>0</v>
      </c>
      <c r="L99" t="n">
        <v>0</v>
      </c>
      <c r="M99" t="n">
        <v>0</v>
      </c>
      <c r="N99" t="n">
        <v>0</v>
      </c>
      <c r="O99" t="n">
        <v>0</v>
      </c>
      <c r="P99" t="n">
        <v>0</v>
      </c>
      <c r="Q99" t="n">
        <v>0</v>
      </c>
      <c r="R99" t="n">
        <v>0</v>
      </c>
      <c r="S99" t="n">
        <v>0</v>
      </c>
      <c r="T99" t="n">
        <v>0</v>
      </c>
      <c r="U99" t="n">
        <v>0</v>
      </c>
      <c r="V99" s="2" t="inlineStr"/>
      <c r="Z99">
        <f>HYPERLINK("https://klasma.github.io/Logging_0330/knärot/A 13011-2026 karta knärot.png", "A 13011-2026")</f>
        <v/>
      </c>
      <c r="AA99">
        <f>HYPERLINK("https://klasma.github.io/Logging_0330/klagomål/A 13011-2026 FSC-klagomål.docx", "A 13011-2026")</f>
        <v/>
      </c>
      <c r="AB99">
        <f>HYPERLINK("https://klasma.github.io/Logging_0330/klagomålsmail/A 13011-2026 FSC-klagomål mail.docx", "A 13011-2026")</f>
        <v/>
      </c>
      <c r="AC99">
        <f>HYPERLINK("https://klasma.github.io/Logging_0330/tillsyn/A 13011-2026 tillsynsbegäran.docx", "A 13011-2026")</f>
        <v/>
      </c>
      <c r="AD99">
        <f>HYPERLINK("https://klasma.github.io/Logging_0330/tillsynsmail/A 13011-2026 tillsynsbegäran mail.docx", "A 13011-2026")</f>
        <v/>
      </c>
    </row>
    <row r="100" ht="15" customHeight="1">
      <c r="A100" t="inlineStr">
        <is>
          <t>A 13016-2026</t>
        </is>
      </c>
      <c r="B100" t="inlineStr">
        <is>
          <t>avverkningsanmälan</t>
        </is>
      </c>
      <c r="C100" t="inlineStr">
        <is>
          <t>Föryngringsavverkning</t>
        </is>
      </c>
      <c r="D100" s="1" t="n">
        <v>46092</v>
      </c>
      <c r="E100" s="1" t="n">
        <v>46305</v>
      </c>
      <c r="F100" t="inlineStr">
        <is>
          <t>UPPSALA LÄN</t>
        </is>
      </c>
      <c r="G100" t="inlineStr">
        <is>
          <t>KNIVSTA</t>
        </is>
      </c>
      <c r="H100" t="inlineStr">
        <is>
          <t>Holmen skog AB</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13001-2026</t>
        </is>
      </c>
      <c r="B101" t="inlineStr">
        <is>
          <t>avverkningsanmälan</t>
        </is>
      </c>
      <c r="C101" t="inlineStr">
        <is>
          <t>Föryngringsavverkning</t>
        </is>
      </c>
      <c r="D101" s="1" t="n">
        <v>46092</v>
      </c>
      <c r="E101" s="1" t="n">
        <v>46305</v>
      </c>
      <c r="F101" t="inlineStr">
        <is>
          <t>UPPSALA LÄN</t>
        </is>
      </c>
      <c r="G101" t="inlineStr">
        <is>
          <t>KNIVSTA</t>
        </is>
      </c>
      <c r="H101" t="inlineStr">
        <is>
          <t>Holmen skog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13005-2026</t>
        </is>
      </c>
      <c r="B102" t="inlineStr">
        <is>
          <t>avverkningsanmälan</t>
        </is>
      </c>
      <c r="C102" t="inlineStr">
        <is>
          <t>Föryngringsavverkning</t>
        </is>
      </c>
      <c r="D102" s="1" t="n">
        <v>46092</v>
      </c>
      <c r="E102" s="1" t="n">
        <v>46305</v>
      </c>
      <c r="F102" t="inlineStr">
        <is>
          <t>UPPSALA LÄN</t>
        </is>
      </c>
      <c r="G102" t="inlineStr">
        <is>
          <t>KNIVSTA</t>
        </is>
      </c>
      <c r="H102" t="inlineStr">
        <is>
          <t>Holmen skog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23969-2026</t>
        </is>
      </c>
      <c r="B103" t="inlineStr">
        <is>
          <t>avverkningsanmälan</t>
        </is>
      </c>
      <c r="C103" t="inlineStr">
        <is>
          <t>Föryngringsavverkning</t>
        </is>
      </c>
      <c r="D103" s="1" t="n">
        <v>46167</v>
      </c>
      <c r="E103" s="1" t="n">
        <v>46305</v>
      </c>
      <c r="F103" t="inlineStr">
        <is>
          <t>UPPSALA LÄN</t>
        </is>
      </c>
      <c r="G103" t="inlineStr">
        <is>
          <t>KNIVSTA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46305</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37413-2026</t>
        </is>
      </c>
      <c r="B105" t="inlineStr">
        <is>
          <t>avverkningsanmälan</t>
        </is>
      </c>
      <c r="C105" t="inlineStr">
        <is>
          <t>Föryngringsavverkning</t>
        </is>
      </c>
      <c r="D105" s="1" t="n">
        <v>46275</v>
      </c>
      <c r="E105" s="1" t="n">
        <v>46305</v>
      </c>
      <c r="F105" t="inlineStr">
        <is>
          <t>UPPSALA LÄN</t>
        </is>
      </c>
      <c r="G105" t="inlineStr">
        <is>
          <t>KNIVSTA</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37437-2026</t>
        </is>
      </c>
      <c r="B106" t="inlineStr">
        <is>
          <t>avverkningsanmälan</t>
        </is>
      </c>
      <c r="C106" t="inlineStr">
        <is>
          <t>Föryngringsavverkning</t>
        </is>
      </c>
      <c r="D106" s="1" t="n">
        <v>46275</v>
      </c>
      <c r="E106" s="1" t="n">
        <v>46305</v>
      </c>
      <c r="F106" t="inlineStr">
        <is>
          <t>UPPSALA LÄN</t>
        </is>
      </c>
      <c r="G106" t="inlineStr">
        <is>
          <t>KNIVSTA</t>
        </is>
      </c>
      <c r="H106" t="inlineStr">
        <is>
          <t>Holmen skog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39978-2026</t>
        </is>
      </c>
      <c r="B107" t="inlineStr">
        <is>
          <t>avverkningsanmälan</t>
        </is>
      </c>
      <c r="C107" t="inlineStr">
        <is>
          <t>Föryngringsavverkning</t>
        </is>
      </c>
      <c r="D107" s="1" t="n">
        <v>46293</v>
      </c>
      <c r="E107" s="1" t="n">
        <v>46305</v>
      </c>
      <c r="F107" t="inlineStr">
        <is>
          <t>UPPSALA LÄN</t>
        </is>
      </c>
      <c r="G107" t="inlineStr">
        <is>
          <t>KNIVSTA</t>
        </is>
      </c>
      <c r="H107" t="inlineStr">
        <is>
          <t>Holmen skog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19777-2026</t>
        </is>
      </c>
      <c r="B108" t="inlineStr">
        <is>
          <t>avverkningsanmälan</t>
        </is>
      </c>
      <c r="C108" t="inlineStr">
        <is>
          <t>Föryngringsavverkning</t>
        </is>
      </c>
      <c r="D108" s="1" t="n">
        <v>46135</v>
      </c>
      <c r="E108" s="1" t="n">
        <v>46305</v>
      </c>
      <c r="F108" t="inlineStr">
        <is>
          <t>UPPSALA LÄN</t>
        </is>
      </c>
      <c r="G108" t="inlineStr">
        <is>
          <t>KNIVSTA</t>
        </is>
      </c>
      <c r="I108" t="n">
        <v>1.9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46305</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2026-10-10T02:05:54Z</dcterms:created>
  <dcterms:modified xmlns:dcterms="http://purl.org/dc/terms/" xmlns:xsi="http://www.w3.org/2001/XMLSchema-instance" xsi:type="dcterms:W3CDTF">2026-10-10T02:05:54Z</dcterms:modified>
</cp:coreProperties>
</file>