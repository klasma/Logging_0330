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46116</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46116</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49894-2023</t>
        </is>
      </c>
      <c r="B4" s="1" t="n">
        <v>45213</v>
      </c>
      <c r="C4" s="1" t="n">
        <v>46116</v>
      </c>
      <c r="D4" t="inlineStr">
        <is>
          <t>UPPSALA LÄN</t>
        </is>
      </c>
      <c r="E4" t="inlineStr">
        <is>
          <t>KNIVSTA</t>
        </is>
      </c>
      <c r="G4" t="n">
        <v>17.8</v>
      </c>
      <c r="H4" t="n">
        <v>10</v>
      </c>
      <c r="I4" t="n">
        <v>1</v>
      </c>
      <c r="J4" t="n">
        <v>5</v>
      </c>
      <c r="K4" t="n">
        <v>0</v>
      </c>
      <c r="L4" t="n">
        <v>1</v>
      </c>
      <c r="M4" t="n">
        <v>0</v>
      </c>
      <c r="N4" t="n">
        <v>0</v>
      </c>
      <c r="O4" t="n">
        <v>6</v>
      </c>
      <c r="P4" t="n">
        <v>1</v>
      </c>
      <c r="Q4" t="n">
        <v>11</v>
      </c>
      <c r="R4" s="2" t="inlineStr">
        <is>
          <t>Grönfink
Granticka
Grönsångare
Gulsparv
Havsörn
Rödvingetrast
Grön sköldmossa
Grönsiska
Järnsparv
Kungsfågel
Blåsippa</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44867-2023</t>
        </is>
      </c>
      <c r="B5" s="1" t="n">
        <v>45190</v>
      </c>
      <c r="C5" s="1" t="n">
        <v>46116</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7444-2023</t>
        </is>
      </c>
      <c r="B6" s="1" t="n">
        <v>44971</v>
      </c>
      <c r="C6" s="1" t="n">
        <v>46116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Blastenia relicta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12958-2026</t>
        </is>
      </c>
      <c r="B7" s="1" t="n">
        <v>46092.63871527778</v>
      </c>
      <c r="C7" s="1" t="n">
        <v>46116</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46116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5455-2025</t>
        </is>
      </c>
      <c r="B9" s="1" t="n">
        <v>45693</v>
      </c>
      <c r="C9" s="1" t="n">
        <v>46116</v>
      </c>
      <c r="D9" t="inlineStr">
        <is>
          <t>UPPSALA LÄN</t>
        </is>
      </c>
      <c r="E9" t="inlineStr">
        <is>
          <t>KNIVSTA</t>
        </is>
      </c>
      <c r="G9" t="n">
        <v>17.1</v>
      </c>
      <c r="H9" t="n">
        <v>0</v>
      </c>
      <c r="I9" t="n">
        <v>2</v>
      </c>
      <c r="J9" t="n">
        <v>1</v>
      </c>
      <c r="K9" t="n">
        <v>0</v>
      </c>
      <c r="L9" t="n">
        <v>0</v>
      </c>
      <c r="M9" t="n">
        <v>0</v>
      </c>
      <c r="N9" t="n">
        <v>0</v>
      </c>
      <c r="O9" t="n">
        <v>1</v>
      </c>
      <c r="P9" t="n">
        <v>0</v>
      </c>
      <c r="Q9" t="n">
        <v>3</v>
      </c>
      <c r="R9" s="2" t="inlineStr">
        <is>
          <t>Granticka
Bronshjon
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2214-2026</t>
        </is>
      </c>
      <c r="B10" s="1" t="n">
        <v>46036</v>
      </c>
      <c r="C10" s="1" t="n">
        <v>46116</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46116</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16973-2021</t>
        </is>
      </c>
      <c r="B12" s="1" t="n">
        <v>44295</v>
      </c>
      <c r="C12" s="1" t="n">
        <v>46116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53813-2025</t>
        </is>
      </c>
      <c r="B13" s="1" t="n">
        <v>45960</v>
      </c>
      <c r="C13" s="1" t="n">
        <v>46116</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33770-2023</t>
        </is>
      </c>
      <c r="B14" s="1" t="n">
        <v>45133</v>
      </c>
      <c r="C14" s="1" t="n">
        <v>46116</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46116</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61768-2025</t>
        </is>
      </c>
      <c r="B16" s="1" t="n">
        <v>46002.63940972222</v>
      </c>
      <c r="C16" s="1" t="n">
        <v>46116</v>
      </c>
      <c r="D16" t="inlineStr">
        <is>
          <t>UPPSALA LÄN</t>
        </is>
      </c>
      <c r="E16" t="inlineStr">
        <is>
          <t>KNIVSTA</t>
        </is>
      </c>
      <c r="G16" t="n">
        <v>3</v>
      </c>
      <c r="H16" t="n">
        <v>0</v>
      </c>
      <c r="I16" t="n">
        <v>1</v>
      </c>
      <c r="J16" t="n">
        <v>0</v>
      </c>
      <c r="K16" t="n">
        <v>0</v>
      </c>
      <c r="L16" t="n">
        <v>0</v>
      </c>
      <c r="M16" t="n">
        <v>0</v>
      </c>
      <c r="N16" t="n">
        <v>0</v>
      </c>
      <c r="O16" t="n">
        <v>0</v>
      </c>
      <c r="P16" t="n">
        <v>0</v>
      </c>
      <c r="Q16" t="n">
        <v>1</v>
      </c>
      <c r="R16" s="2" t="inlineStr">
        <is>
          <t>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11405-2025</t>
        </is>
      </c>
      <c r="B17" s="1" t="n">
        <v>45726</v>
      </c>
      <c r="C17" s="1" t="n">
        <v>46116</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13002-2026</t>
        </is>
      </c>
      <c r="B18" s="1" t="n">
        <v>46092.68854166667</v>
      </c>
      <c r="C18" s="1" t="n">
        <v>46116</v>
      </c>
      <c r="D18" t="inlineStr">
        <is>
          <t>UPPSALA LÄN</t>
        </is>
      </c>
      <c r="E18" t="inlineStr">
        <is>
          <t>KNIVSTA</t>
        </is>
      </c>
      <c r="F18" t="inlineStr">
        <is>
          <t>Holmen skog AB</t>
        </is>
      </c>
      <c r="G18" t="n">
        <v>0.7</v>
      </c>
      <c r="H18" t="n">
        <v>1</v>
      </c>
      <c r="I18" t="n">
        <v>0</v>
      </c>
      <c r="J18" t="n">
        <v>0</v>
      </c>
      <c r="K18" t="n">
        <v>1</v>
      </c>
      <c r="L18" t="n">
        <v>0</v>
      </c>
      <c r="M18" t="n">
        <v>0</v>
      </c>
      <c r="N18" t="n">
        <v>0</v>
      </c>
      <c r="O18" t="n">
        <v>1</v>
      </c>
      <c r="P18" t="n">
        <v>1</v>
      </c>
      <c r="Q18" t="n">
        <v>1</v>
      </c>
      <c r="R18" s="2" t="inlineStr">
        <is>
          <t>Knärot</t>
        </is>
      </c>
      <c r="S18">
        <f>HYPERLINK("https://klasma.github.io/Logging_0330/artfynd/A 13002-2026 artfynd.xlsx", "A 13002-2026")</f>
        <v/>
      </c>
      <c r="T18">
        <f>HYPERLINK("https://klasma.github.io/Logging_0330/kartor/A 13002-2026 karta.png", "A 13002-2026")</f>
        <v/>
      </c>
      <c r="U18">
        <f>HYPERLINK("https://klasma.github.io/Logging_0330/knärot/A 13002-2026 karta knärot.png", "A 13002-2026")</f>
        <v/>
      </c>
      <c r="V18">
        <f>HYPERLINK("https://klasma.github.io/Logging_0330/klagomål/A 13002-2026 FSC-klagomål.docx", "A 13002-2026")</f>
        <v/>
      </c>
      <c r="W18">
        <f>HYPERLINK("https://klasma.github.io/Logging_0330/klagomålsmail/A 13002-2026 FSC-klagomål mail.docx", "A 13002-2026")</f>
        <v/>
      </c>
      <c r="X18">
        <f>HYPERLINK("https://klasma.github.io/Logging_0330/tillsyn/A 13002-2026 tillsynsbegäran.docx", "A 13002-2026")</f>
        <v/>
      </c>
      <c r="Y18">
        <f>HYPERLINK("https://klasma.github.io/Logging_0330/tillsynsmail/A 13002-2026 tillsynsbegäran mail.docx", "A 13002-2026")</f>
        <v/>
      </c>
    </row>
    <row r="19" ht="15" customHeight="1">
      <c r="A19" t="inlineStr">
        <is>
          <t>A 13004-2026</t>
        </is>
      </c>
      <c r="B19" s="1" t="n">
        <v>46092.68935185186</v>
      </c>
      <c r="C19" s="1" t="n">
        <v>46116</v>
      </c>
      <c r="D19" t="inlineStr">
        <is>
          <t>UPPSALA LÄN</t>
        </is>
      </c>
      <c r="E19" t="inlineStr">
        <is>
          <t>KNIVSTA</t>
        </is>
      </c>
      <c r="F19" t="inlineStr">
        <is>
          <t>Holmen skog AB</t>
        </is>
      </c>
      <c r="G19" t="n">
        <v>7.8</v>
      </c>
      <c r="H19" t="n">
        <v>1</v>
      </c>
      <c r="I19" t="n">
        <v>0</v>
      </c>
      <c r="J19" t="n">
        <v>1</v>
      </c>
      <c r="K19" t="n">
        <v>0</v>
      </c>
      <c r="L19" t="n">
        <v>0</v>
      </c>
      <c r="M19" t="n">
        <v>0</v>
      </c>
      <c r="N19" t="n">
        <v>0</v>
      </c>
      <c r="O19" t="n">
        <v>1</v>
      </c>
      <c r="P19" t="n">
        <v>0</v>
      </c>
      <c r="Q19" t="n">
        <v>1</v>
      </c>
      <c r="R19" s="2" t="inlineStr">
        <is>
          <t>Spillkråka</t>
        </is>
      </c>
      <c r="S19">
        <f>HYPERLINK("https://klasma.github.io/Logging_0330/artfynd/A 13004-2026 artfynd.xlsx", "A 13004-2026")</f>
        <v/>
      </c>
      <c r="T19">
        <f>HYPERLINK("https://klasma.github.io/Logging_0330/kartor/A 13004-2026 karta.png", "A 13004-2026")</f>
        <v/>
      </c>
      <c r="U19">
        <f>HYPERLINK("https://klasma.github.io/Logging_0330/knärot/A 13004-2026 karta knärot.png", "A 13004-2026")</f>
        <v/>
      </c>
      <c r="V19">
        <f>HYPERLINK("https://klasma.github.io/Logging_0330/klagomål/A 13004-2026 FSC-klagomål.docx", "A 13004-2026")</f>
        <v/>
      </c>
      <c r="W19">
        <f>HYPERLINK("https://klasma.github.io/Logging_0330/klagomålsmail/A 13004-2026 FSC-klagomål mail.docx", "A 13004-2026")</f>
        <v/>
      </c>
      <c r="X19">
        <f>HYPERLINK("https://klasma.github.io/Logging_0330/tillsyn/A 13004-2026 tillsynsbegäran.docx", "A 13004-2026")</f>
        <v/>
      </c>
      <c r="Y19">
        <f>HYPERLINK("https://klasma.github.io/Logging_0330/tillsynsmail/A 13004-2026 tillsynsbegäran mail.docx", "A 13004-2026")</f>
        <v/>
      </c>
      <c r="Z19">
        <f>HYPERLINK("https://klasma.github.io/Logging_0330/fåglar/A 13004-2026 prioriterade fågelarter.docx", "A 13004-2026")</f>
        <v/>
      </c>
    </row>
    <row r="20" ht="15" customHeight="1">
      <c r="A20" t="inlineStr">
        <is>
          <t>A 13380-2026</t>
        </is>
      </c>
      <c r="B20" s="1" t="n">
        <v>46094.42555555556</v>
      </c>
      <c r="C20" s="1" t="n">
        <v>46116</v>
      </c>
      <c r="D20" t="inlineStr">
        <is>
          <t>UPPSALA LÄN</t>
        </is>
      </c>
      <c r="E20" t="inlineStr">
        <is>
          <t>KNIVSTA</t>
        </is>
      </c>
      <c r="G20" t="n">
        <v>1.7</v>
      </c>
      <c r="H20" t="n">
        <v>1</v>
      </c>
      <c r="I20" t="n">
        <v>0</v>
      </c>
      <c r="J20" t="n">
        <v>1</v>
      </c>
      <c r="K20" t="n">
        <v>0</v>
      </c>
      <c r="L20" t="n">
        <v>0</v>
      </c>
      <c r="M20" t="n">
        <v>0</v>
      </c>
      <c r="N20" t="n">
        <v>0</v>
      </c>
      <c r="O20" t="n">
        <v>1</v>
      </c>
      <c r="P20" t="n">
        <v>0</v>
      </c>
      <c r="Q20" t="n">
        <v>1</v>
      </c>
      <c r="R20" s="2" t="inlineStr">
        <is>
          <t>Spillkråka</t>
        </is>
      </c>
      <c r="S20">
        <f>HYPERLINK("https://klasma.github.io/Logging_0330/artfynd/A 13380-2026 artfynd.xlsx", "A 13380-2026")</f>
        <v/>
      </c>
      <c r="T20">
        <f>HYPERLINK("https://klasma.github.io/Logging_0330/kartor/A 13380-2026 karta.png", "A 13380-2026")</f>
        <v/>
      </c>
      <c r="V20">
        <f>HYPERLINK("https://klasma.github.io/Logging_0330/klagomål/A 13380-2026 FSC-klagomål.docx", "A 13380-2026")</f>
        <v/>
      </c>
      <c r="W20">
        <f>HYPERLINK("https://klasma.github.io/Logging_0330/klagomålsmail/A 13380-2026 FSC-klagomål mail.docx", "A 13380-2026")</f>
        <v/>
      </c>
      <c r="X20">
        <f>HYPERLINK("https://klasma.github.io/Logging_0330/tillsyn/A 13380-2026 tillsynsbegäran.docx", "A 13380-2026")</f>
        <v/>
      </c>
      <c r="Y20">
        <f>HYPERLINK("https://klasma.github.io/Logging_0330/tillsynsmail/A 13380-2026 tillsynsbegäran mail.docx", "A 13380-2026")</f>
        <v/>
      </c>
      <c r="Z20">
        <f>HYPERLINK("https://klasma.github.io/Logging_0330/fåglar/A 13380-2026 prioriterade fågelarter.docx", "A 13380-2026")</f>
        <v/>
      </c>
    </row>
    <row r="21" ht="15" customHeight="1">
      <c r="A21" t="inlineStr">
        <is>
          <t>A 9561-2026</t>
        </is>
      </c>
      <c r="B21" s="1" t="n">
        <v>46071.64916666667</v>
      </c>
      <c r="C21" s="1" t="n">
        <v>46116</v>
      </c>
      <c r="D21" t="inlineStr">
        <is>
          <t>UPPSALA LÄN</t>
        </is>
      </c>
      <c r="E21" t="inlineStr">
        <is>
          <t>KNIVSTA</t>
        </is>
      </c>
      <c r="F21" t="inlineStr">
        <is>
          <t>Övriga statliga verk och myndigheter</t>
        </is>
      </c>
      <c r="G21" t="n">
        <v>2.6</v>
      </c>
      <c r="H21" t="n">
        <v>0</v>
      </c>
      <c r="I21" t="n">
        <v>0</v>
      </c>
      <c r="J21" t="n">
        <v>1</v>
      </c>
      <c r="K21" t="n">
        <v>0</v>
      </c>
      <c r="L21" t="n">
        <v>0</v>
      </c>
      <c r="M21" t="n">
        <v>0</v>
      </c>
      <c r="N21" t="n">
        <v>0</v>
      </c>
      <c r="O21" t="n">
        <v>1</v>
      </c>
      <c r="P21" t="n">
        <v>0</v>
      </c>
      <c r="Q21" t="n">
        <v>1</v>
      </c>
      <c r="R21" s="2" t="inlineStr">
        <is>
          <t>Svartöra</t>
        </is>
      </c>
      <c r="S21">
        <f>HYPERLINK("https://klasma.github.io/Logging_0330/artfynd/A 9561-2026 artfynd.xlsx", "A 9561-2026")</f>
        <v/>
      </c>
      <c r="T21">
        <f>HYPERLINK("https://klasma.github.io/Logging_0330/kartor/A 9561-2026 karta.png", "A 9561-2026")</f>
        <v/>
      </c>
      <c r="V21">
        <f>HYPERLINK("https://klasma.github.io/Logging_0330/klagomål/A 9561-2026 FSC-klagomål.docx", "A 9561-2026")</f>
        <v/>
      </c>
      <c r="W21">
        <f>HYPERLINK("https://klasma.github.io/Logging_0330/klagomålsmail/A 9561-2026 FSC-klagomål mail.docx", "A 9561-2026")</f>
        <v/>
      </c>
      <c r="X21">
        <f>HYPERLINK("https://klasma.github.io/Logging_0330/tillsyn/A 9561-2026 tillsynsbegäran.docx", "A 9561-2026")</f>
        <v/>
      </c>
      <c r="Y21">
        <f>HYPERLINK("https://klasma.github.io/Logging_0330/tillsynsmail/A 9561-2026 tillsynsbegäran mail.docx", "A 9561-2026")</f>
        <v/>
      </c>
    </row>
    <row r="22" ht="15" customHeight="1">
      <c r="A22" t="inlineStr">
        <is>
          <t>A 16407-2025</t>
        </is>
      </c>
      <c r="B22" s="1" t="n">
        <v>45751.45120370371</v>
      </c>
      <c r="C22" s="1" t="n">
        <v>46116</v>
      </c>
      <c r="D22" t="inlineStr">
        <is>
          <t>UPPSALA LÄN</t>
        </is>
      </c>
      <c r="E22" t="inlineStr">
        <is>
          <t>KNIVSTA</t>
        </is>
      </c>
      <c r="G22" t="n">
        <v>1.1</v>
      </c>
      <c r="H22" t="n">
        <v>1</v>
      </c>
      <c r="I22" t="n">
        <v>0</v>
      </c>
      <c r="J22" t="n">
        <v>0</v>
      </c>
      <c r="K22" t="n">
        <v>0</v>
      </c>
      <c r="L22" t="n">
        <v>0</v>
      </c>
      <c r="M22" t="n">
        <v>0</v>
      </c>
      <c r="N22" t="n">
        <v>0</v>
      </c>
      <c r="O22" t="n">
        <v>0</v>
      </c>
      <c r="P22" t="n">
        <v>0</v>
      </c>
      <c r="Q22" t="n">
        <v>1</v>
      </c>
      <c r="R22" s="2" t="inlineStr">
        <is>
          <t>Blåsippa</t>
        </is>
      </c>
      <c r="S22">
        <f>HYPERLINK("https://klasma.github.io/Logging_0330/artfynd/A 16407-2025 artfynd.xlsx", "A 16407-2025")</f>
        <v/>
      </c>
      <c r="T22">
        <f>HYPERLINK("https://klasma.github.io/Logging_0330/kartor/A 16407-2025 karta.png", "A 16407-2025")</f>
        <v/>
      </c>
      <c r="V22">
        <f>HYPERLINK("https://klasma.github.io/Logging_0330/klagomål/A 16407-2025 FSC-klagomål.docx", "A 16407-2025")</f>
        <v/>
      </c>
      <c r="W22">
        <f>HYPERLINK("https://klasma.github.io/Logging_0330/klagomålsmail/A 16407-2025 FSC-klagomål mail.docx", "A 16407-2025")</f>
        <v/>
      </c>
      <c r="X22">
        <f>HYPERLINK("https://klasma.github.io/Logging_0330/tillsyn/A 16407-2025 tillsynsbegäran.docx", "A 16407-2025")</f>
        <v/>
      </c>
      <c r="Y22">
        <f>HYPERLINK("https://klasma.github.io/Logging_0330/tillsynsmail/A 16407-2025 tillsynsbegäran mail.docx", "A 16407-2025")</f>
        <v/>
      </c>
    </row>
    <row r="23" ht="15" customHeight="1">
      <c r="A23" t="inlineStr">
        <is>
          <t>A 21831-2024</t>
        </is>
      </c>
      <c r="B23" s="1" t="n">
        <v>45442</v>
      </c>
      <c r="C23" s="1" t="n">
        <v>46116</v>
      </c>
      <c r="D23" t="inlineStr">
        <is>
          <t>UPPSALA LÄN</t>
        </is>
      </c>
      <c r="E23" t="inlineStr">
        <is>
          <t>KNIVSTA</t>
        </is>
      </c>
      <c r="G23" t="n">
        <v>4.5</v>
      </c>
      <c r="H23" t="n">
        <v>1</v>
      </c>
      <c r="I23" t="n">
        <v>0</v>
      </c>
      <c r="J23" t="n">
        <v>0</v>
      </c>
      <c r="K23" t="n">
        <v>0</v>
      </c>
      <c r="L23" t="n">
        <v>0</v>
      </c>
      <c r="M23" t="n">
        <v>0</v>
      </c>
      <c r="N23" t="n">
        <v>0</v>
      </c>
      <c r="O23" t="n">
        <v>0</v>
      </c>
      <c r="P23" t="n">
        <v>0</v>
      </c>
      <c r="Q23" t="n">
        <v>1</v>
      </c>
      <c r="R23" s="2" t="inlineStr">
        <is>
          <t>Blåsippa</t>
        </is>
      </c>
      <c r="S23">
        <f>HYPERLINK("https://klasma.github.io/Logging_0330/artfynd/A 21831-2024 artfynd.xlsx", "A 21831-2024")</f>
        <v/>
      </c>
      <c r="T23">
        <f>HYPERLINK("https://klasma.github.io/Logging_0330/kartor/A 21831-2024 karta.png", "A 21831-2024")</f>
        <v/>
      </c>
      <c r="V23">
        <f>HYPERLINK("https://klasma.github.io/Logging_0330/klagomål/A 21831-2024 FSC-klagomål.docx", "A 21831-2024")</f>
        <v/>
      </c>
      <c r="W23">
        <f>HYPERLINK("https://klasma.github.io/Logging_0330/klagomålsmail/A 21831-2024 FSC-klagomål mail.docx", "A 21831-2024")</f>
        <v/>
      </c>
      <c r="X23">
        <f>HYPERLINK("https://klasma.github.io/Logging_0330/tillsyn/A 21831-2024 tillsynsbegäran.docx", "A 21831-2024")</f>
        <v/>
      </c>
      <c r="Y23">
        <f>HYPERLINK("https://klasma.github.io/Logging_0330/tillsynsmail/A 21831-2024 tillsynsbegäran mail.docx", "A 21831-2024")</f>
        <v/>
      </c>
    </row>
    <row r="24" ht="15" customHeight="1">
      <c r="A24" t="inlineStr">
        <is>
          <t>A 19796-2021</t>
        </is>
      </c>
      <c r="B24" s="1" t="n">
        <v>44313</v>
      </c>
      <c r="C24" s="1" t="n">
        <v>46116</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46116</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46116</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46116</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46116</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46116</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46116</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46116</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46116</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46116</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46116</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46116</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46116</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46116</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46116</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46116</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46116</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46116</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46116</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46116</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46116</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17091-2023</t>
        </is>
      </c>
      <c r="B45" s="1" t="n">
        <v>45034.53554398148</v>
      </c>
      <c r="C45" s="1" t="n">
        <v>46116</v>
      </c>
      <c r="D45" t="inlineStr">
        <is>
          <t>UPPSALA LÄN</t>
        </is>
      </c>
      <c r="E45" t="inlineStr">
        <is>
          <t>KNIVSTA</t>
        </is>
      </c>
      <c r="G45" t="n">
        <v>0.8</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46116</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46116</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46116</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46116</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46116</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46116</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16773-2022</t>
        </is>
      </c>
      <c r="B52" s="1" t="n">
        <v>44673</v>
      </c>
      <c r="C52" s="1" t="n">
        <v>46116</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20505-2021</t>
        </is>
      </c>
      <c r="B53" s="1" t="n">
        <v>44313</v>
      </c>
      <c r="C53" s="1" t="n">
        <v>46116</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34859-2025</t>
        </is>
      </c>
      <c r="B54" s="1" t="n">
        <v>45849.43511574074</v>
      </c>
      <c r="C54" s="1" t="n">
        <v>46116</v>
      </c>
      <c r="D54" t="inlineStr">
        <is>
          <t>UPPSALA LÄN</t>
        </is>
      </c>
      <c r="E54" t="inlineStr">
        <is>
          <t>KNIVSTA</t>
        </is>
      </c>
      <c r="F54" t="inlineStr">
        <is>
          <t>Holmen skog AB</t>
        </is>
      </c>
      <c r="G54" t="n">
        <v>6.1</v>
      </c>
      <c r="H54" t="n">
        <v>0</v>
      </c>
      <c r="I54" t="n">
        <v>0</v>
      </c>
      <c r="J54" t="n">
        <v>0</v>
      </c>
      <c r="K54" t="n">
        <v>0</v>
      </c>
      <c r="L54" t="n">
        <v>0</v>
      </c>
      <c r="M54" t="n">
        <v>0</v>
      </c>
      <c r="N54" t="n">
        <v>0</v>
      </c>
      <c r="O54" t="n">
        <v>0</v>
      </c>
      <c r="P54" t="n">
        <v>0</v>
      </c>
      <c r="Q54" t="n">
        <v>0</v>
      </c>
      <c r="R54" s="2" t="inlineStr"/>
    </row>
    <row r="55" ht="15" customHeight="1">
      <c r="A55" t="inlineStr">
        <is>
          <t>A 34864-2025</t>
        </is>
      </c>
      <c r="B55" s="1" t="n">
        <v>45849.44028935185</v>
      </c>
      <c r="C55" s="1" t="n">
        <v>46116</v>
      </c>
      <c r="D55" t="inlineStr">
        <is>
          <t>UPPSALA LÄN</t>
        </is>
      </c>
      <c r="E55" t="inlineStr">
        <is>
          <t>KNIVSTA</t>
        </is>
      </c>
      <c r="F55" t="inlineStr">
        <is>
          <t>Holmen skog AB</t>
        </is>
      </c>
      <c r="G55" t="n">
        <v>1.3</v>
      </c>
      <c r="H55" t="n">
        <v>0</v>
      </c>
      <c r="I55" t="n">
        <v>0</v>
      </c>
      <c r="J55" t="n">
        <v>0</v>
      </c>
      <c r="K55" t="n">
        <v>0</v>
      </c>
      <c r="L55" t="n">
        <v>0</v>
      </c>
      <c r="M55" t="n">
        <v>0</v>
      </c>
      <c r="N55" t="n">
        <v>0</v>
      </c>
      <c r="O55" t="n">
        <v>0</v>
      </c>
      <c r="P55" t="n">
        <v>0</v>
      </c>
      <c r="Q55" t="n">
        <v>0</v>
      </c>
      <c r="R55" s="2" t="inlineStr"/>
    </row>
    <row r="56" ht="15" customHeight="1">
      <c r="A56" t="inlineStr">
        <is>
          <t>A 60018-2024</t>
        </is>
      </c>
      <c r="B56" s="1" t="n">
        <v>45642</v>
      </c>
      <c r="C56" s="1" t="n">
        <v>46116</v>
      </c>
      <c r="D56" t="inlineStr">
        <is>
          <t>UPPSALA LÄN</t>
        </is>
      </c>
      <c r="E56" t="inlineStr">
        <is>
          <t>KNIVSTA</t>
        </is>
      </c>
      <c r="G56" t="n">
        <v>4.1</v>
      </c>
      <c r="H56" t="n">
        <v>0</v>
      </c>
      <c r="I56" t="n">
        <v>0</v>
      </c>
      <c r="J56" t="n">
        <v>0</v>
      </c>
      <c r="K56" t="n">
        <v>0</v>
      </c>
      <c r="L56" t="n">
        <v>0</v>
      </c>
      <c r="M56" t="n">
        <v>0</v>
      </c>
      <c r="N56" t="n">
        <v>0</v>
      </c>
      <c r="O56" t="n">
        <v>0</v>
      </c>
      <c r="P56" t="n">
        <v>0</v>
      </c>
      <c r="Q56" t="n">
        <v>0</v>
      </c>
      <c r="R56" s="2" t="inlineStr"/>
    </row>
    <row r="57" ht="15" customHeight="1">
      <c r="A57" t="inlineStr">
        <is>
          <t>A 16396-2025</t>
        </is>
      </c>
      <c r="B57" s="1" t="n">
        <v>45751.44219907407</v>
      </c>
      <c r="C57" s="1" t="n">
        <v>46116</v>
      </c>
      <c r="D57" t="inlineStr">
        <is>
          <t>UPPSALA LÄN</t>
        </is>
      </c>
      <c r="E57" t="inlineStr">
        <is>
          <t>KNIVSTA</t>
        </is>
      </c>
      <c r="G57" t="n">
        <v>5.1</v>
      </c>
      <c r="H57" t="n">
        <v>0</v>
      </c>
      <c r="I57" t="n">
        <v>0</v>
      </c>
      <c r="J57" t="n">
        <v>0</v>
      </c>
      <c r="K57" t="n">
        <v>0</v>
      </c>
      <c r="L57" t="n">
        <v>0</v>
      </c>
      <c r="M57" t="n">
        <v>0</v>
      </c>
      <c r="N57" t="n">
        <v>0</v>
      </c>
      <c r="O57" t="n">
        <v>0</v>
      </c>
      <c r="P57" t="n">
        <v>0</v>
      </c>
      <c r="Q57" t="n">
        <v>0</v>
      </c>
      <c r="R57" s="2" t="inlineStr"/>
    </row>
    <row r="58" ht="15" customHeight="1">
      <c r="A58" t="inlineStr">
        <is>
          <t>A 35318-2025</t>
        </is>
      </c>
      <c r="B58" s="1" t="n">
        <v>45854.47917824074</v>
      </c>
      <c r="C58" s="1" t="n">
        <v>46116</v>
      </c>
      <c r="D58" t="inlineStr">
        <is>
          <t>UPPSALA LÄN</t>
        </is>
      </c>
      <c r="E58" t="inlineStr">
        <is>
          <t>KNIVSTA</t>
        </is>
      </c>
      <c r="F58" t="inlineStr">
        <is>
          <t>Holmen skog AB</t>
        </is>
      </c>
      <c r="G58" t="n">
        <v>2.2</v>
      </c>
      <c r="H58" t="n">
        <v>0</v>
      </c>
      <c r="I58" t="n">
        <v>0</v>
      </c>
      <c r="J58" t="n">
        <v>0</v>
      </c>
      <c r="K58" t="n">
        <v>0</v>
      </c>
      <c r="L58" t="n">
        <v>0</v>
      </c>
      <c r="M58" t="n">
        <v>0</v>
      </c>
      <c r="N58" t="n">
        <v>0</v>
      </c>
      <c r="O58" t="n">
        <v>0</v>
      </c>
      <c r="P58" t="n">
        <v>0</v>
      </c>
      <c r="Q58" t="n">
        <v>0</v>
      </c>
      <c r="R58" s="2" t="inlineStr"/>
    </row>
    <row r="59" ht="15" customHeight="1">
      <c r="A59" t="inlineStr">
        <is>
          <t>A 36472-2025</t>
        </is>
      </c>
      <c r="B59" s="1" t="n">
        <v>45869.48162037037</v>
      </c>
      <c r="C59" s="1" t="n">
        <v>46116</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36473-2025</t>
        </is>
      </c>
      <c r="B60" s="1" t="n">
        <v>45869.48333333333</v>
      </c>
      <c r="C60" s="1" t="n">
        <v>46116</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46116</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1791-2024</t>
        </is>
      </c>
      <c r="B62" s="1" t="n">
        <v>45307.574375</v>
      </c>
      <c r="C62" s="1" t="n">
        <v>46116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44869-2025</t>
        </is>
      </c>
      <c r="B63" s="1" t="n">
        <v>45918.46758101852</v>
      </c>
      <c r="C63" s="1" t="n">
        <v>46116</v>
      </c>
      <c r="D63" t="inlineStr">
        <is>
          <t>UPPSALA LÄN</t>
        </is>
      </c>
      <c r="E63" t="inlineStr">
        <is>
          <t>KNIVSTA</t>
        </is>
      </c>
      <c r="G63" t="n">
        <v>17.1</v>
      </c>
      <c r="H63" t="n">
        <v>0</v>
      </c>
      <c r="I63" t="n">
        <v>0</v>
      </c>
      <c r="J63" t="n">
        <v>0</v>
      </c>
      <c r="K63" t="n">
        <v>0</v>
      </c>
      <c r="L63" t="n">
        <v>0</v>
      </c>
      <c r="M63" t="n">
        <v>0</v>
      </c>
      <c r="N63" t="n">
        <v>0</v>
      </c>
      <c r="O63" t="n">
        <v>0</v>
      </c>
      <c r="P63" t="n">
        <v>0</v>
      </c>
      <c r="Q63" t="n">
        <v>0</v>
      </c>
      <c r="R63" s="2" t="inlineStr"/>
    </row>
    <row r="64" ht="15" customHeight="1">
      <c r="A64" t="inlineStr">
        <is>
          <t>A 23239-2023</t>
        </is>
      </c>
      <c r="B64" s="1" t="n">
        <v>45075</v>
      </c>
      <c r="C64" s="1" t="n">
        <v>46116</v>
      </c>
      <c r="D64" t="inlineStr">
        <is>
          <t>UPPSALA LÄN</t>
        </is>
      </c>
      <c r="E64" t="inlineStr">
        <is>
          <t>KNIVSTA</t>
        </is>
      </c>
      <c r="G64" t="n">
        <v>1.8</v>
      </c>
      <c r="H64" t="n">
        <v>0</v>
      </c>
      <c r="I64" t="n">
        <v>0</v>
      </c>
      <c r="J64" t="n">
        <v>0</v>
      </c>
      <c r="K64" t="n">
        <v>0</v>
      </c>
      <c r="L64" t="n">
        <v>0</v>
      </c>
      <c r="M64" t="n">
        <v>0</v>
      </c>
      <c r="N64" t="n">
        <v>0</v>
      </c>
      <c r="O64" t="n">
        <v>0</v>
      </c>
      <c r="P64" t="n">
        <v>0</v>
      </c>
      <c r="Q64" t="n">
        <v>0</v>
      </c>
      <c r="R64" s="2" t="inlineStr"/>
    </row>
    <row r="65" ht="15" customHeight="1">
      <c r="A65" t="inlineStr">
        <is>
          <t>A 45453-2025</t>
        </is>
      </c>
      <c r="B65" s="1" t="n">
        <v>45922.48702546296</v>
      </c>
      <c r="C65" s="1" t="n">
        <v>46116</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13040-2025</t>
        </is>
      </c>
      <c r="B66" s="1" t="n">
        <v>45734</v>
      </c>
      <c r="C66" s="1" t="n">
        <v>46116</v>
      </c>
      <c r="D66" t="inlineStr">
        <is>
          <t>UPPSALA LÄN</t>
        </is>
      </c>
      <c r="E66" t="inlineStr">
        <is>
          <t>KNIVSTA</t>
        </is>
      </c>
      <c r="F66" t="inlineStr">
        <is>
          <t>Allmännings- och besparingsskogar</t>
        </is>
      </c>
      <c r="G66" t="n">
        <v>1.6</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46116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66284-2021</t>
        </is>
      </c>
      <c r="B68" s="1" t="n">
        <v>44518</v>
      </c>
      <c r="C68" s="1" t="n">
        <v>46116</v>
      </c>
      <c r="D68" t="inlineStr">
        <is>
          <t>UPPSALA LÄN</t>
        </is>
      </c>
      <c r="E68" t="inlineStr">
        <is>
          <t>KNIVSTA</t>
        </is>
      </c>
      <c r="G68" t="n">
        <v>6.9</v>
      </c>
      <c r="H68" t="n">
        <v>0</v>
      </c>
      <c r="I68" t="n">
        <v>0</v>
      </c>
      <c r="J68" t="n">
        <v>0</v>
      </c>
      <c r="K68" t="n">
        <v>0</v>
      </c>
      <c r="L68" t="n">
        <v>0</v>
      </c>
      <c r="M68" t="n">
        <v>0</v>
      </c>
      <c r="N68" t="n">
        <v>0</v>
      </c>
      <c r="O68" t="n">
        <v>0</v>
      </c>
      <c r="P68" t="n">
        <v>0</v>
      </c>
      <c r="Q68" t="n">
        <v>0</v>
      </c>
      <c r="R68" s="2" t="inlineStr"/>
    </row>
    <row r="69" ht="15" customHeight="1">
      <c r="A69" t="inlineStr">
        <is>
          <t>A 49090-2025</t>
        </is>
      </c>
      <c r="B69" s="1" t="n">
        <v>45937</v>
      </c>
      <c r="C69" s="1" t="n">
        <v>46116</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46116</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46116</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52667-2025</t>
        </is>
      </c>
      <c r="B72" s="1" t="n">
        <v>45955.74666666667</v>
      </c>
      <c r="C72" s="1" t="n">
        <v>46116</v>
      </c>
      <c r="D72" t="inlineStr">
        <is>
          <t>UPPSALA LÄN</t>
        </is>
      </c>
      <c r="E72" t="inlineStr">
        <is>
          <t>KNIVSTA</t>
        </is>
      </c>
      <c r="G72" t="n">
        <v>1</v>
      </c>
      <c r="H72" t="n">
        <v>0</v>
      </c>
      <c r="I72" t="n">
        <v>0</v>
      </c>
      <c r="J72" t="n">
        <v>0</v>
      </c>
      <c r="K72" t="n">
        <v>0</v>
      </c>
      <c r="L72" t="n">
        <v>0</v>
      </c>
      <c r="M72" t="n">
        <v>0</v>
      </c>
      <c r="N72" t="n">
        <v>0</v>
      </c>
      <c r="O72" t="n">
        <v>0</v>
      </c>
      <c r="P72" t="n">
        <v>0</v>
      </c>
      <c r="Q72" t="n">
        <v>0</v>
      </c>
      <c r="R72" s="2" t="inlineStr"/>
    </row>
    <row r="73" ht="15" customHeight="1">
      <c r="A73" t="inlineStr">
        <is>
          <t>A 53898-2025</t>
        </is>
      </c>
      <c r="B73" s="1" t="n">
        <v>45961.43056712963</v>
      </c>
      <c r="C73" s="1" t="n">
        <v>46116</v>
      </c>
      <c r="D73" t="inlineStr">
        <is>
          <t>UPPSALA LÄN</t>
        </is>
      </c>
      <c r="E73" t="inlineStr">
        <is>
          <t>KNIVSTA</t>
        </is>
      </c>
      <c r="G73" t="n">
        <v>4.5</v>
      </c>
      <c r="H73" t="n">
        <v>0</v>
      </c>
      <c r="I73" t="n">
        <v>0</v>
      </c>
      <c r="J73" t="n">
        <v>0</v>
      </c>
      <c r="K73" t="n">
        <v>0</v>
      </c>
      <c r="L73" t="n">
        <v>0</v>
      </c>
      <c r="M73" t="n">
        <v>0</v>
      </c>
      <c r="N73" t="n">
        <v>0</v>
      </c>
      <c r="O73" t="n">
        <v>0</v>
      </c>
      <c r="P73" t="n">
        <v>0</v>
      </c>
      <c r="Q73" t="n">
        <v>0</v>
      </c>
      <c r="R73" s="2" t="inlineStr"/>
    </row>
    <row r="74" ht="15" customHeight="1">
      <c r="A74" t="inlineStr">
        <is>
          <t>A 11847-2023</t>
        </is>
      </c>
      <c r="B74" s="1" t="n">
        <v>44995.33957175926</v>
      </c>
      <c r="C74" s="1" t="n">
        <v>46116</v>
      </c>
      <c r="D74" t="inlineStr">
        <is>
          <t>UPPSALA LÄN</t>
        </is>
      </c>
      <c r="E74" t="inlineStr">
        <is>
          <t>KNIVSTA</t>
        </is>
      </c>
      <c r="G74" t="n">
        <v>2.1</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46116</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53812-2025</t>
        </is>
      </c>
      <c r="B76" s="1" t="n">
        <v>45960</v>
      </c>
      <c r="C76" s="1" t="n">
        <v>46116</v>
      </c>
      <c r="D76" t="inlineStr">
        <is>
          <t>UPPSALA LÄN</t>
        </is>
      </c>
      <c r="E76" t="inlineStr">
        <is>
          <t>KNIVSTA</t>
        </is>
      </c>
      <c r="G76" t="n">
        <v>5.8</v>
      </c>
      <c r="H76" t="n">
        <v>0</v>
      </c>
      <c r="I76" t="n">
        <v>0</v>
      </c>
      <c r="J76" t="n">
        <v>0</v>
      </c>
      <c r="K76" t="n">
        <v>0</v>
      </c>
      <c r="L76" t="n">
        <v>0</v>
      </c>
      <c r="M76" t="n">
        <v>0</v>
      </c>
      <c r="N76" t="n">
        <v>0</v>
      </c>
      <c r="O76" t="n">
        <v>0</v>
      </c>
      <c r="P76" t="n">
        <v>0</v>
      </c>
      <c r="Q76" t="n">
        <v>0</v>
      </c>
      <c r="R76" s="2" t="inlineStr"/>
    </row>
    <row r="77" ht="15" customHeight="1">
      <c r="A77" t="inlineStr">
        <is>
          <t>A 60243-2025</t>
        </is>
      </c>
      <c r="B77" s="1" t="n">
        <v>45994.58650462963</v>
      </c>
      <c r="C77" s="1" t="n">
        <v>46116</v>
      </c>
      <c r="D77" t="inlineStr">
        <is>
          <t>UPPSALA LÄN</t>
        </is>
      </c>
      <c r="E77" t="inlineStr">
        <is>
          <t>KNIVSTA</t>
        </is>
      </c>
      <c r="F77" t="inlineStr">
        <is>
          <t>Holmen skog AB</t>
        </is>
      </c>
      <c r="G77" t="n">
        <v>2.4</v>
      </c>
      <c r="H77" t="n">
        <v>0</v>
      </c>
      <c r="I77" t="n">
        <v>0</v>
      </c>
      <c r="J77" t="n">
        <v>0</v>
      </c>
      <c r="K77" t="n">
        <v>0</v>
      </c>
      <c r="L77" t="n">
        <v>0</v>
      </c>
      <c r="M77" t="n">
        <v>0</v>
      </c>
      <c r="N77" t="n">
        <v>0</v>
      </c>
      <c r="O77" t="n">
        <v>0</v>
      </c>
      <c r="P77" t="n">
        <v>0</v>
      </c>
      <c r="Q77" t="n">
        <v>0</v>
      </c>
      <c r="R77" s="2" t="inlineStr"/>
    </row>
    <row r="78" ht="15" customHeight="1">
      <c r="A78" t="inlineStr">
        <is>
          <t>A 30351-2022</t>
        </is>
      </c>
      <c r="B78" s="1" t="n">
        <v>44757</v>
      </c>
      <c r="C78" s="1" t="n">
        <v>46116</v>
      </c>
      <c r="D78" t="inlineStr">
        <is>
          <t>UPPSALA LÄN</t>
        </is>
      </c>
      <c r="E78" t="inlineStr">
        <is>
          <t>KNIVSTA</t>
        </is>
      </c>
      <c r="G78" t="n">
        <v>5.7</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46116</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31875-2022</t>
        </is>
      </c>
      <c r="B80" s="1" t="n">
        <v>44777</v>
      </c>
      <c r="C80" s="1" t="n">
        <v>46116</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51849-2023</t>
        </is>
      </c>
      <c r="B81" s="1" t="n">
        <v>45223.34391203704</v>
      </c>
      <c r="C81" s="1" t="n">
        <v>46116</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5402-2023</t>
        </is>
      </c>
      <c r="B82" s="1" t="n">
        <v>44959</v>
      </c>
      <c r="C82" s="1" t="n">
        <v>46116</v>
      </c>
      <c r="D82" t="inlineStr">
        <is>
          <t>UPPSALA LÄN</t>
        </is>
      </c>
      <c r="E82" t="inlineStr">
        <is>
          <t>KNIVSTA</t>
        </is>
      </c>
      <c r="G82" t="n">
        <v>4.3</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46116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666-2026</t>
        </is>
      </c>
      <c r="B84" s="1" t="n">
        <v>46029.58832175926</v>
      </c>
      <c r="C84" s="1" t="n">
        <v>46116</v>
      </c>
      <c r="D84" t="inlineStr">
        <is>
          <t>UPPSALA LÄN</t>
        </is>
      </c>
      <c r="E84" t="inlineStr">
        <is>
          <t>KNIVSTA</t>
        </is>
      </c>
      <c r="G84" t="n">
        <v>1.8</v>
      </c>
      <c r="H84" t="n">
        <v>0</v>
      </c>
      <c r="I84" t="n">
        <v>0</v>
      </c>
      <c r="J84" t="n">
        <v>0</v>
      </c>
      <c r="K84" t="n">
        <v>0</v>
      </c>
      <c r="L84" t="n">
        <v>0</v>
      </c>
      <c r="M84" t="n">
        <v>0</v>
      </c>
      <c r="N84" t="n">
        <v>0</v>
      </c>
      <c r="O84" t="n">
        <v>0</v>
      </c>
      <c r="P84" t="n">
        <v>0</v>
      </c>
      <c r="Q84" t="n">
        <v>0</v>
      </c>
      <c r="R84" s="2" t="inlineStr"/>
    </row>
    <row r="85" ht="15" customHeight="1">
      <c r="A85" t="inlineStr">
        <is>
          <t>A 662-2026</t>
        </is>
      </c>
      <c r="B85" s="1" t="n">
        <v>46029.58549768518</v>
      </c>
      <c r="C85" s="1" t="n">
        <v>46116</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45916-2022</t>
        </is>
      </c>
      <c r="B86" s="1" t="n">
        <v>44846</v>
      </c>
      <c r="C86" s="1" t="n">
        <v>46116</v>
      </c>
      <c r="D86" t="inlineStr">
        <is>
          <t>UPPSALA LÄN</t>
        </is>
      </c>
      <c r="E86" t="inlineStr">
        <is>
          <t>KNIVSTA</t>
        </is>
      </c>
      <c r="G86" t="n">
        <v>3.8</v>
      </c>
      <c r="H86" t="n">
        <v>0</v>
      </c>
      <c r="I86" t="n">
        <v>0</v>
      </c>
      <c r="J86" t="n">
        <v>0</v>
      </c>
      <c r="K86" t="n">
        <v>0</v>
      </c>
      <c r="L86" t="n">
        <v>0</v>
      </c>
      <c r="M86" t="n">
        <v>0</v>
      </c>
      <c r="N86" t="n">
        <v>0</v>
      </c>
      <c r="O86" t="n">
        <v>0</v>
      </c>
      <c r="P86" t="n">
        <v>0</v>
      </c>
      <c r="Q86" t="n">
        <v>0</v>
      </c>
      <c r="R86" s="2" t="inlineStr"/>
    </row>
    <row r="87" ht="15" customHeight="1">
      <c r="A87" t="inlineStr">
        <is>
          <t>A 2952-2026</t>
        </is>
      </c>
      <c r="B87" s="1" t="n">
        <v>46037</v>
      </c>
      <c r="C87" s="1" t="n">
        <v>46116</v>
      </c>
      <c r="D87" t="inlineStr">
        <is>
          <t>UPPSALA LÄN</t>
        </is>
      </c>
      <c r="E87" t="inlineStr">
        <is>
          <t>KNIVSTA</t>
        </is>
      </c>
      <c r="G87" t="n">
        <v>2</v>
      </c>
      <c r="H87" t="n">
        <v>0</v>
      </c>
      <c r="I87" t="n">
        <v>0</v>
      </c>
      <c r="J87" t="n">
        <v>0</v>
      </c>
      <c r="K87" t="n">
        <v>0</v>
      </c>
      <c r="L87" t="n">
        <v>0</v>
      </c>
      <c r="M87" t="n">
        <v>0</v>
      </c>
      <c r="N87" t="n">
        <v>0</v>
      </c>
      <c r="O87" t="n">
        <v>0</v>
      </c>
      <c r="P87" t="n">
        <v>0</v>
      </c>
      <c r="Q87" t="n">
        <v>0</v>
      </c>
      <c r="R87" s="2" t="inlineStr"/>
    </row>
    <row r="88" ht="15" customHeight="1">
      <c r="A88" t="inlineStr">
        <is>
          <t>A 2629-2025</t>
        </is>
      </c>
      <c r="B88" s="1" t="n">
        <v>45675.6953587963</v>
      </c>
      <c r="C88" s="1" t="n">
        <v>46116</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5276-2026</t>
        </is>
      </c>
      <c r="B89" s="1" t="n">
        <v>46037</v>
      </c>
      <c r="C89" s="1" t="n">
        <v>46116</v>
      </c>
      <c r="D89" t="inlineStr">
        <is>
          <t>UPPSALA LÄN</t>
        </is>
      </c>
      <c r="E89" t="inlineStr">
        <is>
          <t>KNIVSTA</t>
        </is>
      </c>
      <c r="G89" t="n">
        <v>1.9</v>
      </c>
      <c r="H89" t="n">
        <v>0</v>
      </c>
      <c r="I89" t="n">
        <v>0</v>
      </c>
      <c r="J89" t="n">
        <v>0</v>
      </c>
      <c r="K89" t="n">
        <v>0</v>
      </c>
      <c r="L89" t="n">
        <v>0</v>
      </c>
      <c r="M89" t="n">
        <v>0</v>
      </c>
      <c r="N89" t="n">
        <v>0</v>
      </c>
      <c r="O89" t="n">
        <v>0</v>
      </c>
      <c r="P89" t="n">
        <v>0</v>
      </c>
      <c r="Q89" t="n">
        <v>0</v>
      </c>
      <c r="R89" s="2" t="inlineStr"/>
    </row>
    <row r="90" ht="15" customHeight="1">
      <c r="A90" t="inlineStr">
        <is>
          <t>A 2944-2026</t>
        </is>
      </c>
      <c r="B90" s="1" t="n">
        <v>46037</v>
      </c>
      <c r="C90" s="1" t="n">
        <v>46116</v>
      </c>
      <c r="D90" t="inlineStr">
        <is>
          <t>UPPSALA LÄN</t>
        </is>
      </c>
      <c r="E90" t="inlineStr">
        <is>
          <t>KNIVSTA</t>
        </is>
      </c>
      <c r="G90" t="n">
        <v>4.7</v>
      </c>
      <c r="H90" t="n">
        <v>0</v>
      </c>
      <c r="I90" t="n">
        <v>0</v>
      </c>
      <c r="J90" t="n">
        <v>0</v>
      </c>
      <c r="K90" t="n">
        <v>0</v>
      </c>
      <c r="L90" t="n">
        <v>0</v>
      </c>
      <c r="M90" t="n">
        <v>0</v>
      </c>
      <c r="N90" t="n">
        <v>0</v>
      </c>
      <c r="O90" t="n">
        <v>0</v>
      </c>
      <c r="P90" t="n">
        <v>0</v>
      </c>
      <c r="Q90" t="n">
        <v>0</v>
      </c>
      <c r="R90" s="2" t="inlineStr"/>
    </row>
    <row r="91" ht="15" customHeight="1">
      <c r="A91" t="inlineStr">
        <is>
          <t>A 5320-2023</t>
        </is>
      </c>
      <c r="B91" s="1" t="n">
        <v>44959</v>
      </c>
      <c r="C91" s="1" t="n">
        <v>46116</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3015-2026</t>
        </is>
      </c>
      <c r="B92" s="1" t="n">
        <v>46038</v>
      </c>
      <c r="C92" s="1" t="n">
        <v>46116</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3016-2026</t>
        </is>
      </c>
      <c r="B93" s="1" t="n">
        <v>46038</v>
      </c>
      <c r="C93" s="1" t="n">
        <v>46116</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3824-2026</t>
        </is>
      </c>
      <c r="B94" s="1" t="n">
        <v>46043.58570601852</v>
      </c>
      <c r="C94" s="1" t="n">
        <v>46116</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12027-2026</t>
        </is>
      </c>
      <c r="B95" s="1" t="n">
        <v>46085.84549768519</v>
      </c>
      <c r="C95" s="1" t="n">
        <v>46116</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3836-2026</t>
        </is>
      </c>
      <c r="B96" s="1" t="n">
        <v>46043.5925</v>
      </c>
      <c r="C96" s="1" t="n">
        <v>46116</v>
      </c>
      <c r="D96" t="inlineStr">
        <is>
          <t>UPPSALA LÄN</t>
        </is>
      </c>
      <c r="E96" t="inlineStr">
        <is>
          <t>KNIVSTA</t>
        </is>
      </c>
      <c r="G96" t="n">
        <v>3.7</v>
      </c>
      <c r="H96" t="n">
        <v>0</v>
      </c>
      <c r="I96" t="n">
        <v>0</v>
      </c>
      <c r="J96" t="n">
        <v>0</v>
      </c>
      <c r="K96" t="n">
        <v>0</v>
      </c>
      <c r="L96" t="n">
        <v>0</v>
      </c>
      <c r="M96" t="n">
        <v>0</v>
      </c>
      <c r="N96" t="n">
        <v>0</v>
      </c>
      <c r="O96" t="n">
        <v>0</v>
      </c>
      <c r="P96" t="n">
        <v>0</v>
      </c>
      <c r="Q96" t="n">
        <v>0</v>
      </c>
      <c r="R96" s="2" t="inlineStr"/>
    </row>
    <row r="97" ht="15" customHeight="1">
      <c r="A97" t="inlineStr">
        <is>
          <t>A 3375-2026</t>
        </is>
      </c>
      <c r="B97" s="1" t="n">
        <v>46042</v>
      </c>
      <c r="C97" s="1" t="n">
        <v>46116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46116</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30627-2023</t>
        </is>
      </c>
      <c r="B99" s="1" t="n">
        <v>45112</v>
      </c>
      <c r="C99" s="1" t="n">
        <v>46116</v>
      </c>
      <c r="D99" t="inlineStr">
        <is>
          <t>UPPSALA LÄN</t>
        </is>
      </c>
      <c r="E99" t="inlineStr">
        <is>
          <t>KNIVSTA</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12774-2026</t>
        </is>
      </c>
      <c r="B100" s="1" t="n">
        <v>46091.70140046296</v>
      </c>
      <c r="C100" s="1" t="n">
        <v>46116</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13001-2026</t>
        </is>
      </c>
      <c r="B101" s="1" t="n">
        <v>46092.68502314815</v>
      </c>
      <c r="C101" s="1" t="n">
        <v>46116</v>
      </c>
      <c r="D101" t="inlineStr">
        <is>
          <t>UPPSALA LÄN</t>
        </is>
      </c>
      <c r="E101" t="inlineStr">
        <is>
          <t>KNIVSTA</t>
        </is>
      </c>
      <c r="F101" t="inlineStr">
        <is>
          <t>Holmen skog AB</t>
        </is>
      </c>
      <c r="G101" t="n">
        <v>2.9</v>
      </c>
      <c r="H101" t="n">
        <v>0</v>
      </c>
      <c r="I101" t="n">
        <v>0</v>
      </c>
      <c r="J101" t="n">
        <v>0</v>
      </c>
      <c r="K101" t="n">
        <v>0</v>
      </c>
      <c r="L101" t="n">
        <v>0</v>
      </c>
      <c r="M101" t="n">
        <v>0</v>
      </c>
      <c r="N101" t="n">
        <v>0</v>
      </c>
      <c r="O101" t="n">
        <v>0</v>
      </c>
      <c r="P101" t="n">
        <v>0</v>
      </c>
      <c r="Q101" t="n">
        <v>0</v>
      </c>
      <c r="R101" s="2" t="inlineStr"/>
    </row>
    <row r="102" ht="15" customHeight="1">
      <c r="A102" t="inlineStr">
        <is>
          <t>A 12991-2026</t>
        </is>
      </c>
      <c r="B102" s="1" t="n">
        <v>46092.66820601852</v>
      </c>
      <c r="C102" s="1" t="n">
        <v>46116</v>
      </c>
      <c r="D102" t="inlineStr">
        <is>
          <t>UPPSALA LÄN</t>
        </is>
      </c>
      <c r="E102" t="inlineStr">
        <is>
          <t>KNIVSTA</t>
        </is>
      </c>
      <c r="F102" t="inlineStr">
        <is>
          <t>Holmen skog AB</t>
        </is>
      </c>
      <c r="G102" t="n">
        <v>4.6</v>
      </c>
      <c r="H102" t="n">
        <v>0</v>
      </c>
      <c r="I102" t="n">
        <v>0</v>
      </c>
      <c r="J102" t="n">
        <v>0</v>
      </c>
      <c r="K102" t="n">
        <v>0</v>
      </c>
      <c r="L102" t="n">
        <v>0</v>
      </c>
      <c r="M102" t="n">
        <v>0</v>
      </c>
      <c r="N102" t="n">
        <v>0</v>
      </c>
      <c r="O102" t="n">
        <v>0</v>
      </c>
      <c r="P102" t="n">
        <v>0</v>
      </c>
      <c r="Q102" t="n">
        <v>0</v>
      </c>
      <c r="R102" s="2" t="inlineStr"/>
    </row>
    <row r="103" ht="15" customHeight="1">
      <c r="A103" t="inlineStr">
        <is>
          <t>A 13011-2026</t>
        </is>
      </c>
      <c r="B103" s="1" t="n">
        <v>46092.71887731482</v>
      </c>
      <c r="C103" s="1" t="n">
        <v>46116</v>
      </c>
      <c r="D103" t="inlineStr">
        <is>
          <t>UPPSALA LÄN</t>
        </is>
      </c>
      <c r="E103" t="inlineStr">
        <is>
          <t>KNIVSTA</t>
        </is>
      </c>
      <c r="F103" t="inlineStr">
        <is>
          <t>Holmen skog AB</t>
        </is>
      </c>
      <c r="G103" t="n">
        <v>1.9</v>
      </c>
      <c r="H103" t="n">
        <v>0</v>
      </c>
      <c r="I103" t="n">
        <v>0</v>
      </c>
      <c r="J103" t="n">
        <v>0</v>
      </c>
      <c r="K103" t="n">
        <v>0</v>
      </c>
      <c r="L103" t="n">
        <v>0</v>
      </c>
      <c r="M103" t="n">
        <v>0</v>
      </c>
      <c r="N103" t="n">
        <v>0</v>
      </c>
      <c r="O103" t="n">
        <v>0</v>
      </c>
      <c r="P103" t="n">
        <v>0</v>
      </c>
      <c r="Q103" t="n">
        <v>0</v>
      </c>
      <c r="R103" s="2" t="inlineStr"/>
      <c r="U103">
        <f>HYPERLINK("https://klasma.github.io/Logging_0330/knärot/A 13011-2026 karta knärot.png", "A 13011-2026")</f>
        <v/>
      </c>
      <c r="V103">
        <f>HYPERLINK("https://klasma.github.io/Logging_0330/klagomål/A 13011-2026 FSC-klagomål.docx", "A 13011-2026")</f>
        <v/>
      </c>
      <c r="W103">
        <f>HYPERLINK("https://klasma.github.io/Logging_0330/klagomålsmail/A 13011-2026 FSC-klagomål mail.docx", "A 13011-2026")</f>
        <v/>
      </c>
      <c r="X103">
        <f>HYPERLINK("https://klasma.github.io/Logging_0330/tillsyn/A 13011-2026 tillsynsbegäran.docx", "A 13011-2026")</f>
        <v/>
      </c>
      <c r="Y103">
        <f>HYPERLINK("https://klasma.github.io/Logging_0330/tillsynsmail/A 13011-2026 tillsynsbegäran mail.docx", "A 13011-2026")</f>
        <v/>
      </c>
    </row>
    <row r="104" ht="15" customHeight="1">
      <c r="A104" t="inlineStr">
        <is>
          <t>A 13005-2026</t>
        </is>
      </c>
      <c r="B104" s="1" t="n">
        <v>46092.69429398148</v>
      </c>
      <c r="C104" s="1" t="n">
        <v>46116</v>
      </c>
      <c r="D104" t="inlineStr">
        <is>
          <t>UPPSALA LÄN</t>
        </is>
      </c>
      <c r="E104" t="inlineStr">
        <is>
          <t>KNIVSTA</t>
        </is>
      </c>
      <c r="F104" t="inlineStr">
        <is>
          <t>Holmen skog AB</t>
        </is>
      </c>
      <c r="G104" t="n">
        <v>3</v>
      </c>
      <c r="H104" t="n">
        <v>0</v>
      </c>
      <c r="I104" t="n">
        <v>0</v>
      </c>
      <c r="J104" t="n">
        <v>0</v>
      </c>
      <c r="K104" t="n">
        <v>0</v>
      </c>
      <c r="L104" t="n">
        <v>0</v>
      </c>
      <c r="M104" t="n">
        <v>0</v>
      </c>
      <c r="N104" t="n">
        <v>0</v>
      </c>
      <c r="O104" t="n">
        <v>0</v>
      </c>
      <c r="P104" t="n">
        <v>0</v>
      </c>
      <c r="Q104" t="n">
        <v>0</v>
      </c>
      <c r="R104" s="2" t="inlineStr"/>
    </row>
    <row r="105" ht="15" customHeight="1">
      <c r="A105" t="inlineStr">
        <is>
          <t>A 13016-2026</t>
        </is>
      </c>
      <c r="B105" s="1" t="n">
        <v>46092.73381944445</v>
      </c>
      <c r="C105" s="1" t="n">
        <v>46116</v>
      </c>
      <c r="D105" t="inlineStr">
        <is>
          <t>UPPSALA LÄN</t>
        </is>
      </c>
      <c r="E105" t="inlineStr">
        <is>
          <t>KNIVSTA</t>
        </is>
      </c>
      <c r="F105" t="inlineStr">
        <is>
          <t>Holmen skog AB</t>
        </is>
      </c>
      <c r="G105" t="n">
        <v>1.5</v>
      </c>
      <c r="H105" t="n">
        <v>0</v>
      </c>
      <c r="I105" t="n">
        <v>0</v>
      </c>
      <c r="J105" t="n">
        <v>0</v>
      </c>
      <c r="K105" t="n">
        <v>0</v>
      </c>
      <c r="L105" t="n">
        <v>0</v>
      </c>
      <c r="M105" t="n">
        <v>0</v>
      </c>
      <c r="N105" t="n">
        <v>0</v>
      </c>
      <c r="O105" t="n">
        <v>0</v>
      </c>
      <c r="P105" t="n">
        <v>0</v>
      </c>
      <c r="Q105" t="n">
        <v>0</v>
      </c>
      <c r="R105" s="2" t="inlineStr"/>
    </row>
    <row r="106" ht="15" customHeight="1">
      <c r="A106" t="inlineStr">
        <is>
          <t>A 13013-2026</t>
        </is>
      </c>
      <c r="B106" s="1" t="n">
        <v>46092.7271412037</v>
      </c>
      <c r="C106" s="1" t="n">
        <v>46116</v>
      </c>
      <c r="D106" t="inlineStr">
        <is>
          <t>UPPSALA LÄN</t>
        </is>
      </c>
      <c r="E106" t="inlineStr">
        <is>
          <t>KNIVSTA</t>
        </is>
      </c>
      <c r="F106" t="inlineStr">
        <is>
          <t>Holmen skog AB</t>
        </is>
      </c>
      <c r="G106" t="n">
        <v>4.6</v>
      </c>
      <c r="H106" t="n">
        <v>0</v>
      </c>
      <c r="I106" t="n">
        <v>0</v>
      </c>
      <c r="J106" t="n">
        <v>0</v>
      </c>
      <c r="K106" t="n">
        <v>0</v>
      </c>
      <c r="L106" t="n">
        <v>0</v>
      </c>
      <c r="M106" t="n">
        <v>0</v>
      </c>
      <c r="N106" t="n">
        <v>0</v>
      </c>
      <c r="O106" t="n">
        <v>0</v>
      </c>
      <c r="P106" t="n">
        <v>0</v>
      </c>
      <c r="Q106" t="n">
        <v>0</v>
      </c>
      <c r="R106" s="2" t="inlineStr"/>
    </row>
    <row r="107" ht="15" customHeight="1">
      <c r="A107" t="inlineStr">
        <is>
          <t>A 5908-2026</t>
        </is>
      </c>
      <c r="B107" s="1" t="n">
        <v>46052.44399305555</v>
      </c>
      <c r="C107" s="1" t="n">
        <v>46116</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5910-2026</t>
        </is>
      </c>
      <c r="B108" s="1" t="n">
        <v>46052.44677083333</v>
      </c>
      <c r="C108" s="1" t="n">
        <v>46116</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43908-2023</t>
        </is>
      </c>
      <c r="B109" s="1" t="n">
        <v>45187</v>
      </c>
      <c r="C109" s="1" t="n">
        <v>46116</v>
      </c>
      <c r="D109" t="inlineStr">
        <is>
          <t>UPPSALA LÄN</t>
        </is>
      </c>
      <c r="E109" t="inlineStr">
        <is>
          <t>KNIVSTA</t>
        </is>
      </c>
      <c r="F109" t="inlineStr">
        <is>
          <t>Kyrkan</t>
        </is>
      </c>
      <c r="G109" t="n">
        <v>1.7</v>
      </c>
      <c r="H109" t="n">
        <v>0</v>
      </c>
      <c r="I109" t="n">
        <v>0</v>
      </c>
      <c r="J109" t="n">
        <v>0</v>
      </c>
      <c r="K109" t="n">
        <v>0</v>
      </c>
      <c r="L109" t="n">
        <v>0</v>
      </c>
      <c r="M109" t="n">
        <v>0</v>
      </c>
      <c r="N109" t="n">
        <v>0</v>
      </c>
      <c r="O109" t="n">
        <v>0</v>
      </c>
      <c r="P109" t="n">
        <v>0</v>
      </c>
      <c r="Q109" t="n">
        <v>0</v>
      </c>
      <c r="R109" s="2" t="inlineStr"/>
    </row>
    <row r="110" ht="15" customHeight="1">
      <c r="A110" t="inlineStr">
        <is>
          <t>A 8343-2024</t>
        </is>
      </c>
      <c r="B110" s="1" t="n">
        <v>45352</v>
      </c>
      <c r="C110" s="1" t="n">
        <v>46116</v>
      </c>
      <c r="D110" t="inlineStr">
        <is>
          <t>UPPSALA LÄN</t>
        </is>
      </c>
      <c r="E110" t="inlineStr">
        <is>
          <t>KNIVSTA</t>
        </is>
      </c>
      <c r="F110" t="inlineStr">
        <is>
          <t>Holmen skog AB</t>
        </is>
      </c>
      <c r="G110" t="n">
        <v>1.4</v>
      </c>
      <c r="H110" t="n">
        <v>0</v>
      </c>
      <c r="I110" t="n">
        <v>0</v>
      </c>
      <c r="J110" t="n">
        <v>0</v>
      </c>
      <c r="K110" t="n">
        <v>0</v>
      </c>
      <c r="L110" t="n">
        <v>0</v>
      </c>
      <c r="M110" t="n">
        <v>0</v>
      </c>
      <c r="N110" t="n">
        <v>0</v>
      </c>
      <c r="O110" t="n">
        <v>0</v>
      </c>
      <c r="P110" t="n">
        <v>0</v>
      </c>
      <c r="Q110" t="n">
        <v>0</v>
      </c>
      <c r="R110" s="2" t="inlineStr"/>
    </row>
    <row r="111" ht="15" customHeight="1">
      <c r="A111" t="inlineStr">
        <is>
          <t>A 60885-2021</t>
        </is>
      </c>
      <c r="B111" s="1" t="n">
        <v>44497</v>
      </c>
      <c r="C111" s="1" t="n">
        <v>46116</v>
      </c>
      <c r="D111" t="inlineStr">
        <is>
          <t>UPPSALA LÄN</t>
        </is>
      </c>
      <c r="E111" t="inlineStr">
        <is>
          <t>KNIVSTA</t>
        </is>
      </c>
      <c r="G111" t="n">
        <v>1.5</v>
      </c>
      <c r="H111" t="n">
        <v>0</v>
      </c>
      <c r="I111" t="n">
        <v>0</v>
      </c>
      <c r="J111" t="n">
        <v>0</v>
      </c>
      <c r="K111" t="n">
        <v>0</v>
      </c>
      <c r="L111" t="n">
        <v>0</v>
      </c>
      <c r="M111" t="n">
        <v>0</v>
      </c>
      <c r="N111" t="n">
        <v>0</v>
      </c>
      <c r="O111" t="n">
        <v>0</v>
      </c>
      <c r="P111" t="n">
        <v>0</v>
      </c>
      <c r="Q111" t="n">
        <v>0</v>
      </c>
      <c r="R111" s="2" t="inlineStr"/>
    </row>
    <row r="112" ht="15" customHeight="1">
      <c r="A112" t="inlineStr">
        <is>
          <t>A 19676-2025</t>
        </is>
      </c>
      <c r="B112" s="1" t="n">
        <v>45770</v>
      </c>
      <c r="C112" s="1" t="n">
        <v>46116</v>
      </c>
      <c r="D112" t="inlineStr">
        <is>
          <t>UPPSALA LÄN</t>
        </is>
      </c>
      <c r="E112" t="inlineStr">
        <is>
          <t>KNIVSTA</t>
        </is>
      </c>
      <c r="G112" t="n">
        <v>0.9</v>
      </c>
      <c r="H112" t="n">
        <v>0</v>
      </c>
      <c r="I112" t="n">
        <v>0</v>
      </c>
      <c r="J112" t="n">
        <v>0</v>
      </c>
      <c r="K112" t="n">
        <v>0</v>
      </c>
      <c r="L112" t="n">
        <v>0</v>
      </c>
      <c r="M112" t="n">
        <v>0</v>
      </c>
      <c r="N112" t="n">
        <v>0</v>
      </c>
      <c r="O112" t="n">
        <v>0</v>
      </c>
      <c r="P112" t="n">
        <v>0</v>
      </c>
      <c r="Q112" t="n">
        <v>0</v>
      </c>
      <c r="R112" s="2" t="inlineStr"/>
    </row>
    <row r="113" ht="15" customHeight="1">
      <c r="A113" t="inlineStr">
        <is>
          <t>A 14267-2025</t>
        </is>
      </c>
      <c r="B113" s="1" t="n">
        <v>45740.63686342593</v>
      </c>
      <c r="C113" s="1" t="n">
        <v>46116</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9744-2026</t>
        </is>
      </c>
      <c r="B114" s="1" t="n">
        <v>46072.51857638889</v>
      </c>
      <c r="C114" s="1" t="n">
        <v>46116</v>
      </c>
      <c r="D114" t="inlineStr">
        <is>
          <t>UPPSALA LÄN</t>
        </is>
      </c>
      <c r="E114" t="inlineStr">
        <is>
          <t>KNIVSTA</t>
        </is>
      </c>
      <c r="G114" t="n">
        <v>2.4</v>
      </c>
      <c r="H114" t="n">
        <v>0</v>
      </c>
      <c r="I114" t="n">
        <v>0</v>
      </c>
      <c r="J114" t="n">
        <v>0</v>
      </c>
      <c r="K114" t="n">
        <v>0</v>
      </c>
      <c r="L114" t="n">
        <v>0</v>
      </c>
      <c r="M114" t="n">
        <v>0</v>
      </c>
      <c r="N114" t="n">
        <v>0</v>
      </c>
      <c r="O114" t="n">
        <v>0</v>
      </c>
      <c r="P114" t="n">
        <v>0</v>
      </c>
      <c r="Q114" t="n">
        <v>0</v>
      </c>
      <c r="R114" s="2" t="inlineStr"/>
    </row>
    <row r="115" ht="15" customHeight="1">
      <c r="A115" t="inlineStr">
        <is>
          <t>A 13697-2024</t>
        </is>
      </c>
      <c r="B115" s="1" t="n">
        <v>45390</v>
      </c>
      <c r="C115" s="1" t="n">
        <v>46116</v>
      </c>
      <c r="D115" t="inlineStr">
        <is>
          <t>UPPSALA LÄN</t>
        </is>
      </c>
      <c r="E115" t="inlineStr">
        <is>
          <t>KNIVSTA</t>
        </is>
      </c>
      <c r="F115" t="inlineStr">
        <is>
          <t>Holmen skog AB</t>
        </is>
      </c>
      <c r="G115" t="n">
        <v>1.3</v>
      </c>
      <c r="H115" t="n">
        <v>0</v>
      </c>
      <c r="I115" t="n">
        <v>0</v>
      </c>
      <c r="J115" t="n">
        <v>0</v>
      </c>
      <c r="K115" t="n">
        <v>0</v>
      </c>
      <c r="L115" t="n">
        <v>0</v>
      </c>
      <c r="M115" t="n">
        <v>0</v>
      </c>
      <c r="N115" t="n">
        <v>0</v>
      </c>
      <c r="O115" t="n">
        <v>0</v>
      </c>
      <c r="P115" t="n">
        <v>0</v>
      </c>
      <c r="Q115" t="n">
        <v>0</v>
      </c>
      <c r="R115" s="2" t="inlineStr"/>
    </row>
    <row r="116" ht="15" customHeight="1">
      <c r="A116" t="inlineStr">
        <is>
          <t>A 66305-2021</t>
        </is>
      </c>
      <c r="B116" s="1" t="n">
        <v>44518</v>
      </c>
      <c r="C116" s="1" t="n">
        <v>46116</v>
      </c>
      <c r="D116" t="inlineStr">
        <is>
          <t>UPPSALA LÄN</t>
        </is>
      </c>
      <c r="E116" t="inlineStr">
        <is>
          <t>KNIVSTA</t>
        </is>
      </c>
      <c r="G116" t="n">
        <v>8.300000000000001</v>
      </c>
      <c r="H116" t="n">
        <v>0</v>
      </c>
      <c r="I116" t="n">
        <v>0</v>
      </c>
      <c r="J116" t="n">
        <v>0</v>
      </c>
      <c r="K116" t="n">
        <v>0</v>
      </c>
      <c r="L116" t="n">
        <v>0</v>
      </c>
      <c r="M116" t="n">
        <v>0</v>
      </c>
      <c r="N116" t="n">
        <v>0</v>
      </c>
      <c r="O116" t="n">
        <v>0</v>
      </c>
      <c r="P116" t="n">
        <v>0</v>
      </c>
      <c r="Q116" t="n">
        <v>0</v>
      </c>
      <c r="R116" s="2" t="inlineStr"/>
    </row>
    <row r="117" ht="15" customHeight="1">
      <c r="A117" t="inlineStr">
        <is>
          <t>A 1629-2024</t>
        </is>
      </c>
      <c r="B117" s="1" t="n">
        <v>45306</v>
      </c>
      <c r="C117" s="1" t="n">
        <v>46116</v>
      </c>
      <c r="D117" t="inlineStr">
        <is>
          <t>UPPSALA LÄN</t>
        </is>
      </c>
      <c r="E117" t="inlineStr">
        <is>
          <t>KNIVSTA</t>
        </is>
      </c>
      <c r="F117" t="inlineStr">
        <is>
          <t>Holmen skog AB</t>
        </is>
      </c>
      <c r="G117" t="n">
        <v>3.6</v>
      </c>
      <c r="H117" t="n">
        <v>0</v>
      </c>
      <c r="I117" t="n">
        <v>0</v>
      </c>
      <c r="J117" t="n">
        <v>0</v>
      </c>
      <c r="K117" t="n">
        <v>0</v>
      </c>
      <c r="L117" t="n">
        <v>0</v>
      </c>
      <c r="M117" t="n">
        <v>0</v>
      </c>
      <c r="N117" t="n">
        <v>0</v>
      </c>
      <c r="O117" t="n">
        <v>0</v>
      </c>
      <c r="P117" t="n">
        <v>0</v>
      </c>
      <c r="Q117" t="n">
        <v>0</v>
      </c>
      <c r="R117" s="2" t="inlineStr"/>
    </row>
    <row r="118" ht="15" customHeight="1">
      <c r="A118" t="inlineStr">
        <is>
          <t>A 30764-2023</t>
        </is>
      </c>
      <c r="B118" s="1" t="n">
        <v>45112</v>
      </c>
      <c r="C118" s="1" t="n">
        <v>46116</v>
      </c>
      <c r="D118" t="inlineStr">
        <is>
          <t>UPPSALA LÄN</t>
        </is>
      </c>
      <c r="E118" t="inlineStr">
        <is>
          <t>KNIVSTA</t>
        </is>
      </c>
      <c r="F118" t="inlineStr">
        <is>
          <t>Holmen skog AB</t>
        </is>
      </c>
      <c r="G118" t="n">
        <v>0.9</v>
      </c>
      <c r="H118" t="n">
        <v>0</v>
      </c>
      <c r="I118" t="n">
        <v>0</v>
      </c>
      <c r="J118" t="n">
        <v>0</v>
      </c>
      <c r="K118" t="n">
        <v>0</v>
      </c>
      <c r="L118" t="n">
        <v>0</v>
      </c>
      <c r="M118" t="n">
        <v>0</v>
      </c>
      <c r="N118" t="n">
        <v>0</v>
      </c>
      <c r="O118" t="n">
        <v>0</v>
      </c>
      <c r="P118" t="n">
        <v>0</v>
      </c>
      <c r="Q118" t="n">
        <v>0</v>
      </c>
      <c r="R118" s="2" t="inlineStr"/>
    </row>
    <row r="119" ht="15" customHeight="1">
      <c r="A119" t="inlineStr">
        <is>
          <t>A 2171-2024</t>
        </is>
      </c>
      <c r="B119" s="1" t="n">
        <v>45309</v>
      </c>
      <c r="C119" s="1" t="n">
        <v>46116</v>
      </c>
      <c r="D119" t="inlineStr">
        <is>
          <t>UPPSALA LÄN</t>
        </is>
      </c>
      <c r="E119" t="inlineStr">
        <is>
          <t>KNIVSTA</t>
        </is>
      </c>
      <c r="F119" t="inlineStr">
        <is>
          <t>Holmen skog AB</t>
        </is>
      </c>
      <c r="G119" t="n">
        <v>3.3</v>
      </c>
      <c r="H119" t="n">
        <v>0</v>
      </c>
      <c r="I119" t="n">
        <v>0</v>
      </c>
      <c r="J119" t="n">
        <v>0</v>
      </c>
      <c r="K119" t="n">
        <v>0</v>
      </c>
      <c r="L119" t="n">
        <v>0</v>
      </c>
      <c r="M119" t="n">
        <v>0</v>
      </c>
      <c r="N119" t="n">
        <v>0</v>
      </c>
      <c r="O119" t="n">
        <v>0</v>
      </c>
      <c r="P119" t="n">
        <v>0</v>
      </c>
      <c r="Q119" t="n">
        <v>0</v>
      </c>
      <c r="R119" s="2" t="inlineStr"/>
    </row>
    <row r="120" ht="15" customHeight="1">
      <c r="A120" t="inlineStr">
        <is>
          <t>A 21130-2025</t>
        </is>
      </c>
      <c r="B120" s="1" t="n">
        <v>45778.35857638889</v>
      </c>
      <c r="C120" s="1" t="n">
        <v>46116</v>
      </c>
      <c r="D120" t="inlineStr">
        <is>
          <t>UPPSALA LÄN</t>
        </is>
      </c>
      <c r="E120" t="inlineStr">
        <is>
          <t>KNIVSTA</t>
        </is>
      </c>
      <c r="G120" t="n">
        <v>2.2</v>
      </c>
      <c r="H120" t="n">
        <v>0</v>
      </c>
      <c r="I120" t="n">
        <v>0</v>
      </c>
      <c r="J120" t="n">
        <v>0</v>
      </c>
      <c r="K120" t="n">
        <v>0</v>
      </c>
      <c r="L120" t="n">
        <v>0</v>
      </c>
      <c r="M120" t="n">
        <v>0</v>
      </c>
      <c r="N120" t="n">
        <v>0</v>
      </c>
      <c r="O120" t="n">
        <v>0</v>
      </c>
      <c r="P120" t="n">
        <v>0</v>
      </c>
      <c r="Q120" t="n">
        <v>0</v>
      </c>
      <c r="R120" s="2" t="inlineStr"/>
    </row>
    <row r="121" ht="15" customHeight="1">
      <c r="A121" t="inlineStr">
        <is>
          <t>A 794-2024</t>
        </is>
      </c>
      <c r="B121" s="1" t="n">
        <v>45300.58149305556</v>
      </c>
      <c r="C121" s="1" t="n">
        <v>46116</v>
      </c>
      <c r="D121" t="inlineStr">
        <is>
          <t>UPPSALA LÄN</t>
        </is>
      </c>
      <c r="E121" t="inlineStr">
        <is>
          <t>KNIVSTA</t>
        </is>
      </c>
      <c r="G121" t="n">
        <v>1.6</v>
      </c>
      <c r="H121" t="n">
        <v>0</v>
      </c>
      <c r="I121" t="n">
        <v>0</v>
      </c>
      <c r="J121" t="n">
        <v>0</v>
      </c>
      <c r="K121" t="n">
        <v>0</v>
      </c>
      <c r="L121" t="n">
        <v>0</v>
      </c>
      <c r="M121" t="n">
        <v>0</v>
      </c>
      <c r="N121" t="n">
        <v>0</v>
      </c>
      <c r="O121" t="n">
        <v>0</v>
      </c>
      <c r="P121" t="n">
        <v>0</v>
      </c>
      <c r="Q121" t="n">
        <v>0</v>
      </c>
      <c r="R121" s="2" t="inlineStr"/>
    </row>
    <row r="122" ht="15" customHeight="1">
      <c r="A122" t="inlineStr">
        <is>
          <t>A 20902-2024</t>
        </is>
      </c>
      <c r="B122" s="1" t="n">
        <v>45439.48104166667</v>
      </c>
      <c r="C122" s="1" t="n">
        <v>46116</v>
      </c>
      <c r="D122" t="inlineStr">
        <is>
          <t>UPPSALA LÄN</t>
        </is>
      </c>
      <c r="E122" t="inlineStr">
        <is>
          <t>KNIVSTA</t>
        </is>
      </c>
      <c r="G122" t="n">
        <v>1</v>
      </c>
      <c r="H122" t="n">
        <v>0</v>
      </c>
      <c r="I122" t="n">
        <v>0</v>
      </c>
      <c r="J122" t="n">
        <v>0</v>
      </c>
      <c r="K122" t="n">
        <v>0</v>
      </c>
      <c r="L122" t="n">
        <v>0</v>
      </c>
      <c r="M122" t="n">
        <v>0</v>
      </c>
      <c r="N122" t="n">
        <v>0</v>
      </c>
      <c r="O122" t="n">
        <v>0</v>
      </c>
      <c r="P122" t="n">
        <v>0</v>
      </c>
      <c r="Q122" t="n">
        <v>0</v>
      </c>
      <c r="R122" s="2" t="inlineStr"/>
    </row>
    <row r="123" ht="15" customHeight="1">
      <c r="A123" t="inlineStr">
        <is>
          <t>A 26226-2025</t>
        </is>
      </c>
      <c r="B123" s="1" t="n">
        <v>45805.55829861111</v>
      </c>
      <c r="C123" s="1" t="n">
        <v>46116</v>
      </c>
      <c r="D123" t="inlineStr">
        <is>
          <t>UPPSALA LÄN</t>
        </is>
      </c>
      <c r="E123" t="inlineStr">
        <is>
          <t>KNIVSTA</t>
        </is>
      </c>
      <c r="G123" t="n">
        <v>9.1</v>
      </c>
      <c r="H123" t="n">
        <v>0</v>
      </c>
      <c r="I123" t="n">
        <v>0</v>
      </c>
      <c r="J123" t="n">
        <v>0</v>
      </c>
      <c r="K123" t="n">
        <v>0</v>
      </c>
      <c r="L123" t="n">
        <v>0</v>
      </c>
      <c r="M123" t="n">
        <v>0</v>
      </c>
      <c r="N123" t="n">
        <v>0</v>
      </c>
      <c r="O123" t="n">
        <v>0</v>
      </c>
      <c r="P123" t="n">
        <v>0</v>
      </c>
      <c r="Q123" t="n">
        <v>0</v>
      </c>
      <c r="R123" s="2" t="inlineStr"/>
    </row>
    <row r="124" ht="15" customHeight="1">
      <c r="A124" t="inlineStr">
        <is>
          <t>A 28189-2025</t>
        </is>
      </c>
      <c r="B124" s="1" t="n">
        <v>45818.41357638889</v>
      </c>
      <c r="C124" s="1" t="n">
        <v>46116</v>
      </c>
      <c r="D124" t="inlineStr">
        <is>
          <t>UPPSALA LÄN</t>
        </is>
      </c>
      <c r="E124" t="inlineStr">
        <is>
          <t>KNIVSTA</t>
        </is>
      </c>
      <c r="G124" t="n">
        <v>7.6</v>
      </c>
      <c r="H124" t="n">
        <v>0</v>
      </c>
      <c r="I124" t="n">
        <v>0</v>
      </c>
      <c r="J124" t="n">
        <v>0</v>
      </c>
      <c r="K124" t="n">
        <v>0</v>
      </c>
      <c r="L124" t="n">
        <v>0</v>
      </c>
      <c r="M124" t="n">
        <v>0</v>
      </c>
      <c r="N124" t="n">
        <v>0</v>
      </c>
      <c r="O124" t="n">
        <v>0</v>
      </c>
      <c r="P124" t="n">
        <v>0</v>
      </c>
      <c r="Q124" t="n">
        <v>0</v>
      </c>
      <c r="R124" s="2" t="inlineStr"/>
    </row>
    <row r="125" ht="15" customHeight="1">
      <c r="A125" t="inlineStr">
        <is>
          <t>A 33976-2025</t>
        </is>
      </c>
      <c r="B125" s="1" t="n">
        <v>45843</v>
      </c>
      <c r="C125" s="1" t="n">
        <v>46116</v>
      </c>
      <c r="D125" t="inlineStr">
        <is>
          <t>UPPSALA LÄN</t>
        </is>
      </c>
      <c r="E125" t="inlineStr">
        <is>
          <t>KNIVSTA</t>
        </is>
      </c>
      <c r="G125" t="n">
        <v>6.1</v>
      </c>
      <c r="H125" t="n">
        <v>0</v>
      </c>
      <c r="I125" t="n">
        <v>0</v>
      </c>
      <c r="J125" t="n">
        <v>0</v>
      </c>
      <c r="K125" t="n">
        <v>0</v>
      </c>
      <c r="L125" t="n">
        <v>0</v>
      </c>
      <c r="M125" t="n">
        <v>0</v>
      </c>
      <c r="N125" t="n">
        <v>0</v>
      </c>
      <c r="O125" t="n">
        <v>0</v>
      </c>
      <c r="P125" t="n">
        <v>0</v>
      </c>
      <c r="Q125" t="n">
        <v>0</v>
      </c>
      <c r="R125" s="2" t="inlineStr"/>
    </row>
    <row r="126" ht="15" customHeight="1">
      <c r="A126" t="inlineStr">
        <is>
          <t>A 33974-2025</t>
        </is>
      </c>
      <c r="B126" s="1" t="n">
        <v>45843.305625</v>
      </c>
      <c r="C126" s="1" t="n">
        <v>46116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c r="A127" t="inlineStr">
        <is>
          <t>A 33975-2025</t>
        </is>
      </c>
      <c r="B127" s="1" t="n">
        <v>45843.30805555556</v>
      </c>
      <c r="C127" s="1" t="n">
        <v>46116</v>
      </c>
      <c r="D127" t="inlineStr">
        <is>
          <t>UPPSALA LÄN</t>
        </is>
      </c>
      <c r="E127" t="inlineStr">
        <is>
          <t>KNIVSTA</t>
        </is>
      </c>
      <c r="G127" t="n">
        <v>1.5</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2026-04-04T10:41:01Z</dcterms:created>
  <dcterms:modified xmlns:dcterms="http://purl.org/dc/terms/" xmlns:xsi="http://www.w3.org/2001/XMLSchema-instance" xsi:type="dcterms:W3CDTF">2026-04-04T10:41:01Z</dcterms:modified>
</cp:coreProperties>
</file>