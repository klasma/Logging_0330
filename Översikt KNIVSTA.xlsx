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46109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46109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46109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46109</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46109</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46109</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61768-2025</t>
        </is>
      </c>
      <c r="B11" s="1" t="n">
        <v>46002.63940972222</v>
      </c>
      <c r="C11" s="1" t="n">
        <v>46109</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9561-2026</t>
        </is>
      </c>
      <c r="B12" s="1" t="n">
        <v>46071.64916666667</v>
      </c>
      <c r="C12" s="1" t="n">
        <v>46109</v>
      </c>
      <c r="D12" t="inlineStr">
        <is>
          <t>UPPSALA LÄN</t>
        </is>
      </c>
      <c r="E12" t="inlineStr">
        <is>
          <t>KNIVSTA</t>
        </is>
      </c>
      <c r="F12" t="inlineStr">
        <is>
          <t>Övriga statliga verk och myndigheter</t>
        </is>
      </c>
      <c r="G12" t="n">
        <v>2.6</v>
      </c>
      <c r="H12" t="n">
        <v>0</v>
      </c>
      <c r="I12" t="n">
        <v>0</v>
      </c>
      <c r="J12" t="n">
        <v>1</v>
      </c>
      <c r="K12" t="n">
        <v>0</v>
      </c>
      <c r="L12" t="n">
        <v>0</v>
      </c>
      <c r="M12" t="n">
        <v>0</v>
      </c>
      <c r="N12" t="n">
        <v>0</v>
      </c>
      <c r="O12" t="n">
        <v>1</v>
      </c>
      <c r="P12" t="n">
        <v>0</v>
      </c>
      <c r="Q12" t="n">
        <v>1</v>
      </c>
      <c r="R12" s="2" t="inlineStr">
        <is>
          <t>Svartöra</t>
        </is>
      </c>
      <c r="S12">
        <f>HYPERLINK("https://klasma.github.io/Logging_0330/artfynd/A 9561-2026 artfynd.xlsx", "A 9561-2026")</f>
        <v/>
      </c>
      <c r="T12">
        <f>HYPERLINK("https://klasma.github.io/Logging_0330/kartor/A 9561-2026 karta.png", "A 9561-2026")</f>
        <v/>
      </c>
      <c r="V12">
        <f>HYPERLINK("https://klasma.github.io/Logging_0330/klagomål/A 9561-2026 FSC-klagomål.docx", "A 9561-2026")</f>
        <v/>
      </c>
      <c r="W12">
        <f>HYPERLINK("https://klasma.github.io/Logging_0330/klagomålsmail/A 9561-2026 FSC-klagomål mail.docx", "A 9561-2026")</f>
        <v/>
      </c>
      <c r="X12">
        <f>HYPERLINK("https://klasma.github.io/Logging_0330/tillsyn/A 9561-2026 tillsynsbegäran.docx", "A 9561-2026")</f>
        <v/>
      </c>
      <c r="Y12">
        <f>HYPERLINK("https://klasma.github.io/Logging_0330/tillsynsmail/A 9561-2026 tillsynsbegäran mail.docx", "A 9561-2026")</f>
        <v/>
      </c>
    </row>
    <row r="13" ht="15" customHeight="1">
      <c r="A13" t="inlineStr">
        <is>
          <t>A 53813-2025</t>
        </is>
      </c>
      <c r="B13" s="1" t="n">
        <v>45960</v>
      </c>
      <c r="C13" s="1" t="n">
        <v>46109</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11405-2025</t>
        </is>
      </c>
      <c r="B14" s="1" t="n">
        <v>45726</v>
      </c>
      <c r="C14" s="1" t="n">
        <v>46109</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13002-2026</t>
        </is>
      </c>
      <c r="B15" s="1" t="n">
        <v>46092.68854166667</v>
      </c>
      <c r="C15" s="1" t="n">
        <v>46109</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46109</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46109</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33770-2023</t>
        </is>
      </c>
      <c r="B18" s="1" t="n">
        <v>45133</v>
      </c>
      <c r="C18" s="1" t="n">
        <v>46109</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21831-2024</t>
        </is>
      </c>
      <c r="B19" s="1" t="n">
        <v>45442</v>
      </c>
      <c r="C19" s="1" t="n">
        <v>46109</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46109</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16407-2025</t>
        </is>
      </c>
      <c r="B21" s="1" t="n">
        <v>45751.45120370371</v>
      </c>
      <c r="C21" s="1" t="n">
        <v>46109</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16973-2021</t>
        </is>
      </c>
      <c r="B22" s="1" t="n">
        <v>44295</v>
      </c>
      <c r="C22" s="1" t="n">
        <v>46109</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46109</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46109</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46109</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46109</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46109</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46109</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46109</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46109</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46109</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46109</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46109</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46109</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46109</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46109</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46109</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46109</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46109</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46109</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46109</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46109</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46109</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46109</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46109</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57631-2025</t>
        </is>
      </c>
      <c r="B46" s="1" t="n">
        <v>45981.34748842593</v>
      </c>
      <c r="C46" s="1" t="n">
        <v>46109</v>
      </c>
      <c r="D46" t="inlineStr">
        <is>
          <t>UPPSALA LÄN</t>
        </is>
      </c>
      <c r="E46" t="inlineStr">
        <is>
          <t>KNIVSTA</t>
        </is>
      </c>
      <c r="G46" t="n">
        <v>3.4</v>
      </c>
      <c r="H46" t="n">
        <v>0</v>
      </c>
      <c r="I46" t="n">
        <v>0</v>
      </c>
      <c r="J46" t="n">
        <v>0</v>
      </c>
      <c r="K46" t="n">
        <v>0</v>
      </c>
      <c r="L46" t="n">
        <v>0</v>
      </c>
      <c r="M46" t="n">
        <v>0</v>
      </c>
      <c r="N46" t="n">
        <v>0</v>
      </c>
      <c r="O46" t="n">
        <v>0</v>
      </c>
      <c r="P46" t="n">
        <v>0</v>
      </c>
      <c r="Q46" t="n">
        <v>0</v>
      </c>
      <c r="R46" s="2" t="inlineStr"/>
    </row>
    <row r="47" ht="15" customHeight="1">
      <c r="A47" t="inlineStr">
        <is>
          <t>A 53812-2025</t>
        </is>
      </c>
      <c r="B47" s="1" t="n">
        <v>45960</v>
      </c>
      <c r="C47" s="1" t="n">
        <v>46109</v>
      </c>
      <c r="D47" t="inlineStr">
        <is>
          <t>UPPSALA LÄN</t>
        </is>
      </c>
      <c r="E47" t="inlineStr">
        <is>
          <t>KNIVSTA</t>
        </is>
      </c>
      <c r="G47" t="n">
        <v>5.8</v>
      </c>
      <c r="H47" t="n">
        <v>0</v>
      </c>
      <c r="I47" t="n">
        <v>0</v>
      </c>
      <c r="J47" t="n">
        <v>0</v>
      </c>
      <c r="K47" t="n">
        <v>0</v>
      </c>
      <c r="L47" t="n">
        <v>0</v>
      </c>
      <c r="M47" t="n">
        <v>0</v>
      </c>
      <c r="N47" t="n">
        <v>0</v>
      </c>
      <c r="O47" t="n">
        <v>0</v>
      </c>
      <c r="P47" t="n">
        <v>0</v>
      </c>
      <c r="Q47" t="n">
        <v>0</v>
      </c>
      <c r="R47" s="2" t="inlineStr"/>
    </row>
    <row r="48" ht="15" customHeight="1">
      <c r="A48" t="inlineStr">
        <is>
          <t>A 60243-2025</t>
        </is>
      </c>
      <c r="B48" s="1" t="n">
        <v>45994.58650462963</v>
      </c>
      <c r="C48" s="1" t="n">
        <v>46109</v>
      </c>
      <c r="D48" t="inlineStr">
        <is>
          <t>UPPSALA LÄN</t>
        </is>
      </c>
      <c r="E48" t="inlineStr">
        <is>
          <t>KNIVSTA</t>
        </is>
      </c>
      <c r="F48" t="inlineStr">
        <is>
          <t>Holmen skog AB</t>
        </is>
      </c>
      <c r="G48" t="n">
        <v>2.4</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46109</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46109</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14267-2025</t>
        </is>
      </c>
      <c r="B51" s="1" t="n">
        <v>45740.63686342593</v>
      </c>
      <c r="C51" s="1" t="n">
        <v>46109</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46109</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46109</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46109</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46109</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46109</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662-2026</t>
        </is>
      </c>
      <c r="B57" s="1" t="n">
        <v>46029.58549768518</v>
      </c>
      <c r="C57" s="1" t="n">
        <v>46109</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46109</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46109</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9744-2026</t>
        </is>
      </c>
      <c r="B60" s="1" t="n">
        <v>46072.51857638889</v>
      </c>
      <c r="C60" s="1" t="n">
        <v>46109</v>
      </c>
      <c r="D60" t="inlineStr">
        <is>
          <t>UPPSALA LÄN</t>
        </is>
      </c>
      <c r="E60" t="inlineStr">
        <is>
          <t>KNIVSTA</t>
        </is>
      </c>
      <c r="G60" t="n">
        <v>2.4</v>
      </c>
      <c r="H60" t="n">
        <v>0</v>
      </c>
      <c r="I60" t="n">
        <v>0</v>
      </c>
      <c r="J60" t="n">
        <v>0</v>
      </c>
      <c r="K60" t="n">
        <v>0</v>
      </c>
      <c r="L60" t="n">
        <v>0</v>
      </c>
      <c r="M60" t="n">
        <v>0</v>
      </c>
      <c r="N60" t="n">
        <v>0</v>
      </c>
      <c r="O60" t="n">
        <v>0</v>
      </c>
      <c r="P60" t="n">
        <v>0</v>
      </c>
      <c r="Q60" t="n">
        <v>0</v>
      </c>
      <c r="R60" s="2" t="inlineStr"/>
    </row>
    <row r="61" ht="15" customHeight="1">
      <c r="A61" t="inlineStr">
        <is>
          <t>A 666-2026</t>
        </is>
      </c>
      <c r="B61" s="1" t="n">
        <v>46029.58832175926</v>
      </c>
      <c r="C61" s="1" t="n">
        <v>46109</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46109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46109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46109</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46109</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28189-2025</t>
        </is>
      </c>
      <c r="B66" s="1" t="n">
        <v>45818.41357638889</v>
      </c>
      <c r="C66" s="1" t="n">
        <v>46109</v>
      </c>
      <c r="D66" t="inlineStr">
        <is>
          <t>UPPSALA LÄN</t>
        </is>
      </c>
      <c r="E66" t="inlineStr">
        <is>
          <t>KNIVSTA</t>
        </is>
      </c>
      <c r="G66" t="n">
        <v>7.6</v>
      </c>
      <c r="H66" t="n">
        <v>0</v>
      </c>
      <c r="I66" t="n">
        <v>0</v>
      </c>
      <c r="J66" t="n">
        <v>0</v>
      </c>
      <c r="K66" t="n">
        <v>0</v>
      </c>
      <c r="L66" t="n">
        <v>0</v>
      </c>
      <c r="M66" t="n">
        <v>0</v>
      </c>
      <c r="N66" t="n">
        <v>0</v>
      </c>
      <c r="O66" t="n">
        <v>0</v>
      </c>
      <c r="P66" t="n">
        <v>0</v>
      </c>
      <c r="Q66" t="n">
        <v>0</v>
      </c>
      <c r="R66" s="2" t="inlineStr"/>
    </row>
    <row r="67" ht="15" customHeight="1">
      <c r="A67" t="inlineStr">
        <is>
          <t>A 2952-2026</t>
        </is>
      </c>
      <c r="B67" s="1" t="n">
        <v>46037</v>
      </c>
      <c r="C67" s="1" t="n">
        <v>46109</v>
      </c>
      <c r="D67" t="inlineStr">
        <is>
          <t>UPPSALA LÄN</t>
        </is>
      </c>
      <c r="E67" t="inlineStr">
        <is>
          <t>KNIVSTA</t>
        </is>
      </c>
      <c r="G67" t="n">
        <v>2</v>
      </c>
      <c r="H67" t="n">
        <v>0</v>
      </c>
      <c r="I67" t="n">
        <v>0</v>
      </c>
      <c r="J67" t="n">
        <v>0</v>
      </c>
      <c r="K67" t="n">
        <v>0</v>
      </c>
      <c r="L67" t="n">
        <v>0</v>
      </c>
      <c r="M67" t="n">
        <v>0</v>
      </c>
      <c r="N67" t="n">
        <v>0</v>
      </c>
      <c r="O67" t="n">
        <v>0</v>
      </c>
      <c r="P67" t="n">
        <v>0</v>
      </c>
      <c r="Q67" t="n">
        <v>0</v>
      </c>
      <c r="R67" s="2" t="inlineStr"/>
    </row>
    <row r="68" ht="15" customHeight="1">
      <c r="A68" t="inlineStr">
        <is>
          <t>A 3016-2026</t>
        </is>
      </c>
      <c r="B68" s="1" t="n">
        <v>46038</v>
      </c>
      <c r="C68" s="1" t="n">
        <v>46109</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5276-2026</t>
        </is>
      </c>
      <c r="B69" s="1" t="n">
        <v>46037</v>
      </c>
      <c r="C69" s="1" t="n">
        <v>46109</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3015-2026</t>
        </is>
      </c>
      <c r="B70" s="1" t="n">
        <v>46038</v>
      </c>
      <c r="C70" s="1" t="n">
        <v>46109</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2944-2026</t>
        </is>
      </c>
      <c r="B71" s="1" t="n">
        <v>46037</v>
      </c>
      <c r="C71" s="1" t="n">
        <v>46109</v>
      </c>
      <c r="D71" t="inlineStr">
        <is>
          <t>UPPSALA LÄN</t>
        </is>
      </c>
      <c r="E71" t="inlineStr">
        <is>
          <t>KNIVSTA</t>
        </is>
      </c>
      <c r="G71" t="n">
        <v>4.7</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46109</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3375-2026</t>
        </is>
      </c>
      <c r="B73" s="1" t="n">
        <v>46042</v>
      </c>
      <c r="C73" s="1" t="n">
        <v>46109</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12027-2026</t>
        </is>
      </c>
      <c r="B74" s="1" t="n">
        <v>46085.84549768519</v>
      </c>
      <c r="C74" s="1" t="n">
        <v>46109</v>
      </c>
      <c r="D74" t="inlineStr">
        <is>
          <t>UPPSALA LÄN</t>
        </is>
      </c>
      <c r="E74" t="inlineStr">
        <is>
          <t>KNIVSTA</t>
        </is>
      </c>
      <c r="G74" t="n">
        <v>0.6</v>
      </c>
      <c r="H74" t="n">
        <v>0</v>
      </c>
      <c r="I74" t="n">
        <v>0</v>
      </c>
      <c r="J74" t="n">
        <v>0</v>
      </c>
      <c r="K74" t="n">
        <v>0</v>
      </c>
      <c r="L74" t="n">
        <v>0</v>
      </c>
      <c r="M74" t="n">
        <v>0</v>
      </c>
      <c r="N74" t="n">
        <v>0</v>
      </c>
      <c r="O74" t="n">
        <v>0</v>
      </c>
      <c r="P74" t="n">
        <v>0</v>
      </c>
      <c r="Q74" t="n">
        <v>0</v>
      </c>
      <c r="R74" s="2" t="inlineStr"/>
    </row>
    <row r="75" ht="15" customHeight="1">
      <c r="A75" t="inlineStr">
        <is>
          <t>A 3824-2026</t>
        </is>
      </c>
      <c r="B75" s="1" t="n">
        <v>46043.58570601852</v>
      </c>
      <c r="C75" s="1" t="n">
        <v>46109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3836-2026</t>
        </is>
      </c>
      <c r="B76" s="1" t="n">
        <v>46043.5925</v>
      </c>
      <c r="C76" s="1" t="n">
        <v>46109</v>
      </c>
      <c r="D76" t="inlineStr">
        <is>
          <t>UPPSALA LÄN</t>
        </is>
      </c>
      <c r="E76" t="inlineStr">
        <is>
          <t>KNIVSTA</t>
        </is>
      </c>
      <c r="G76" t="n">
        <v>3.7</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46109</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52666-2025</t>
        </is>
      </c>
      <c r="B78" s="1" t="n">
        <v>45955.74299768519</v>
      </c>
      <c r="C78" s="1" t="n">
        <v>46109</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13011-2026</t>
        </is>
      </c>
      <c r="B79" s="1" t="n">
        <v>46092.71887731482</v>
      </c>
      <c r="C79" s="1" t="n">
        <v>46109</v>
      </c>
      <c r="D79" t="inlineStr">
        <is>
          <t>UPPSALA LÄN</t>
        </is>
      </c>
      <c r="E79" t="inlineStr">
        <is>
          <t>KNIVSTA</t>
        </is>
      </c>
      <c r="F79" t="inlineStr">
        <is>
          <t>Holmen skog AB</t>
        </is>
      </c>
      <c r="G79" t="n">
        <v>1.9</v>
      </c>
      <c r="H79" t="n">
        <v>0</v>
      </c>
      <c r="I79" t="n">
        <v>0</v>
      </c>
      <c r="J79" t="n">
        <v>0</v>
      </c>
      <c r="K79" t="n">
        <v>0</v>
      </c>
      <c r="L79" t="n">
        <v>0</v>
      </c>
      <c r="M79" t="n">
        <v>0</v>
      </c>
      <c r="N79" t="n">
        <v>0</v>
      </c>
      <c r="O79" t="n">
        <v>0</v>
      </c>
      <c r="P79" t="n">
        <v>0</v>
      </c>
      <c r="Q79" t="n">
        <v>0</v>
      </c>
      <c r="R79" s="2" t="inlineStr"/>
      <c r="U79">
        <f>HYPERLINK("https://klasma.github.io/Logging_0330/knärot/A 13011-2026 karta knärot.png", "A 13011-2026")</f>
        <v/>
      </c>
      <c r="V79">
        <f>HYPERLINK("https://klasma.github.io/Logging_0330/klagomål/A 13011-2026 FSC-klagomål.docx", "A 13011-2026")</f>
        <v/>
      </c>
      <c r="W79">
        <f>HYPERLINK("https://klasma.github.io/Logging_0330/klagomålsmail/A 13011-2026 FSC-klagomål mail.docx", "A 13011-2026")</f>
        <v/>
      </c>
      <c r="X79">
        <f>HYPERLINK("https://klasma.github.io/Logging_0330/tillsyn/A 13011-2026 tillsynsbegäran.docx", "A 13011-2026")</f>
        <v/>
      </c>
      <c r="Y79">
        <f>HYPERLINK("https://klasma.github.io/Logging_0330/tillsynsmail/A 13011-2026 tillsynsbegäran mail.docx", "A 13011-2026")</f>
        <v/>
      </c>
    </row>
    <row r="80" ht="15" customHeight="1">
      <c r="A80" t="inlineStr">
        <is>
          <t>A 53898-2025</t>
        </is>
      </c>
      <c r="B80" s="1" t="n">
        <v>45961.43056712963</v>
      </c>
      <c r="C80" s="1" t="n">
        <v>46109</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13013-2026</t>
        </is>
      </c>
      <c r="B81" s="1" t="n">
        <v>46092.7271412037</v>
      </c>
      <c r="C81" s="1" t="n">
        <v>46109</v>
      </c>
      <c r="D81" t="inlineStr">
        <is>
          <t>UPPSALA LÄN</t>
        </is>
      </c>
      <c r="E81" t="inlineStr">
        <is>
          <t>KNIVSTA</t>
        </is>
      </c>
      <c r="F81" t="inlineStr">
        <is>
          <t>Holmen skog AB</t>
        </is>
      </c>
      <c r="G81" t="n">
        <v>4.6</v>
      </c>
      <c r="H81" t="n">
        <v>0</v>
      </c>
      <c r="I81" t="n">
        <v>0</v>
      </c>
      <c r="J81" t="n">
        <v>0</v>
      </c>
      <c r="K81" t="n">
        <v>0</v>
      </c>
      <c r="L81" t="n">
        <v>0</v>
      </c>
      <c r="M81" t="n">
        <v>0</v>
      </c>
      <c r="N81" t="n">
        <v>0</v>
      </c>
      <c r="O81" t="n">
        <v>0</v>
      </c>
      <c r="P81" t="n">
        <v>0</v>
      </c>
      <c r="Q81" t="n">
        <v>0</v>
      </c>
      <c r="R81" s="2" t="inlineStr"/>
    </row>
    <row r="82" ht="15" customHeight="1">
      <c r="A82" t="inlineStr">
        <is>
          <t>A 12991-2026</t>
        </is>
      </c>
      <c r="B82" s="1" t="n">
        <v>46092.66820601852</v>
      </c>
      <c r="C82" s="1" t="n">
        <v>46109</v>
      </c>
      <c r="D82" t="inlineStr">
        <is>
          <t>UPPSALA LÄN</t>
        </is>
      </c>
      <c r="E82" t="inlineStr">
        <is>
          <t>KNIVSTA</t>
        </is>
      </c>
      <c r="F82" t="inlineStr">
        <is>
          <t>Holmen skog AB</t>
        </is>
      </c>
      <c r="G82" t="n">
        <v>4.6</v>
      </c>
      <c r="H82" t="n">
        <v>0</v>
      </c>
      <c r="I82" t="n">
        <v>0</v>
      </c>
      <c r="J82" t="n">
        <v>0</v>
      </c>
      <c r="K82" t="n">
        <v>0</v>
      </c>
      <c r="L82" t="n">
        <v>0</v>
      </c>
      <c r="M82" t="n">
        <v>0</v>
      </c>
      <c r="N82" t="n">
        <v>0</v>
      </c>
      <c r="O82" t="n">
        <v>0</v>
      </c>
      <c r="P82" t="n">
        <v>0</v>
      </c>
      <c r="Q82" t="n">
        <v>0</v>
      </c>
      <c r="R82" s="2" t="inlineStr"/>
    </row>
    <row r="83" ht="15" customHeight="1">
      <c r="A83" t="inlineStr">
        <is>
          <t>A 13005-2026</t>
        </is>
      </c>
      <c r="B83" s="1" t="n">
        <v>46092.69429398148</v>
      </c>
      <c r="C83" s="1" t="n">
        <v>46109</v>
      </c>
      <c r="D83" t="inlineStr">
        <is>
          <t>UPPSALA LÄN</t>
        </is>
      </c>
      <c r="E83" t="inlineStr">
        <is>
          <t>KNIVSTA</t>
        </is>
      </c>
      <c r="F83" t="inlineStr">
        <is>
          <t>Holmen skog AB</t>
        </is>
      </c>
      <c r="G83" t="n">
        <v>3</v>
      </c>
      <c r="H83" t="n">
        <v>0</v>
      </c>
      <c r="I83" t="n">
        <v>0</v>
      </c>
      <c r="J83" t="n">
        <v>0</v>
      </c>
      <c r="K83" t="n">
        <v>0</v>
      </c>
      <c r="L83" t="n">
        <v>0</v>
      </c>
      <c r="M83" t="n">
        <v>0</v>
      </c>
      <c r="N83" t="n">
        <v>0</v>
      </c>
      <c r="O83" t="n">
        <v>0</v>
      </c>
      <c r="P83" t="n">
        <v>0</v>
      </c>
      <c r="Q83" t="n">
        <v>0</v>
      </c>
      <c r="R83" s="2" t="inlineStr"/>
    </row>
    <row r="84" ht="15" customHeight="1">
      <c r="A84" t="inlineStr">
        <is>
          <t>A 13016-2026</t>
        </is>
      </c>
      <c r="B84" s="1" t="n">
        <v>46092.73381944445</v>
      </c>
      <c r="C84" s="1" t="n">
        <v>46109</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12774-2026</t>
        </is>
      </c>
      <c r="B85" s="1" t="n">
        <v>46091.70140046296</v>
      </c>
      <c r="C85" s="1" t="n">
        <v>46109</v>
      </c>
      <c r="D85" t="inlineStr">
        <is>
          <t>UPPSALA LÄN</t>
        </is>
      </c>
      <c r="E85" t="inlineStr">
        <is>
          <t>KNIVSTA</t>
        </is>
      </c>
      <c r="F85" t="inlineStr">
        <is>
          <t>Holmen skog AB</t>
        </is>
      </c>
      <c r="G85" t="n">
        <v>3.3</v>
      </c>
      <c r="H85" t="n">
        <v>0</v>
      </c>
      <c r="I85" t="n">
        <v>0</v>
      </c>
      <c r="J85" t="n">
        <v>0</v>
      </c>
      <c r="K85" t="n">
        <v>0</v>
      </c>
      <c r="L85" t="n">
        <v>0</v>
      </c>
      <c r="M85" t="n">
        <v>0</v>
      </c>
      <c r="N85" t="n">
        <v>0</v>
      </c>
      <c r="O85" t="n">
        <v>0</v>
      </c>
      <c r="P85" t="n">
        <v>0</v>
      </c>
      <c r="Q85" t="n">
        <v>0</v>
      </c>
      <c r="R85" s="2" t="inlineStr"/>
    </row>
    <row r="86" ht="15" customHeight="1">
      <c r="A86" t="inlineStr">
        <is>
          <t>A 13001-2026</t>
        </is>
      </c>
      <c r="B86" s="1" t="n">
        <v>46092.68502314815</v>
      </c>
      <c r="C86" s="1" t="n">
        <v>46109</v>
      </c>
      <c r="D86" t="inlineStr">
        <is>
          <t>UPPSALA LÄN</t>
        </is>
      </c>
      <c r="E86" t="inlineStr">
        <is>
          <t>KNIVSTA</t>
        </is>
      </c>
      <c r="F86" t="inlineStr">
        <is>
          <t>Holmen skog AB</t>
        </is>
      </c>
      <c r="G86" t="n">
        <v>2.9</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46109</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33974-2025</t>
        </is>
      </c>
      <c r="B88" s="1" t="n">
        <v>45843.305625</v>
      </c>
      <c r="C88" s="1" t="n">
        <v>46109</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5908-2026</t>
        </is>
      </c>
      <c r="B89" s="1" t="n">
        <v>46052.44399305555</v>
      </c>
      <c r="C89" s="1" t="n">
        <v>46109</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5910-2026</t>
        </is>
      </c>
      <c r="B90" s="1" t="n">
        <v>46052.44677083333</v>
      </c>
      <c r="C90" s="1" t="n">
        <v>46109</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46109</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34859-2025</t>
        </is>
      </c>
      <c r="B92" s="1" t="n">
        <v>45849.43511574074</v>
      </c>
      <c r="C92" s="1" t="n">
        <v>46109</v>
      </c>
      <c r="D92" t="inlineStr">
        <is>
          <t>UPPSALA LÄN</t>
        </is>
      </c>
      <c r="E92" t="inlineStr">
        <is>
          <t>KNIVSTA</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34864-2025</t>
        </is>
      </c>
      <c r="B93" s="1" t="n">
        <v>45849.44028935185</v>
      </c>
      <c r="C93" s="1" t="n">
        <v>46109</v>
      </c>
      <c r="D93" t="inlineStr">
        <is>
          <t>UPPSALA LÄN</t>
        </is>
      </c>
      <c r="E93" t="inlineStr">
        <is>
          <t>KNIVSTA</t>
        </is>
      </c>
      <c r="F93" t="inlineStr">
        <is>
          <t>Holmen skog AB</t>
        </is>
      </c>
      <c r="G93" t="n">
        <v>1.3</v>
      </c>
      <c r="H93" t="n">
        <v>0</v>
      </c>
      <c r="I93" t="n">
        <v>0</v>
      </c>
      <c r="J93" t="n">
        <v>0</v>
      </c>
      <c r="K93" t="n">
        <v>0</v>
      </c>
      <c r="L93" t="n">
        <v>0</v>
      </c>
      <c r="M93" t="n">
        <v>0</v>
      </c>
      <c r="N93" t="n">
        <v>0</v>
      </c>
      <c r="O93" t="n">
        <v>0</v>
      </c>
      <c r="P93" t="n">
        <v>0</v>
      </c>
      <c r="Q93" t="n">
        <v>0</v>
      </c>
      <c r="R93" s="2" t="inlineStr"/>
    </row>
    <row r="94" ht="15" customHeight="1">
      <c r="A94" t="inlineStr">
        <is>
          <t>A 35318-2025</t>
        </is>
      </c>
      <c r="B94" s="1" t="n">
        <v>45854.47917824074</v>
      </c>
      <c r="C94" s="1" t="n">
        <v>46109</v>
      </c>
      <c r="D94" t="inlineStr">
        <is>
          <t>UPPSALA LÄN</t>
        </is>
      </c>
      <c r="E94" t="inlineStr">
        <is>
          <t>KNIVSTA</t>
        </is>
      </c>
      <c r="F94" t="inlineStr">
        <is>
          <t>Holmen skog AB</t>
        </is>
      </c>
      <c r="G94" t="n">
        <v>2.2</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46109</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36470-2025</t>
        </is>
      </c>
      <c r="B96" s="1" t="n">
        <v>45869.47915509259</v>
      </c>
      <c r="C96" s="1" t="n">
        <v>46109</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36472-2025</t>
        </is>
      </c>
      <c r="B97" s="1" t="n">
        <v>45869.48162037037</v>
      </c>
      <c r="C97" s="1" t="n">
        <v>46109</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36473-2025</t>
        </is>
      </c>
      <c r="B98" s="1" t="n">
        <v>45869.48333333333</v>
      </c>
      <c r="C98" s="1" t="n">
        <v>46109</v>
      </c>
      <c r="D98" t="inlineStr">
        <is>
          <t>UPPSALA LÄN</t>
        </is>
      </c>
      <c r="E98" t="inlineStr">
        <is>
          <t>KNIVSTA</t>
        </is>
      </c>
      <c r="G98" t="n">
        <v>1.4</v>
      </c>
      <c r="H98" t="n">
        <v>0</v>
      </c>
      <c r="I98" t="n">
        <v>0</v>
      </c>
      <c r="J98" t="n">
        <v>0</v>
      </c>
      <c r="K98" t="n">
        <v>0</v>
      </c>
      <c r="L98" t="n">
        <v>0</v>
      </c>
      <c r="M98" t="n">
        <v>0</v>
      </c>
      <c r="N98" t="n">
        <v>0</v>
      </c>
      <c r="O98" t="n">
        <v>0</v>
      </c>
      <c r="P98" t="n">
        <v>0</v>
      </c>
      <c r="Q98" t="n">
        <v>0</v>
      </c>
      <c r="R98" s="2" t="inlineStr"/>
    </row>
    <row r="99" ht="15" customHeight="1">
      <c r="A99" t="inlineStr">
        <is>
          <t>A 66284-2021</t>
        </is>
      </c>
      <c r="B99" s="1" t="n">
        <v>44518</v>
      </c>
      <c r="C99" s="1" t="n">
        <v>46109</v>
      </c>
      <c r="D99" t="inlineStr">
        <is>
          <t>UPPSALA LÄN</t>
        </is>
      </c>
      <c r="E99" t="inlineStr">
        <is>
          <t>KNIVSTA</t>
        </is>
      </c>
      <c r="G99" t="n">
        <v>6.9</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46109</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8343-2024</t>
        </is>
      </c>
      <c r="B101" s="1" t="n">
        <v>45352</v>
      </c>
      <c r="C101" s="1" t="n">
        <v>46109</v>
      </c>
      <c r="D101" t="inlineStr">
        <is>
          <t>UPPSALA LÄN</t>
        </is>
      </c>
      <c r="E101" t="inlineStr">
        <is>
          <t>KNIVSTA</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46109</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1629-2024</t>
        </is>
      </c>
      <c r="B103" s="1" t="n">
        <v>45306</v>
      </c>
      <c r="C103" s="1" t="n">
        <v>46109</v>
      </c>
      <c r="D103" t="inlineStr">
        <is>
          <t>UPPSALA LÄN</t>
        </is>
      </c>
      <c r="E103" t="inlineStr">
        <is>
          <t>KNIVSTA</t>
        </is>
      </c>
      <c r="F103" t="inlineStr">
        <is>
          <t>Holmen skog AB</t>
        </is>
      </c>
      <c r="G103" t="n">
        <v>3.6</v>
      </c>
      <c r="H103" t="n">
        <v>0</v>
      </c>
      <c r="I103" t="n">
        <v>0</v>
      </c>
      <c r="J103" t="n">
        <v>0</v>
      </c>
      <c r="K103" t="n">
        <v>0</v>
      </c>
      <c r="L103" t="n">
        <v>0</v>
      </c>
      <c r="M103" t="n">
        <v>0</v>
      </c>
      <c r="N103" t="n">
        <v>0</v>
      </c>
      <c r="O103" t="n">
        <v>0</v>
      </c>
      <c r="P103" t="n">
        <v>0</v>
      </c>
      <c r="Q103" t="n">
        <v>0</v>
      </c>
      <c r="R103" s="2" t="inlineStr"/>
    </row>
    <row r="104" ht="15" customHeight="1">
      <c r="A104" t="inlineStr">
        <is>
          <t>A 60885-2021</t>
        </is>
      </c>
      <c r="B104" s="1" t="n">
        <v>44497</v>
      </c>
      <c r="C104" s="1" t="n">
        <v>46109</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3191-2024</t>
        </is>
      </c>
      <c r="B105" s="1" t="n">
        <v>45316.67186342592</v>
      </c>
      <c r="C105" s="1" t="n">
        <v>46109</v>
      </c>
      <c r="D105" t="inlineStr">
        <is>
          <t>UPPSALA LÄN</t>
        </is>
      </c>
      <c r="E105" t="inlineStr">
        <is>
          <t>KNIVSTA</t>
        </is>
      </c>
      <c r="G105" t="n">
        <v>0.6</v>
      </c>
      <c r="H105" t="n">
        <v>0</v>
      </c>
      <c r="I105" t="n">
        <v>0</v>
      </c>
      <c r="J105" t="n">
        <v>0</v>
      </c>
      <c r="K105" t="n">
        <v>0</v>
      </c>
      <c r="L105" t="n">
        <v>0</v>
      </c>
      <c r="M105" t="n">
        <v>0</v>
      </c>
      <c r="N105" t="n">
        <v>0</v>
      </c>
      <c r="O105" t="n">
        <v>0</v>
      </c>
      <c r="P105" t="n">
        <v>0</v>
      </c>
      <c r="Q105" t="n">
        <v>0</v>
      </c>
      <c r="R105" s="2" t="inlineStr"/>
    </row>
    <row r="106" ht="15" customHeight="1">
      <c r="A106" t="inlineStr">
        <is>
          <t>A 45525-2023</t>
        </is>
      </c>
      <c r="B106" s="1" t="n">
        <v>45194</v>
      </c>
      <c r="C106" s="1" t="n">
        <v>46109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16773-2022</t>
        </is>
      </c>
      <c r="B107" s="1" t="n">
        <v>44673</v>
      </c>
      <c r="C107" s="1" t="n">
        <v>46109</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46109</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51849-2023</t>
        </is>
      </c>
      <c r="B109" s="1" t="n">
        <v>45223.34391203704</v>
      </c>
      <c r="C109" s="1" t="n">
        <v>46109</v>
      </c>
      <c r="D109" t="inlineStr">
        <is>
          <t>UPPSALA LÄN</t>
        </is>
      </c>
      <c r="E109" t="inlineStr">
        <is>
          <t>KNIVSTA</t>
        </is>
      </c>
      <c r="G109" t="n">
        <v>16.3</v>
      </c>
      <c r="H109" t="n">
        <v>0</v>
      </c>
      <c r="I109" t="n">
        <v>0</v>
      </c>
      <c r="J109" t="n">
        <v>0</v>
      </c>
      <c r="K109" t="n">
        <v>0</v>
      </c>
      <c r="L109" t="n">
        <v>0</v>
      </c>
      <c r="M109" t="n">
        <v>0</v>
      </c>
      <c r="N109" t="n">
        <v>0</v>
      </c>
      <c r="O109" t="n">
        <v>0</v>
      </c>
      <c r="P109" t="n">
        <v>0</v>
      </c>
      <c r="Q109" t="n">
        <v>0</v>
      </c>
      <c r="R109" s="2" t="inlineStr"/>
    </row>
    <row r="110" ht="15" customHeight="1">
      <c r="A110" t="inlineStr">
        <is>
          <t>A 60018-2024</t>
        </is>
      </c>
      <c r="B110" s="1" t="n">
        <v>45642</v>
      </c>
      <c r="C110" s="1" t="n">
        <v>46109</v>
      </c>
      <c r="D110" t="inlineStr">
        <is>
          <t>UPPSALA LÄN</t>
        </is>
      </c>
      <c r="E110" t="inlineStr">
        <is>
          <t>KNIVSTA</t>
        </is>
      </c>
      <c r="G110" t="n">
        <v>4.1</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46109</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46109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66305-2021</t>
        </is>
      </c>
      <c r="B113" s="1" t="n">
        <v>44518</v>
      </c>
      <c r="C113" s="1" t="n">
        <v>46109</v>
      </c>
      <c r="D113" t="inlineStr">
        <is>
          <t>UPPSALA LÄN</t>
        </is>
      </c>
      <c r="E113" t="inlineStr">
        <is>
          <t>KNIVSTA</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2628-2025</t>
        </is>
      </c>
      <c r="B114" s="1" t="n">
        <v>45675.68435185185</v>
      </c>
      <c r="C114" s="1" t="n">
        <v>46109</v>
      </c>
      <c r="D114" t="inlineStr">
        <is>
          <t>UPPSALA LÄN</t>
        </is>
      </c>
      <c r="E114" t="inlineStr">
        <is>
          <t>KNIVSTA</t>
        </is>
      </c>
      <c r="G114" t="n">
        <v>2.9</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46109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46109</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34078-2022</t>
        </is>
      </c>
      <c r="B117" s="1" t="n">
        <v>44791</v>
      </c>
      <c r="C117" s="1" t="n">
        <v>46109</v>
      </c>
      <c r="D117" t="inlineStr">
        <is>
          <t>UPPSALA LÄN</t>
        </is>
      </c>
      <c r="E117" t="inlineStr">
        <is>
          <t>KNIVSTA</t>
        </is>
      </c>
      <c r="F117" t="inlineStr">
        <is>
          <t>Övriga statliga verk och myndigheter</t>
        </is>
      </c>
      <c r="G117" t="n">
        <v>1.8</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46109</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46109</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46109</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46109</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46109</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46109</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46109</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46109</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46109</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46109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2026-03-28T11:42:57Z</dcterms:created>
  <dcterms:modified xmlns:dcterms="http://purl.org/dc/terms/" xmlns:xsi="http://www.w3.org/2001/XMLSchema-instance" xsi:type="dcterms:W3CDTF">2026-03-28T11:42:57Z</dcterms:modified>
</cp:coreProperties>
</file>