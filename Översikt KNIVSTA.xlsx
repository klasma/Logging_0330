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46134</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46134</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46134</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46134</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46134</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46134</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46134</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46134</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46134</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46134</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13002-2026</t>
        </is>
      </c>
      <c r="B12" s="1" t="n">
        <v>46092.68854166667</v>
      </c>
      <c r="C12" s="1" t="n">
        <v>46134</v>
      </c>
      <c r="D12" t="inlineStr">
        <is>
          <t>UPPSALA LÄN</t>
        </is>
      </c>
      <c r="E12" t="inlineStr">
        <is>
          <t>KNIVSTA</t>
        </is>
      </c>
      <c r="F12" t="inlineStr">
        <is>
          <t>Holmen skog AB</t>
        </is>
      </c>
      <c r="G12" t="n">
        <v>0.7</v>
      </c>
      <c r="H12" t="n">
        <v>1</v>
      </c>
      <c r="I12" t="n">
        <v>0</v>
      </c>
      <c r="J12" t="n">
        <v>0</v>
      </c>
      <c r="K12" t="n">
        <v>1</v>
      </c>
      <c r="L12" t="n">
        <v>0</v>
      </c>
      <c r="M12" t="n">
        <v>0</v>
      </c>
      <c r="N12" t="n">
        <v>0</v>
      </c>
      <c r="O12" t="n">
        <v>1</v>
      </c>
      <c r="P12" t="n">
        <v>1</v>
      </c>
      <c r="Q12" t="n">
        <v>1</v>
      </c>
      <c r="R12" s="2" t="inlineStr">
        <is>
          <t>Knärot</t>
        </is>
      </c>
      <c r="S12">
        <f>HYPERLINK("https://klasma.github.io/Logging_0330/artfynd/A 13002-2026 artfynd.xlsx", "A 13002-2026")</f>
        <v/>
      </c>
      <c r="T12">
        <f>HYPERLINK("https://klasma.github.io/Logging_0330/kartor/A 13002-2026 karta.png", "A 13002-2026")</f>
        <v/>
      </c>
      <c r="U12">
        <f>HYPERLINK("https://klasma.github.io/Logging_0330/knärot/A 13002-2026 karta knärot.png", "A 13002-2026")</f>
        <v/>
      </c>
      <c r="V12">
        <f>HYPERLINK("https://klasma.github.io/Logging_0330/klagomål/A 13002-2026 FSC-klagomål.docx", "A 13002-2026")</f>
        <v/>
      </c>
      <c r="W12">
        <f>HYPERLINK("https://klasma.github.io/Logging_0330/klagomålsmail/A 13002-2026 FSC-klagomål mail.docx", "A 13002-2026")</f>
        <v/>
      </c>
      <c r="X12">
        <f>HYPERLINK("https://klasma.github.io/Logging_0330/tillsyn/A 13002-2026 tillsynsbegäran.docx", "A 13002-2026")</f>
        <v/>
      </c>
      <c r="Y12">
        <f>HYPERLINK("https://klasma.github.io/Logging_0330/tillsynsmail/A 13002-2026 tillsynsbegäran mail.docx", "A 13002-2026")</f>
        <v/>
      </c>
    </row>
    <row r="13" ht="15" customHeight="1">
      <c r="A13" t="inlineStr">
        <is>
          <t>A 13004-2026</t>
        </is>
      </c>
      <c r="B13" s="1" t="n">
        <v>46092.68935185186</v>
      </c>
      <c r="C13" s="1" t="n">
        <v>46134</v>
      </c>
      <c r="D13" t="inlineStr">
        <is>
          <t>UPPSALA LÄN</t>
        </is>
      </c>
      <c r="E13" t="inlineStr">
        <is>
          <t>KNIVSTA</t>
        </is>
      </c>
      <c r="F13" t="inlineStr">
        <is>
          <t>Holmen skog AB</t>
        </is>
      </c>
      <c r="G13" t="n">
        <v>7.8</v>
      </c>
      <c r="H13" t="n">
        <v>1</v>
      </c>
      <c r="I13" t="n">
        <v>0</v>
      </c>
      <c r="J13" t="n">
        <v>1</v>
      </c>
      <c r="K13" t="n">
        <v>0</v>
      </c>
      <c r="L13" t="n">
        <v>0</v>
      </c>
      <c r="M13" t="n">
        <v>0</v>
      </c>
      <c r="N13" t="n">
        <v>0</v>
      </c>
      <c r="O13" t="n">
        <v>1</v>
      </c>
      <c r="P13" t="n">
        <v>0</v>
      </c>
      <c r="Q13" t="n">
        <v>1</v>
      </c>
      <c r="R13" s="2" t="inlineStr">
        <is>
          <t>Spillkråka</t>
        </is>
      </c>
      <c r="S13">
        <f>HYPERLINK("https://klasma.github.io/Logging_0330/artfynd/A 13004-2026 artfynd.xlsx", "A 13004-2026")</f>
        <v/>
      </c>
      <c r="T13">
        <f>HYPERLINK("https://klasma.github.io/Logging_0330/kartor/A 13004-2026 karta.png", "A 13004-2026")</f>
        <v/>
      </c>
      <c r="U13">
        <f>HYPERLINK("https://klasma.github.io/Logging_0330/knärot/A 13004-2026 karta knärot.png", "A 13004-2026")</f>
        <v/>
      </c>
      <c r="V13">
        <f>HYPERLINK("https://klasma.github.io/Logging_0330/klagomål/A 13004-2026 FSC-klagomål.docx", "A 13004-2026")</f>
        <v/>
      </c>
      <c r="W13">
        <f>HYPERLINK("https://klasma.github.io/Logging_0330/klagomålsmail/A 13004-2026 FSC-klagomål mail.docx", "A 13004-2026")</f>
        <v/>
      </c>
      <c r="X13">
        <f>HYPERLINK("https://klasma.github.io/Logging_0330/tillsyn/A 13004-2026 tillsynsbegäran.docx", "A 13004-2026")</f>
        <v/>
      </c>
      <c r="Y13">
        <f>HYPERLINK("https://klasma.github.io/Logging_0330/tillsynsmail/A 13004-2026 tillsynsbegäran mail.docx", "A 13004-2026")</f>
        <v/>
      </c>
      <c r="Z13">
        <f>HYPERLINK("https://klasma.github.io/Logging_0330/fåglar/A 13004-2026 prioriterade fågelarter.docx", "A 13004-2026")</f>
        <v/>
      </c>
    </row>
    <row r="14" ht="15" customHeight="1">
      <c r="A14" t="inlineStr">
        <is>
          <t>A 11405-2025</t>
        </is>
      </c>
      <c r="B14" s="1" t="n">
        <v>45726</v>
      </c>
      <c r="C14" s="1" t="n">
        <v>46134</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53813-2025</t>
        </is>
      </c>
      <c r="B15" s="1" t="n">
        <v>45960</v>
      </c>
      <c r="C15" s="1" t="n">
        <v>46134</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13380-2026</t>
        </is>
      </c>
      <c r="B16" s="1" t="n">
        <v>46094.42555555556</v>
      </c>
      <c r="C16" s="1" t="n">
        <v>46134</v>
      </c>
      <c r="D16" t="inlineStr">
        <is>
          <t>UPPSALA LÄN</t>
        </is>
      </c>
      <c r="E16" t="inlineStr">
        <is>
          <t>KNIVSTA</t>
        </is>
      </c>
      <c r="G16" t="n">
        <v>1.7</v>
      </c>
      <c r="H16" t="n">
        <v>1</v>
      </c>
      <c r="I16" t="n">
        <v>0</v>
      </c>
      <c r="J16" t="n">
        <v>1</v>
      </c>
      <c r="K16" t="n">
        <v>0</v>
      </c>
      <c r="L16" t="n">
        <v>0</v>
      </c>
      <c r="M16" t="n">
        <v>0</v>
      </c>
      <c r="N16" t="n">
        <v>0</v>
      </c>
      <c r="O16" t="n">
        <v>1</v>
      </c>
      <c r="P16" t="n">
        <v>0</v>
      </c>
      <c r="Q16" t="n">
        <v>1</v>
      </c>
      <c r="R16" s="2" t="inlineStr">
        <is>
          <t>Spillkråka</t>
        </is>
      </c>
      <c r="S16">
        <f>HYPERLINK("https://klasma.github.io/Logging_0330/artfynd/A 13380-2026 artfynd.xlsx", "A 13380-2026")</f>
        <v/>
      </c>
      <c r="T16">
        <f>HYPERLINK("https://klasma.github.io/Logging_0330/kartor/A 13380-2026 karta.png", "A 13380-2026")</f>
        <v/>
      </c>
      <c r="V16">
        <f>HYPERLINK("https://klasma.github.io/Logging_0330/klagomål/A 13380-2026 FSC-klagomål.docx", "A 13380-2026")</f>
        <v/>
      </c>
      <c r="W16">
        <f>HYPERLINK("https://klasma.github.io/Logging_0330/klagomålsmail/A 13380-2026 FSC-klagomål mail.docx", "A 13380-2026")</f>
        <v/>
      </c>
      <c r="X16">
        <f>HYPERLINK("https://klasma.github.io/Logging_0330/tillsyn/A 13380-2026 tillsynsbegäran.docx", "A 13380-2026")</f>
        <v/>
      </c>
      <c r="Y16">
        <f>HYPERLINK("https://klasma.github.io/Logging_0330/tillsynsmail/A 13380-2026 tillsynsbegäran mail.docx", "A 13380-2026")</f>
        <v/>
      </c>
      <c r="Z16">
        <f>HYPERLINK("https://klasma.github.io/Logging_0330/fåglar/A 13380-2026 prioriterade fågelarter.docx", "A 13380-2026")</f>
        <v/>
      </c>
    </row>
    <row r="17" ht="15" customHeight="1">
      <c r="A17" t="inlineStr">
        <is>
          <t>A 33770-2023</t>
        </is>
      </c>
      <c r="B17" s="1" t="n">
        <v>45133</v>
      </c>
      <c r="C17" s="1" t="n">
        <v>46134</v>
      </c>
      <c r="D17" t="inlineStr">
        <is>
          <t>UPPSALA LÄN</t>
        </is>
      </c>
      <c r="E17" t="inlineStr">
        <is>
          <t>KNIVSTA</t>
        </is>
      </c>
      <c r="F17" t="inlineStr">
        <is>
          <t>Holmen skog AB</t>
        </is>
      </c>
      <c r="G17" t="n">
        <v>4</v>
      </c>
      <c r="H17" t="n">
        <v>1</v>
      </c>
      <c r="I17" t="n">
        <v>0</v>
      </c>
      <c r="J17" t="n">
        <v>1</v>
      </c>
      <c r="K17" t="n">
        <v>0</v>
      </c>
      <c r="L17" t="n">
        <v>0</v>
      </c>
      <c r="M17" t="n">
        <v>0</v>
      </c>
      <c r="N17" t="n">
        <v>0</v>
      </c>
      <c r="O17" t="n">
        <v>1</v>
      </c>
      <c r="P17" t="n">
        <v>0</v>
      </c>
      <c r="Q17" t="n">
        <v>1</v>
      </c>
      <c r="R17" s="2" t="inlineStr">
        <is>
          <t>Slaguggla</t>
        </is>
      </c>
      <c r="S17">
        <f>HYPERLINK("https://klasma.github.io/Logging_0330/artfynd/A 33770-2023 artfynd.xlsx", "A 33770-2023")</f>
        <v/>
      </c>
      <c r="T17">
        <f>HYPERLINK("https://klasma.github.io/Logging_0330/kartor/A 33770-2023 karta.png", "A 33770-2023")</f>
        <v/>
      </c>
      <c r="V17">
        <f>HYPERLINK("https://klasma.github.io/Logging_0330/klagomål/A 33770-2023 FSC-klagomål.docx", "A 33770-2023")</f>
        <v/>
      </c>
      <c r="W17">
        <f>HYPERLINK("https://klasma.github.io/Logging_0330/klagomålsmail/A 33770-2023 FSC-klagomål mail.docx", "A 33770-2023")</f>
        <v/>
      </c>
      <c r="X17">
        <f>HYPERLINK("https://klasma.github.io/Logging_0330/tillsyn/A 33770-2023 tillsynsbegäran.docx", "A 33770-2023")</f>
        <v/>
      </c>
      <c r="Y17">
        <f>HYPERLINK("https://klasma.github.io/Logging_0330/tillsynsmail/A 33770-2023 tillsynsbegäran mail.docx", "A 33770-2023")</f>
        <v/>
      </c>
      <c r="Z17">
        <f>HYPERLINK("https://klasma.github.io/Logging_0330/fåglar/A 33770-2023 prioriterade fågelarter.docx", "A 33770-2023")</f>
        <v/>
      </c>
    </row>
    <row r="18" ht="15" customHeight="1">
      <c r="A18" t="inlineStr">
        <is>
          <t>A 61768-2025</t>
        </is>
      </c>
      <c r="B18" s="1" t="n">
        <v>46002.63940972222</v>
      </c>
      <c r="C18" s="1" t="n">
        <v>46134</v>
      </c>
      <c r="D18" t="inlineStr">
        <is>
          <t>UPPSALA LÄN</t>
        </is>
      </c>
      <c r="E18" t="inlineStr">
        <is>
          <t>KNIVSTA</t>
        </is>
      </c>
      <c r="G18" t="n">
        <v>3</v>
      </c>
      <c r="H18" t="n">
        <v>0</v>
      </c>
      <c r="I18" t="n">
        <v>1</v>
      </c>
      <c r="J18" t="n">
        <v>0</v>
      </c>
      <c r="K18" t="n">
        <v>0</v>
      </c>
      <c r="L18" t="n">
        <v>0</v>
      </c>
      <c r="M18" t="n">
        <v>0</v>
      </c>
      <c r="N18" t="n">
        <v>0</v>
      </c>
      <c r="O18" t="n">
        <v>0</v>
      </c>
      <c r="P18" t="n">
        <v>0</v>
      </c>
      <c r="Q18" t="n">
        <v>1</v>
      </c>
      <c r="R18" s="2" t="inlineStr">
        <is>
          <t>Kamjordstjärna</t>
        </is>
      </c>
      <c r="S18">
        <f>HYPERLINK("https://klasma.github.io/Logging_0330/artfynd/A 61768-2025 artfynd.xlsx", "A 61768-2025")</f>
        <v/>
      </c>
      <c r="T18">
        <f>HYPERLINK("https://klasma.github.io/Logging_0330/kartor/A 61768-2025 karta.png", "A 61768-2025")</f>
        <v/>
      </c>
      <c r="V18">
        <f>HYPERLINK("https://klasma.github.io/Logging_0330/klagomål/A 61768-2025 FSC-klagomål.docx", "A 61768-2025")</f>
        <v/>
      </c>
      <c r="W18">
        <f>HYPERLINK("https://klasma.github.io/Logging_0330/klagomålsmail/A 61768-2025 FSC-klagomål mail.docx", "A 61768-2025")</f>
        <v/>
      </c>
      <c r="X18">
        <f>HYPERLINK("https://klasma.github.io/Logging_0330/tillsyn/A 61768-2025 tillsynsbegäran.docx", "A 61768-2025")</f>
        <v/>
      </c>
      <c r="Y18">
        <f>HYPERLINK("https://klasma.github.io/Logging_0330/tillsynsmail/A 61768-2025 tillsynsbegäran mail.docx", "A 61768-2025")</f>
        <v/>
      </c>
    </row>
    <row r="19" ht="15" customHeight="1">
      <c r="A19" t="inlineStr">
        <is>
          <t>A 9561-2026</t>
        </is>
      </c>
      <c r="B19" s="1" t="n">
        <v>46071.64916666667</v>
      </c>
      <c r="C19" s="1" t="n">
        <v>46134</v>
      </c>
      <c r="D19" t="inlineStr">
        <is>
          <t>UPPSALA LÄN</t>
        </is>
      </c>
      <c r="E19" t="inlineStr">
        <is>
          <t>KNIVSTA</t>
        </is>
      </c>
      <c r="F19" t="inlineStr">
        <is>
          <t>Övriga statliga verk och myndigheter</t>
        </is>
      </c>
      <c r="G19" t="n">
        <v>2.6</v>
      </c>
      <c r="H19" t="n">
        <v>0</v>
      </c>
      <c r="I19" t="n">
        <v>0</v>
      </c>
      <c r="J19" t="n">
        <v>1</v>
      </c>
      <c r="K19" t="n">
        <v>0</v>
      </c>
      <c r="L19" t="n">
        <v>0</v>
      </c>
      <c r="M19" t="n">
        <v>0</v>
      </c>
      <c r="N19" t="n">
        <v>0</v>
      </c>
      <c r="O19" t="n">
        <v>1</v>
      </c>
      <c r="P19" t="n">
        <v>0</v>
      </c>
      <c r="Q19" t="n">
        <v>1</v>
      </c>
      <c r="R19" s="2" t="inlineStr">
        <is>
          <t>Svartöra</t>
        </is>
      </c>
      <c r="S19">
        <f>HYPERLINK("https://klasma.github.io/Logging_0330/artfynd/A 9561-2026 artfynd.xlsx", "A 9561-2026")</f>
        <v/>
      </c>
      <c r="T19">
        <f>HYPERLINK("https://klasma.github.io/Logging_0330/kartor/A 9561-2026 karta.png", "A 9561-2026")</f>
        <v/>
      </c>
      <c r="V19">
        <f>HYPERLINK("https://klasma.github.io/Logging_0330/klagomål/A 9561-2026 FSC-klagomål.docx", "A 9561-2026")</f>
        <v/>
      </c>
      <c r="W19">
        <f>HYPERLINK("https://klasma.github.io/Logging_0330/klagomålsmail/A 9561-2026 FSC-klagomål mail.docx", "A 9561-2026")</f>
        <v/>
      </c>
      <c r="X19">
        <f>HYPERLINK("https://klasma.github.io/Logging_0330/tillsyn/A 9561-2026 tillsynsbegäran.docx", "A 9561-2026")</f>
        <v/>
      </c>
      <c r="Y19">
        <f>HYPERLINK("https://klasma.github.io/Logging_0330/tillsynsmail/A 9561-2026 tillsynsbegäran mail.docx", "A 9561-2026")</f>
        <v/>
      </c>
    </row>
    <row r="20" ht="15" customHeight="1">
      <c r="A20" t="inlineStr">
        <is>
          <t>A 21831-2024</t>
        </is>
      </c>
      <c r="B20" s="1" t="n">
        <v>45442</v>
      </c>
      <c r="C20" s="1" t="n">
        <v>46134</v>
      </c>
      <c r="D20" t="inlineStr">
        <is>
          <t>UPPSALA LÄN</t>
        </is>
      </c>
      <c r="E20" t="inlineStr">
        <is>
          <t>KNIVSTA</t>
        </is>
      </c>
      <c r="G20" t="n">
        <v>4.5</v>
      </c>
      <c r="H20" t="n">
        <v>1</v>
      </c>
      <c r="I20" t="n">
        <v>0</v>
      </c>
      <c r="J20" t="n">
        <v>0</v>
      </c>
      <c r="K20" t="n">
        <v>0</v>
      </c>
      <c r="L20" t="n">
        <v>0</v>
      </c>
      <c r="M20" t="n">
        <v>0</v>
      </c>
      <c r="N20" t="n">
        <v>0</v>
      </c>
      <c r="O20" t="n">
        <v>0</v>
      </c>
      <c r="P20" t="n">
        <v>0</v>
      </c>
      <c r="Q20" t="n">
        <v>1</v>
      </c>
      <c r="R20" s="2" t="inlineStr">
        <is>
          <t>Blåsippa</t>
        </is>
      </c>
      <c r="S20">
        <f>HYPERLINK("https://klasma.github.io/Logging_0330/artfynd/A 21831-2024 artfynd.xlsx", "A 21831-2024")</f>
        <v/>
      </c>
      <c r="T20">
        <f>HYPERLINK("https://klasma.github.io/Logging_0330/kartor/A 21831-2024 karta.png", "A 21831-2024")</f>
        <v/>
      </c>
      <c r="V20">
        <f>HYPERLINK("https://klasma.github.io/Logging_0330/klagomål/A 21831-2024 FSC-klagomål.docx", "A 21831-2024")</f>
        <v/>
      </c>
      <c r="W20">
        <f>HYPERLINK("https://klasma.github.io/Logging_0330/klagomålsmail/A 21831-2024 FSC-klagomål mail.docx", "A 21831-2024")</f>
        <v/>
      </c>
      <c r="X20">
        <f>HYPERLINK("https://klasma.github.io/Logging_0330/tillsyn/A 21831-2024 tillsynsbegäran.docx", "A 21831-2024")</f>
        <v/>
      </c>
      <c r="Y20">
        <f>HYPERLINK("https://klasma.github.io/Logging_0330/tillsynsmail/A 21831-2024 tillsynsbegäran mail.docx", "A 21831-2024")</f>
        <v/>
      </c>
    </row>
    <row r="21" ht="15" customHeight="1">
      <c r="A21" t="inlineStr">
        <is>
          <t>A 9553-2025</t>
        </is>
      </c>
      <c r="B21" s="1" t="n">
        <v>45715</v>
      </c>
      <c r="C21" s="1" t="n">
        <v>46134</v>
      </c>
      <c r="D21" t="inlineStr">
        <is>
          <t>UPPSALA LÄN</t>
        </is>
      </c>
      <c r="E21" t="inlineStr">
        <is>
          <t>KNIVSTA</t>
        </is>
      </c>
      <c r="G21" t="n">
        <v>3.5</v>
      </c>
      <c r="H21" t="n">
        <v>1</v>
      </c>
      <c r="I21" t="n">
        <v>0</v>
      </c>
      <c r="J21" t="n">
        <v>0</v>
      </c>
      <c r="K21" t="n">
        <v>0</v>
      </c>
      <c r="L21" t="n">
        <v>0</v>
      </c>
      <c r="M21" t="n">
        <v>0</v>
      </c>
      <c r="N21" t="n">
        <v>0</v>
      </c>
      <c r="O21" t="n">
        <v>0</v>
      </c>
      <c r="P21" t="n">
        <v>0</v>
      </c>
      <c r="Q21" t="n">
        <v>1</v>
      </c>
      <c r="R21" s="2" t="inlineStr">
        <is>
          <t>Nattviol</t>
        </is>
      </c>
      <c r="S21">
        <f>HYPERLINK("https://klasma.github.io/Logging_0330/artfynd/A 9553-2025 artfynd.xlsx", "A 9553-2025")</f>
        <v/>
      </c>
      <c r="T21">
        <f>HYPERLINK("https://klasma.github.io/Logging_0330/kartor/A 9553-2025 karta.png", "A 9553-2025")</f>
        <v/>
      </c>
      <c r="V21">
        <f>HYPERLINK("https://klasma.github.io/Logging_0330/klagomål/A 9553-2025 FSC-klagomål.docx", "A 9553-2025")</f>
        <v/>
      </c>
      <c r="W21">
        <f>HYPERLINK("https://klasma.github.io/Logging_0330/klagomålsmail/A 9553-2025 FSC-klagomål mail.docx", "A 9553-2025")</f>
        <v/>
      </c>
      <c r="X21">
        <f>HYPERLINK("https://klasma.github.io/Logging_0330/tillsyn/A 9553-2025 tillsynsbegäran.docx", "A 9553-2025")</f>
        <v/>
      </c>
      <c r="Y21">
        <f>HYPERLINK("https://klasma.github.io/Logging_0330/tillsynsmail/A 9553-2025 tillsynsbegäran mail.docx", "A 9553-2025")</f>
        <v/>
      </c>
    </row>
    <row r="22" ht="15" customHeight="1">
      <c r="A22" t="inlineStr">
        <is>
          <t>A 16407-2025</t>
        </is>
      </c>
      <c r="B22" s="1" t="n">
        <v>45751.45120370371</v>
      </c>
      <c r="C22" s="1" t="n">
        <v>46134</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19796-2021</t>
        </is>
      </c>
      <c r="B23" s="1" t="n">
        <v>44313</v>
      </c>
      <c r="C23" s="1" t="n">
        <v>46134</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46134</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46134</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46134</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46134</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46134</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46134</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46134</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46134</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46134</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46134</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46134</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46134</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46134</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46134</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46134</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46134</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46134</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46134</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32975-2021</t>
        </is>
      </c>
      <c r="B43" s="1" t="n">
        <v>44376</v>
      </c>
      <c r="C43" s="1" t="n">
        <v>46134</v>
      </c>
      <c r="D43" t="inlineStr">
        <is>
          <t>UPPSALA LÄN</t>
        </is>
      </c>
      <c r="E43" t="inlineStr">
        <is>
          <t>KNIVSTA</t>
        </is>
      </c>
      <c r="G43" t="n">
        <v>6.1</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46134</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20902-2024</t>
        </is>
      </c>
      <c r="B45" s="1" t="n">
        <v>45439.48104166667</v>
      </c>
      <c r="C45" s="1" t="n">
        <v>46134</v>
      </c>
      <c r="D45" t="inlineStr">
        <is>
          <t>UPPSALA LÄN</t>
        </is>
      </c>
      <c r="E45" t="inlineStr">
        <is>
          <t>KNIVSTA</t>
        </is>
      </c>
      <c r="G45" t="n">
        <v>1</v>
      </c>
      <c r="H45" t="n">
        <v>0</v>
      </c>
      <c r="I45" t="n">
        <v>0</v>
      </c>
      <c r="J45" t="n">
        <v>0</v>
      </c>
      <c r="K45" t="n">
        <v>0</v>
      </c>
      <c r="L45" t="n">
        <v>0</v>
      </c>
      <c r="M45" t="n">
        <v>0</v>
      </c>
      <c r="N45" t="n">
        <v>0</v>
      </c>
      <c r="O45" t="n">
        <v>0</v>
      </c>
      <c r="P45" t="n">
        <v>0</v>
      </c>
      <c r="Q45" t="n">
        <v>0</v>
      </c>
      <c r="R45" s="2" t="inlineStr"/>
    </row>
    <row r="46" ht="15" customHeight="1">
      <c r="A46" t="inlineStr">
        <is>
          <t>A 662-2026</t>
        </is>
      </c>
      <c r="B46" s="1" t="n">
        <v>46029.58549768518</v>
      </c>
      <c r="C46" s="1" t="n">
        <v>46134</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666-2026</t>
        </is>
      </c>
      <c r="B47" s="1" t="n">
        <v>46029.58832175926</v>
      </c>
      <c r="C47" s="1" t="n">
        <v>46134</v>
      </c>
      <c r="D47" t="inlineStr">
        <is>
          <t>UPPSALA LÄN</t>
        </is>
      </c>
      <c r="E47" t="inlineStr">
        <is>
          <t>KNIVSTA</t>
        </is>
      </c>
      <c r="G47" t="n">
        <v>1.8</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46134</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28189-2025</t>
        </is>
      </c>
      <c r="B49" s="1" t="n">
        <v>45818.41357638889</v>
      </c>
      <c r="C49" s="1" t="n">
        <v>46134</v>
      </c>
      <c r="D49" t="inlineStr">
        <is>
          <t>UPPSALA LÄN</t>
        </is>
      </c>
      <c r="E49" t="inlineStr">
        <is>
          <t>KNIVSTA</t>
        </is>
      </c>
      <c r="G49" t="n">
        <v>7.6</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46134</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46134</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44869-2025</t>
        </is>
      </c>
      <c r="B52" s="1" t="n">
        <v>45918.46758101852</v>
      </c>
      <c r="C52" s="1" t="n">
        <v>46134</v>
      </c>
      <c r="D52" t="inlineStr">
        <is>
          <t>UPPSALA LÄN</t>
        </is>
      </c>
      <c r="E52" t="inlineStr">
        <is>
          <t>KNIVSTA</t>
        </is>
      </c>
      <c r="G52" t="n">
        <v>17.1</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46134</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30351-2022</t>
        </is>
      </c>
      <c r="B54" s="1" t="n">
        <v>44757</v>
      </c>
      <c r="C54" s="1" t="n">
        <v>46134</v>
      </c>
      <c r="D54" t="inlineStr">
        <is>
          <t>UPPSALA LÄN</t>
        </is>
      </c>
      <c r="E54" t="inlineStr">
        <is>
          <t>KNIVSTA</t>
        </is>
      </c>
      <c r="G54" t="n">
        <v>5.7</v>
      </c>
      <c r="H54" t="n">
        <v>0</v>
      </c>
      <c r="I54" t="n">
        <v>0</v>
      </c>
      <c r="J54" t="n">
        <v>0</v>
      </c>
      <c r="K54" t="n">
        <v>0</v>
      </c>
      <c r="L54" t="n">
        <v>0</v>
      </c>
      <c r="M54" t="n">
        <v>0</v>
      </c>
      <c r="N54" t="n">
        <v>0</v>
      </c>
      <c r="O54" t="n">
        <v>0</v>
      </c>
      <c r="P54" t="n">
        <v>0</v>
      </c>
      <c r="Q54" t="n">
        <v>0</v>
      </c>
      <c r="R54" s="2" t="inlineStr"/>
    </row>
    <row r="55" ht="15" customHeight="1">
      <c r="A55" t="inlineStr">
        <is>
          <t>A 11847-2023</t>
        </is>
      </c>
      <c r="B55" s="1" t="n">
        <v>44995.33957175926</v>
      </c>
      <c r="C55" s="1" t="n">
        <v>46134</v>
      </c>
      <c r="D55" t="inlineStr">
        <is>
          <t>UPPSALA LÄN</t>
        </is>
      </c>
      <c r="E55" t="inlineStr">
        <is>
          <t>KNIVSTA</t>
        </is>
      </c>
      <c r="G55" t="n">
        <v>2.1</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46134</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13040-2025</t>
        </is>
      </c>
      <c r="B57" s="1" t="n">
        <v>45734</v>
      </c>
      <c r="C57" s="1" t="n">
        <v>46134</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2952-2026</t>
        </is>
      </c>
      <c r="B58" s="1" t="n">
        <v>46037</v>
      </c>
      <c r="C58" s="1" t="n">
        <v>46134</v>
      </c>
      <c r="D58" t="inlineStr">
        <is>
          <t>UPPSALA LÄN</t>
        </is>
      </c>
      <c r="E58" t="inlineStr">
        <is>
          <t>KNIVSTA</t>
        </is>
      </c>
      <c r="G58" t="n">
        <v>2</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46134</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33975-2025</t>
        </is>
      </c>
      <c r="B60" s="1" t="n">
        <v>45843.30805555556</v>
      </c>
      <c r="C60" s="1" t="n">
        <v>46134</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46134</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46134</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3016-2026</t>
        </is>
      </c>
      <c r="B63" s="1" t="n">
        <v>46038</v>
      </c>
      <c r="C63" s="1" t="n">
        <v>46134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46134</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5276-2026</t>
        </is>
      </c>
      <c r="B65" s="1" t="n">
        <v>46037</v>
      </c>
      <c r="C65" s="1" t="n">
        <v>46134</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3015-2026</t>
        </is>
      </c>
      <c r="B66" s="1" t="n">
        <v>46038</v>
      </c>
      <c r="C66" s="1" t="n">
        <v>46134</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2944-2026</t>
        </is>
      </c>
      <c r="B67" s="1" t="n">
        <v>46037</v>
      </c>
      <c r="C67" s="1" t="n">
        <v>46134</v>
      </c>
      <c r="D67" t="inlineStr">
        <is>
          <t>UPPSALA LÄN</t>
        </is>
      </c>
      <c r="E67" t="inlineStr">
        <is>
          <t>KNIVSTA</t>
        </is>
      </c>
      <c r="G67" t="n">
        <v>4.7</v>
      </c>
      <c r="H67" t="n">
        <v>0</v>
      </c>
      <c r="I67" t="n">
        <v>0</v>
      </c>
      <c r="J67" t="n">
        <v>0</v>
      </c>
      <c r="K67" t="n">
        <v>0</v>
      </c>
      <c r="L67" t="n">
        <v>0</v>
      </c>
      <c r="M67" t="n">
        <v>0</v>
      </c>
      <c r="N67" t="n">
        <v>0</v>
      </c>
      <c r="O67" t="n">
        <v>0</v>
      </c>
      <c r="P67" t="n">
        <v>0</v>
      </c>
      <c r="Q67" t="n">
        <v>0</v>
      </c>
      <c r="R67" s="2" t="inlineStr"/>
    </row>
    <row r="68" ht="15" customHeight="1">
      <c r="A68" t="inlineStr">
        <is>
          <t>A 3375-2026</t>
        </is>
      </c>
      <c r="B68" s="1" t="n">
        <v>46042</v>
      </c>
      <c r="C68" s="1" t="n">
        <v>46134</v>
      </c>
      <c r="D68" t="inlineStr">
        <is>
          <t>UPPSALA LÄN</t>
        </is>
      </c>
      <c r="E68" t="inlineStr">
        <is>
          <t>KNIVSTA</t>
        </is>
      </c>
      <c r="G68" t="n">
        <v>1.9</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46134</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46134</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46134</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3824-2026</t>
        </is>
      </c>
      <c r="B72" s="1" t="n">
        <v>46043.58570601852</v>
      </c>
      <c r="C72" s="1" t="n">
        <v>46134</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3836-2026</t>
        </is>
      </c>
      <c r="B73" s="1" t="n">
        <v>46043.5925</v>
      </c>
      <c r="C73" s="1" t="n">
        <v>46134</v>
      </c>
      <c r="D73" t="inlineStr">
        <is>
          <t>UPPSALA LÄN</t>
        </is>
      </c>
      <c r="E73" t="inlineStr">
        <is>
          <t>KNIVSTA</t>
        </is>
      </c>
      <c r="G73" t="n">
        <v>3.7</v>
      </c>
      <c r="H73" t="n">
        <v>0</v>
      </c>
      <c r="I73" t="n">
        <v>0</v>
      </c>
      <c r="J73" t="n">
        <v>0</v>
      </c>
      <c r="K73" t="n">
        <v>0</v>
      </c>
      <c r="L73" t="n">
        <v>0</v>
      </c>
      <c r="M73" t="n">
        <v>0</v>
      </c>
      <c r="N73" t="n">
        <v>0</v>
      </c>
      <c r="O73" t="n">
        <v>0</v>
      </c>
      <c r="P73" t="n">
        <v>0</v>
      </c>
      <c r="Q73" t="n">
        <v>0</v>
      </c>
      <c r="R73" s="2" t="inlineStr"/>
    </row>
    <row r="74" ht="15" customHeight="1">
      <c r="A74" t="inlineStr">
        <is>
          <t>A 23239-2023</t>
        </is>
      </c>
      <c r="B74" s="1" t="n">
        <v>45075</v>
      </c>
      <c r="C74" s="1" t="n">
        <v>46134</v>
      </c>
      <c r="D74" t="inlineStr">
        <is>
          <t>UPPSALA LÄN</t>
        </is>
      </c>
      <c r="E74" t="inlineStr">
        <is>
          <t>KNIVSTA</t>
        </is>
      </c>
      <c r="G74" t="n">
        <v>1.8</v>
      </c>
      <c r="H74" t="n">
        <v>0</v>
      </c>
      <c r="I74" t="n">
        <v>0</v>
      </c>
      <c r="J74" t="n">
        <v>0</v>
      </c>
      <c r="K74" t="n">
        <v>0</v>
      </c>
      <c r="L74" t="n">
        <v>0</v>
      </c>
      <c r="M74" t="n">
        <v>0</v>
      </c>
      <c r="N74" t="n">
        <v>0</v>
      </c>
      <c r="O74" t="n">
        <v>0</v>
      </c>
      <c r="P74" t="n">
        <v>0</v>
      </c>
      <c r="Q74" t="n">
        <v>0</v>
      </c>
      <c r="R74" s="2" t="inlineStr"/>
    </row>
    <row r="75" ht="15" customHeight="1">
      <c r="A75" t="inlineStr">
        <is>
          <t>A 13011-2026</t>
        </is>
      </c>
      <c r="B75" s="1" t="n">
        <v>46092.71887731482</v>
      </c>
      <c r="C75" s="1" t="n">
        <v>46134</v>
      </c>
      <c r="D75" t="inlineStr">
        <is>
          <t>UPPSALA LÄN</t>
        </is>
      </c>
      <c r="E75" t="inlineStr">
        <is>
          <t>KNIVSTA</t>
        </is>
      </c>
      <c r="F75" t="inlineStr">
        <is>
          <t>Holmen skog AB</t>
        </is>
      </c>
      <c r="G75" t="n">
        <v>1.9</v>
      </c>
      <c r="H75" t="n">
        <v>0</v>
      </c>
      <c r="I75" t="n">
        <v>0</v>
      </c>
      <c r="J75" t="n">
        <v>0</v>
      </c>
      <c r="K75" t="n">
        <v>0</v>
      </c>
      <c r="L75" t="n">
        <v>0</v>
      </c>
      <c r="M75" t="n">
        <v>0</v>
      </c>
      <c r="N75" t="n">
        <v>0</v>
      </c>
      <c r="O75" t="n">
        <v>0</v>
      </c>
      <c r="P75" t="n">
        <v>0</v>
      </c>
      <c r="Q75" t="n">
        <v>0</v>
      </c>
      <c r="R75" s="2" t="inlineStr"/>
      <c r="U75">
        <f>HYPERLINK("https://klasma.github.io/Logging_0330/knärot/A 13011-2026 karta knärot.png", "A 13011-2026")</f>
        <v/>
      </c>
      <c r="V75">
        <f>HYPERLINK("https://klasma.github.io/Logging_0330/klagomål/A 13011-2026 FSC-klagomål.docx", "A 13011-2026")</f>
        <v/>
      </c>
      <c r="W75">
        <f>HYPERLINK("https://klasma.github.io/Logging_0330/klagomålsmail/A 13011-2026 FSC-klagomål mail.docx", "A 13011-2026")</f>
        <v/>
      </c>
      <c r="X75">
        <f>HYPERLINK("https://klasma.github.io/Logging_0330/tillsyn/A 13011-2026 tillsynsbegäran.docx", "A 13011-2026")</f>
        <v/>
      </c>
      <c r="Y75">
        <f>HYPERLINK("https://klasma.github.io/Logging_0330/tillsynsmail/A 13011-2026 tillsynsbegäran mail.docx", "A 13011-2026")</f>
        <v/>
      </c>
    </row>
    <row r="76" ht="15" customHeight="1">
      <c r="A76" t="inlineStr">
        <is>
          <t>A 49090-2025</t>
        </is>
      </c>
      <c r="B76" s="1" t="n">
        <v>45937</v>
      </c>
      <c r="C76" s="1" t="n">
        <v>46134</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13013-2026</t>
        </is>
      </c>
      <c r="B77" s="1" t="n">
        <v>46092.7271412037</v>
      </c>
      <c r="C77" s="1" t="n">
        <v>46134</v>
      </c>
      <c r="D77" t="inlineStr">
        <is>
          <t>UPPSALA LÄN</t>
        </is>
      </c>
      <c r="E77" t="inlineStr">
        <is>
          <t>KNIVSTA</t>
        </is>
      </c>
      <c r="F77" t="inlineStr">
        <is>
          <t>Holmen skog AB</t>
        </is>
      </c>
      <c r="G77" t="n">
        <v>4.6</v>
      </c>
      <c r="H77" t="n">
        <v>0</v>
      </c>
      <c r="I77" t="n">
        <v>0</v>
      </c>
      <c r="J77" t="n">
        <v>0</v>
      </c>
      <c r="K77" t="n">
        <v>0</v>
      </c>
      <c r="L77" t="n">
        <v>0</v>
      </c>
      <c r="M77" t="n">
        <v>0</v>
      </c>
      <c r="N77" t="n">
        <v>0</v>
      </c>
      <c r="O77" t="n">
        <v>0</v>
      </c>
      <c r="P77" t="n">
        <v>0</v>
      </c>
      <c r="Q77" t="n">
        <v>0</v>
      </c>
      <c r="R77" s="2" t="inlineStr"/>
    </row>
    <row r="78" ht="15" customHeight="1">
      <c r="A78" t="inlineStr">
        <is>
          <t>A 36470-2025</t>
        </is>
      </c>
      <c r="B78" s="1" t="n">
        <v>45869.47915509259</v>
      </c>
      <c r="C78" s="1" t="n">
        <v>46134</v>
      </c>
      <c r="D78" t="inlineStr">
        <is>
          <t>UPPSALA LÄN</t>
        </is>
      </c>
      <c r="E78" t="inlineStr">
        <is>
          <t>KNIVSTA</t>
        </is>
      </c>
      <c r="G78" t="n">
        <v>3.6</v>
      </c>
      <c r="H78" t="n">
        <v>0</v>
      </c>
      <c r="I78" t="n">
        <v>0</v>
      </c>
      <c r="J78" t="n">
        <v>0</v>
      </c>
      <c r="K78" t="n">
        <v>0</v>
      </c>
      <c r="L78" t="n">
        <v>0</v>
      </c>
      <c r="M78" t="n">
        <v>0</v>
      </c>
      <c r="N78" t="n">
        <v>0</v>
      </c>
      <c r="O78" t="n">
        <v>0</v>
      </c>
      <c r="P78" t="n">
        <v>0</v>
      </c>
      <c r="Q78" t="n">
        <v>0</v>
      </c>
      <c r="R78" s="2" t="inlineStr"/>
    </row>
    <row r="79" ht="15" customHeight="1">
      <c r="A79" t="inlineStr">
        <is>
          <t>A 12991-2026</t>
        </is>
      </c>
      <c r="B79" s="1" t="n">
        <v>46092.66820601852</v>
      </c>
      <c r="C79" s="1" t="n">
        <v>46134</v>
      </c>
      <c r="D79" t="inlineStr">
        <is>
          <t>UPPSALA LÄN</t>
        </is>
      </c>
      <c r="E79" t="inlineStr">
        <is>
          <t>KNIVSTA</t>
        </is>
      </c>
      <c r="F79" t="inlineStr">
        <is>
          <t>Holmen skog AB</t>
        </is>
      </c>
      <c r="G79" t="n">
        <v>4.6</v>
      </c>
      <c r="H79" t="n">
        <v>0</v>
      </c>
      <c r="I79" t="n">
        <v>0</v>
      </c>
      <c r="J79" t="n">
        <v>0</v>
      </c>
      <c r="K79" t="n">
        <v>0</v>
      </c>
      <c r="L79" t="n">
        <v>0</v>
      </c>
      <c r="M79" t="n">
        <v>0</v>
      </c>
      <c r="N79" t="n">
        <v>0</v>
      </c>
      <c r="O79" t="n">
        <v>0</v>
      </c>
      <c r="P79" t="n">
        <v>0</v>
      </c>
      <c r="Q79" t="n">
        <v>0</v>
      </c>
      <c r="R79" s="2" t="inlineStr"/>
    </row>
    <row r="80" ht="15" customHeight="1">
      <c r="A80" t="inlineStr">
        <is>
          <t>A 36472-2025</t>
        </is>
      </c>
      <c r="B80" s="1" t="n">
        <v>45869.48162037037</v>
      </c>
      <c r="C80" s="1" t="n">
        <v>46134</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36473-2025</t>
        </is>
      </c>
      <c r="B81" s="1" t="n">
        <v>45869.48333333333</v>
      </c>
      <c r="C81" s="1" t="n">
        <v>46134</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13005-2026</t>
        </is>
      </c>
      <c r="B82" s="1" t="n">
        <v>46092.69429398148</v>
      </c>
      <c r="C82" s="1" t="n">
        <v>46134</v>
      </c>
      <c r="D82" t="inlineStr">
        <is>
          <t>UPPSALA LÄN</t>
        </is>
      </c>
      <c r="E82" t="inlineStr">
        <is>
          <t>KNIVSTA</t>
        </is>
      </c>
      <c r="F82" t="inlineStr">
        <is>
          <t>Holmen skog AB</t>
        </is>
      </c>
      <c r="G82" t="n">
        <v>3</v>
      </c>
      <c r="H82" t="n">
        <v>0</v>
      </c>
      <c r="I82" t="n">
        <v>0</v>
      </c>
      <c r="J82" t="n">
        <v>0</v>
      </c>
      <c r="K82" t="n">
        <v>0</v>
      </c>
      <c r="L82" t="n">
        <v>0</v>
      </c>
      <c r="M82" t="n">
        <v>0</v>
      </c>
      <c r="N82" t="n">
        <v>0</v>
      </c>
      <c r="O82" t="n">
        <v>0</v>
      </c>
      <c r="P82" t="n">
        <v>0</v>
      </c>
      <c r="Q82" t="n">
        <v>0</v>
      </c>
      <c r="R82" s="2" t="inlineStr"/>
    </row>
    <row r="83" ht="15" customHeight="1">
      <c r="A83" t="inlineStr">
        <is>
          <t>A 13016-2026</t>
        </is>
      </c>
      <c r="B83" s="1" t="n">
        <v>46092.73381944445</v>
      </c>
      <c r="C83" s="1" t="n">
        <v>46134</v>
      </c>
      <c r="D83" t="inlineStr">
        <is>
          <t>UPPSALA LÄN</t>
        </is>
      </c>
      <c r="E83" t="inlineStr">
        <is>
          <t>KNIVSTA</t>
        </is>
      </c>
      <c r="F83" t="inlineStr">
        <is>
          <t>Holmen skog AB</t>
        </is>
      </c>
      <c r="G83" t="n">
        <v>1.5</v>
      </c>
      <c r="H83" t="n">
        <v>0</v>
      </c>
      <c r="I83" t="n">
        <v>0</v>
      </c>
      <c r="J83" t="n">
        <v>0</v>
      </c>
      <c r="K83" t="n">
        <v>0</v>
      </c>
      <c r="L83" t="n">
        <v>0</v>
      </c>
      <c r="M83" t="n">
        <v>0</v>
      </c>
      <c r="N83" t="n">
        <v>0</v>
      </c>
      <c r="O83" t="n">
        <v>0</v>
      </c>
      <c r="P83" t="n">
        <v>0</v>
      </c>
      <c r="Q83" t="n">
        <v>0</v>
      </c>
      <c r="R83" s="2" t="inlineStr"/>
    </row>
    <row r="84" ht="15" customHeight="1">
      <c r="A84" t="inlineStr">
        <is>
          <t>A 13001-2026</t>
        </is>
      </c>
      <c r="B84" s="1" t="n">
        <v>46092.68502314815</v>
      </c>
      <c r="C84" s="1" t="n">
        <v>46134</v>
      </c>
      <c r="D84" t="inlineStr">
        <is>
          <t>UPPSALA LÄN</t>
        </is>
      </c>
      <c r="E84" t="inlineStr">
        <is>
          <t>KNIVSTA</t>
        </is>
      </c>
      <c r="F84" t="inlineStr">
        <is>
          <t>Holmen skog AB</t>
        </is>
      </c>
      <c r="G84" t="n">
        <v>2.9</v>
      </c>
      <c r="H84" t="n">
        <v>0</v>
      </c>
      <c r="I84" t="n">
        <v>0</v>
      </c>
      <c r="J84" t="n">
        <v>0</v>
      </c>
      <c r="K84" t="n">
        <v>0</v>
      </c>
      <c r="L84" t="n">
        <v>0</v>
      </c>
      <c r="M84" t="n">
        <v>0</v>
      </c>
      <c r="N84" t="n">
        <v>0</v>
      </c>
      <c r="O84" t="n">
        <v>0</v>
      </c>
      <c r="P84" t="n">
        <v>0</v>
      </c>
      <c r="Q84" t="n">
        <v>0</v>
      </c>
      <c r="R84" s="2" t="inlineStr"/>
    </row>
    <row r="85" ht="15" customHeight="1">
      <c r="A85" t="inlineStr">
        <is>
          <t>A 52667-2025</t>
        </is>
      </c>
      <c r="B85" s="1" t="n">
        <v>45955.74666666667</v>
      </c>
      <c r="C85" s="1" t="n">
        <v>46134</v>
      </c>
      <c r="D85" t="inlineStr">
        <is>
          <t>UPPSALA LÄN</t>
        </is>
      </c>
      <c r="E85" t="inlineStr">
        <is>
          <t>KNIVSTA</t>
        </is>
      </c>
      <c r="G85" t="n">
        <v>1</v>
      </c>
      <c r="H85" t="n">
        <v>0</v>
      </c>
      <c r="I85" t="n">
        <v>0</v>
      </c>
      <c r="J85" t="n">
        <v>0</v>
      </c>
      <c r="K85" t="n">
        <v>0</v>
      </c>
      <c r="L85" t="n">
        <v>0</v>
      </c>
      <c r="M85" t="n">
        <v>0</v>
      </c>
      <c r="N85" t="n">
        <v>0</v>
      </c>
      <c r="O85" t="n">
        <v>0</v>
      </c>
      <c r="P85" t="n">
        <v>0</v>
      </c>
      <c r="Q85" t="n">
        <v>0</v>
      </c>
      <c r="R85" s="2" t="inlineStr"/>
    </row>
    <row r="86" ht="15" customHeight="1">
      <c r="A86" t="inlineStr">
        <is>
          <t>A 52666-2025</t>
        </is>
      </c>
      <c r="B86" s="1" t="n">
        <v>45955.74299768519</v>
      </c>
      <c r="C86" s="1" t="n">
        <v>46134</v>
      </c>
      <c r="D86" t="inlineStr">
        <is>
          <t>UPPSALA LÄN</t>
        </is>
      </c>
      <c r="E86" t="inlineStr">
        <is>
          <t>KNIVSTA</t>
        </is>
      </c>
      <c r="G86" t="n">
        <v>2.1</v>
      </c>
      <c r="H86" t="n">
        <v>0</v>
      </c>
      <c r="I86" t="n">
        <v>0</v>
      </c>
      <c r="J86" t="n">
        <v>0</v>
      </c>
      <c r="K86" t="n">
        <v>0</v>
      </c>
      <c r="L86" t="n">
        <v>0</v>
      </c>
      <c r="M86" t="n">
        <v>0</v>
      </c>
      <c r="N86" t="n">
        <v>0</v>
      </c>
      <c r="O86" t="n">
        <v>0</v>
      </c>
      <c r="P86" t="n">
        <v>0</v>
      </c>
      <c r="Q86" t="n">
        <v>0</v>
      </c>
      <c r="R86" s="2" t="inlineStr"/>
    </row>
    <row r="87" ht="15" customHeight="1">
      <c r="A87" t="inlineStr">
        <is>
          <t>A 5908-2026</t>
        </is>
      </c>
      <c r="B87" s="1" t="n">
        <v>46052.44399305555</v>
      </c>
      <c r="C87" s="1" t="n">
        <v>46134</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5910-2026</t>
        </is>
      </c>
      <c r="B88" s="1" t="n">
        <v>46052.44677083333</v>
      </c>
      <c r="C88" s="1" t="n">
        <v>46134</v>
      </c>
      <c r="D88" t="inlineStr">
        <is>
          <t>UPPSALA LÄN</t>
        </is>
      </c>
      <c r="E88" t="inlineStr">
        <is>
          <t>KNIVSTA</t>
        </is>
      </c>
      <c r="G88" t="n">
        <v>0.6</v>
      </c>
      <c r="H88" t="n">
        <v>0</v>
      </c>
      <c r="I88" t="n">
        <v>0</v>
      </c>
      <c r="J88" t="n">
        <v>0</v>
      </c>
      <c r="K88" t="n">
        <v>0</v>
      </c>
      <c r="L88" t="n">
        <v>0</v>
      </c>
      <c r="M88" t="n">
        <v>0</v>
      </c>
      <c r="N88" t="n">
        <v>0</v>
      </c>
      <c r="O88" t="n">
        <v>0</v>
      </c>
      <c r="P88" t="n">
        <v>0</v>
      </c>
      <c r="Q88" t="n">
        <v>0</v>
      </c>
      <c r="R88" s="2" t="inlineStr"/>
    </row>
    <row r="89" ht="15" customHeight="1">
      <c r="A89" t="inlineStr">
        <is>
          <t>A 53898-2025</t>
        </is>
      </c>
      <c r="B89" s="1" t="n">
        <v>45961.43056712963</v>
      </c>
      <c r="C89" s="1" t="n">
        <v>46134</v>
      </c>
      <c r="D89" t="inlineStr">
        <is>
          <t>UPPSALA LÄN</t>
        </is>
      </c>
      <c r="E89" t="inlineStr">
        <is>
          <t>KNIVSTA</t>
        </is>
      </c>
      <c r="G89" t="n">
        <v>4.5</v>
      </c>
      <c r="H89" t="n">
        <v>0</v>
      </c>
      <c r="I89" t="n">
        <v>0</v>
      </c>
      <c r="J89" t="n">
        <v>0</v>
      </c>
      <c r="K89" t="n">
        <v>0</v>
      </c>
      <c r="L89" t="n">
        <v>0</v>
      </c>
      <c r="M89" t="n">
        <v>0</v>
      </c>
      <c r="N89" t="n">
        <v>0</v>
      </c>
      <c r="O89" t="n">
        <v>0</v>
      </c>
      <c r="P89" t="n">
        <v>0</v>
      </c>
      <c r="Q89" t="n">
        <v>0</v>
      </c>
      <c r="R89" s="2" t="inlineStr"/>
    </row>
    <row r="90" ht="15" customHeight="1">
      <c r="A90" t="inlineStr">
        <is>
          <t>A 66293-2021</t>
        </is>
      </c>
      <c r="B90" s="1" t="n">
        <v>44518</v>
      </c>
      <c r="C90" s="1" t="n">
        <v>46134</v>
      </c>
      <c r="D90" t="inlineStr">
        <is>
          <t>UPPSALA LÄN</t>
        </is>
      </c>
      <c r="E90" t="inlineStr">
        <is>
          <t>KNIVSTA</t>
        </is>
      </c>
      <c r="G90" t="n">
        <v>2.6</v>
      </c>
      <c r="H90" t="n">
        <v>0</v>
      </c>
      <c r="I90" t="n">
        <v>0</v>
      </c>
      <c r="J90" t="n">
        <v>0</v>
      </c>
      <c r="K90" t="n">
        <v>0</v>
      </c>
      <c r="L90" t="n">
        <v>0</v>
      </c>
      <c r="M90" t="n">
        <v>0</v>
      </c>
      <c r="N90" t="n">
        <v>0</v>
      </c>
      <c r="O90" t="n">
        <v>0</v>
      </c>
      <c r="P90" t="n">
        <v>0</v>
      </c>
      <c r="Q90" t="n">
        <v>0</v>
      </c>
      <c r="R90" s="2" t="inlineStr"/>
    </row>
    <row r="91" ht="15" customHeight="1">
      <c r="A91" t="inlineStr">
        <is>
          <t>A 57631-2025</t>
        </is>
      </c>
      <c r="B91" s="1" t="n">
        <v>45981.34748842593</v>
      </c>
      <c r="C91" s="1" t="n">
        <v>46134</v>
      </c>
      <c r="D91" t="inlineStr">
        <is>
          <t>UPPSALA LÄN</t>
        </is>
      </c>
      <c r="E91" t="inlineStr">
        <is>
          <t>KNIVSTA</t>
        </is>
      </c>
      <c r="G91" t="n">
        <v>3.4</v>
      </c>
      <c r="H91" t="n">
        <v>0</v>
      </c>
      <c r="I91" t="n">
        <v>0</v>
      </c>
      <c r="J91" t="n">
        <v>0</v>
      </c>
      <c r="K91" t="n">
        <v>0</v>
      </c>
      <c r="L91" t="n">
        <v>0</v>
      </c>
      <c r="M91" t="n">
        <v>0</v>
      </c>
      <c r="N91" t="n">
        <v>0</v>
      </c>
      <c r="O91" t="n">
        <v>0</v>
      </c>
      <c r="P91" t="n">
        <v>0</v>
      </c>
      <c r="Q91" t="n">
        <v>0</v>
      </c>
      <c r="R91" s="2" t="inlineStr"/>
    </row>
    <row r="92" ht="15" customHeight="1">
      <c r="A92" t="inlineStr">
        <is>
          <t>A 53812-2025</t>
        </is>
      </c>
      <c r="B92" s="1" t="n">
        <v>45960</v>
      </c>
      <c r="C92" s="1" t="n">
        <v>46134</v>
      </c>
      <c r="D92" t="inlineStr">
        <is>
          <t>UPPSALA LÄN</t>
        </is>
      </c>
      <c r="E92" t="inlineStr">
        <is>
          <t>KNIVSTA</t>
        </is>
      </c>
      <c r="G92" t="n">
        <v>5.8</v>
      </c>
      <c r="H92" t="n">
        <v>0</v>
      </c>
      <c r="I92" t="n">
        <v>0</v>
      </c>
      <c r="J92" t="n">
        <v>0</v>
      </c>
      <c r="K92" t="n">
        <v>0</v>
      </c>
      <c r="L92" t="n">
        <v>0</v>
      </c>
      <c r="M92" t="n">
        <v>0</v>
      </c>
      <c r="N92" t="n">
        <v>0</v>
      </c>
      <c r="O92" t="n">
        <v>0</v>
      </c>
      <c r="P92" t="n">
        <v>0</v>
      </c>
      <c r="Q92" t="n">
        <v>0</v>
      </c>
      <c r="R92" s="2" t="inlineStr"/>
    </row>
    <row r="93" ht="15" customHeight="1">
      <c r="A93" t="inlineStr">
        <is>
          <t>A 60243-2025</t>
        </is>
      </c>
      <c r="B93" s="1" t="n">
        <v>45994.58650462963</v>
      </c>
      <c r="C93" s="1" t="n">
        <v>46134</v>
      </c>
      <c r="D93" t="inlineStr">
        <is>
          <t>UPPSALA LÄN</t>
        </is>
      </c>
      <c r="E93" t="inlineStr">
        <is>
          <t>KNIVSTA</t>
        </is>
      </c>
      <c r="F93" t="inlineStr">
        <is>
          <t>Holmen skog AB</t>
        </is>
      </c>
      <c r="G93" t="n">
        <v>2.4</v>
      </c>
      <c r="H93" t="n">
        <v>0</v>
      </c>
      <c r="I93" t="n">
        <v>0</v>
      </c>
      <c r="J93" t="n">
        <v>0</v>
      </c>
      <c r="K93" t="n">
        <v>0</v>
      </c>
      <c r="L93" t="n">
        <v>0</v>
      </c>
      <c r="M93" t="n">
        <v>0</v>
      </c>
      <c r="N93" t="n">
        <v>0</v>
      </c>
      <c r="O93" t="n">
        <v>0</v>
      </c>
      <c r="P93" t="n">
        <v>0</v>
      </c>
      <c r="Q93" t="n">
        <v>0</v>
      </c>
      <c r="R93" s="2" t="inlineStr"/>
    </row>
    <row r="94" ht="15" customHeight="1">
      <c r="A94" t="inlineStr">
        <is>
          <t>A 66284-2021</t>
        </is>
      </c>
      <c r="B94" s="1" t="n">
        <v>44518</v>
      </c>
      <c r="C94" s="1" t="n">
        <v>46134</v>
      </c>
      <c r="D94" t="inlineStr">
        <is>
          <t>UPPSALA LÄN</t>
        </is>
      </c>
      <c r="E94" t="inlineStr">
        <is>
          <t>KNIVSTA</t>
        </is>
      </c>
      <c r="G94" t="n">
        <v>6.9</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46134</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8343-2024</t>
        </is>
      </c>
      <c r="B96" s="1" t="n">
        <v>45352</v>
      </c>
      <c r="C96" s="1" t="n">
        <v>46134</v>
      </c>
      <c r="D96" t="inlineStr">
        <is>
          <t>UPPSALA LÄN</t>
        </is>
      </c>
      <c r="E96" t="inlineStr">
        <is>
          <t>KNIVSTA</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30627-2023</t>
        </is>
      </c>
      <c r="B97" s="1" t="n">
        <v>45112</v>
      </c>
      <c r="C97" s="1" t="n">
        <v>46134</v>
      </c>
      <c r="D97" t="inlineStr">
        <is>
          <t>UPPSALA LÄN</t>
        </is>
      </c>
      <c r="E97" t="inlineStr">
        <is>
          <t>KNIVSTA</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5402-2023</t>
        </is>
      </c>
      <c r="B98" s="1" t="n">
        <v>44959</v>
      </c>
      <c r="C98" s="1" t="n">
        <v>46134</v>
      </c>
      <c r="D98" t="inlineStr">
        <is>
          <t>UPPSALA LÄN</t>
        </is>
      </c>
      <c r="E98" t="inlineStr">
        <is>
          <t>KNIVSTA</t>
        </is>
      </c>
      <c r="G98" t="n">
        <v>4.3</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46134</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60885-2021</t>
        </is>
      </c>
      <c r="B100" s="1" t="n">
        <v>44497</v>
      </c>
      <c r="C100" s="1" t="n">
        <v>46134</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9744-2026</t>
        </is>
      </c>
      <c r="B101" s="1" t="n">
        <v>46072.51857638889</v>
      </c>
      <c r="C101" s="1" t="n">
        <v>46134</v>
      </c>
      <c r="D101" t="inlineStr">
        <is>
          <t>UPPSALA LÄN</t>
        </is>
      </c>
      <c r="E101" t="inlineStr">
        <is>
          <t>KNIVSTA</t>
        </is>
      </c>
      <c r="G101" t="n">
        <v>2.4</v>
      </c>
      <c r="H101" t="n">
        <v>0</v>
      </c>
      <c r="I101" t="n">
        <v>0</v>
      </c>
      <c r="J101" t="n">
        <v>0</v>
      </c>
      <c r="K101" t="n">
        <v>0</v>
      </c>
      <c r="L101" t="n">
        <v>0</v>
      </c>
      <c r="M101" t="n">
        <v>0</v>
      </c>
      <c r="N101" t="n">
        <v>0</v>
      </c>
      <c r="O101" t="n">
        <v>0</v>
      </c>
      <c r="P101" t="n">
        <v>0</v>
      </c>
      <c r="Q101" t="n">
        <v>0</v>
      </c>
      <c r="R101" s="2" t="inlineStr"/>
    </row>
    <row r="102" ht="15" customHeight="1">
      <c r="A102" t="inlineStr">
        <is>
          <t>A 3191-2024</t>
        </is>
      </c>
      <c r="B102" s="1" t="n">
        <v>45316.67186342592</v>
      </c>
      <c r="C102" s="1" t="n">
        <v>46134</v>
      </c>
      <c r="D102" t="inlineStr">
        <is>
          <t>UPPSALA LÄN</t>
        </is>
      </c>
      <c r="E102" t="inlineStr">
        <is>
          <t>KNIVSTA</t>
        </is>
      </c>
      <c r="G102" t="n">
        <v>0.6</v>
      </c>
      <c r="H102" t="n">
        <v>0</v>
      </c>
      <c r="I102" t="n">
        <v>0</v>
      </c>
      <c r="J102" t="n">
        <v>0</v>
      </c>
      <c r="K102" t="n">
        <v>0</v>
      </c>
      <c r="L102" t="n">
        <v>0</v>
      </c>
      <c r="M102" t="n">
        <v>0</v>
      </c>
      <c r="N102" t="n">
        <v>0</v>
      </c>
      <c r="O102" t="n">
        <v>0</v>
      </c>
      <c r="P102" t="n">
        <v>0</v>
      </c>
      <c r="Q102" t="n">
        <v>0</v>
      </c>
      <c r="R102" s="2" t="inlineStr"/>
    </row>
    <row r="103" ht="15" customHeight="1">
      <c r="A103" t="inlineStr">
        <is>
          <t>A 18576-2026</t>
        </is>
      </c>
      <c r="B103" s="1" t="n">
        <v>46127.60626157407</v>
      </c>
      <c r="C103" s="1" t="n">
        <v>46134</v>
      </c>
      <c r="D103" t="inlineStr">
        <is>
          <t>UPPSALA LÄN</t>
        </is>
      </c>
      <c r="E103" t="inlineStr">
        <is>
          <t>KNIVSTA</t>
        </is>
      </c>
      <c r="G103" t="n">
        <v>4.8</v>
      </c>
      <c r="H103" t="n">
        <v>0</v>
      </c>
      <c r="I103" t="n">
        <v>0</v>
      </c>
      <c r="J103" t="n">
        <v>0</v>
      </c>
      <c r="K103" t="n">
        <v>0</v>
      </c>
      <c r="L103" t="n">
        <v>0</v>
      </c>
      <c r="M103" t="n">
        <v>0</v>
      </c>
      <c r="N103" t="n">
        <v>0</v>
      </c>
      <c r="O103" t="n">
        <v>0</v>
      </c>
      <c r="P103" t="n">
        <v>0</v>
      </c>
      <c r="Q103" t="n">
        <v>0</v>
      </c>
      <c r="R103" s="2" t="inlineStr"/>
    </row>
    <row r="104" ht="15" customHeight="1">
      <c r="A104" t="inlineStr">
        <is>
          <t>A 12027-2026</t>
        </is>
      </c>
      <c r="B104" s="1" t="n">
        <v>46085.84549768519</v>
      </c>
      <c r="C104" s="1" t="n">
        <v>46134</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45525-2023</t>
        </is>
      </c>
      <c r="B105" s="1" t="n">
        <v>45194</v>
      </c>
      <c r="C105" s="1" t="n">
        <v>46134</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12774-2026</t>
        </is>
      </c>
      <c r="B106" s="1" t="n">
        <v>46091.70140046296</v>
      </c>
      <c r="C106" s="1" t="n">
        <v>46134</v>
      </c>
      <c r="D106" t="inlineStr">
        <is>
          <t>UPPSALA LÄN</t>
        </is>
      </c>
      <c r="E106" t="inlineStr">
        <is>
          <t>KNIVSTA</t>
        </is>
      </c>
      <c r="F106" t="inlineStr">
        <is>
          <t>Holmen skog AB</t>
        </is>
      </c>
      <c r="G106" t="n">
        <v>3.3</v>
      </c>
      <c r="H106" t="n">
        <v>0</v>
      </c>
      <c r="I106" t="n">
        <v>0</v>
      </c>
      <c r="J106" t="n">
        <v>0</v>
      </c>
      <c r="K106" t="n">
        <v>0</v>
      </c>
      <c r="L106" t="n">
        <v>0</v>
      </c>
      <c r="M106" t="n">
        <v>0</v>
      </c>
      <c r="N106" t="n">
        <v>0</v>
      </c>
      <c r="O106" t="n">
        <v>0</v>
      </c>
      <c r="P106" t="n">
        <v>0</v>
      </c>
      <c r="Q106" t="n">
        <v>0</v>
      </c>
      <c r="R106" s="2" t="inlineStr"/>
    </row>
    <row r="107" ht="15" customHeight="1">
      <c r="A107" t="inlineStr">
        <is>
          <t>A 16773-2022</t>
        </is>
      </c>
      <c r="B107" s="1" t="n">
        <v>44673</v>
      </c>
      <c r="C107" s="1" t="n">
        <v>46134</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30764-2023</t>
        </is>
      </c>
      <c r="B108" s="1" t="n">
        <v>45112</v>
      </c>
      <c r="C108" s="1" t="n">
        <v>46134</v>
      </c>
      <c r="D108" t="inlineStr">
        <is>
          <t>UPPSALA LÄN</t>
        </is>
      </c>
      <c r="E108" t="inlineStr">
        <is>
          <t>KNIVSTA</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51849-2023</t>
        </is>
      </c>
      <c r="B109" s="1" t="n">
        <v>45223.34391203704</v>
      </c>
      <c r="C109" s="1" t="n">
        <v>46134</v>
      </c>
      <c r="D109" t="inlineStr">
        <is>
          <t>UPPSALA LÄN</t>
        </is>
      </c>
      <c r="E109" t="inlineStr">
        <is>
          <t>KNIVSTA</t>
        </is>
      </c>
      <c r="G109" t="n">
        <v>16.3</v>
      </c>
      <c r="H109" t="n">
        <v>0</v>
      </c>
      <c r="I109" t="n">
        <v>0</v>
      </c>
      <c r="J109" t="n">
        <v>0</v>
      </c>
      <c r="K109" t="n">
        <v>0</v>
      </c>
      <c r="L109" t="n">
        <v>0</v>
      </c>
      <c r="M109" t="n">
        <v>0</v>
      </c>
      <c r="N109" t="n">
        <v>0</v>
      </c>
      <c r="O109" t="n">
        <v>0</v>
      </c>
      <c r="P109" t="n">
        <v>0</v>
      </c>
      <c r="Q109" t="n">
        <v>0</v>
      </c>
      <c r="R109" s="2" t="inlineStr"/>
    </row>
    <row r="110" ht="15" customHeight="1">
      <c r="A110" t="inlineStr">
        <is>
          <t>A 60018-2024</t>
        </is>
      </c>
      <c r="B110" s="1" t="n">
        <v>45642</v>
      </c>
      <c r="C110" s="1" t="n">
        <v>46134</v>
      </c>
      <c r="D110" t="inlineStr">
        <is>
          <t>UPPSALA LÄN</t>
        </is>
      </c>
      <c r="E110" t="inlineStr">
        <is>
          <t>KNIVSTA</t>
        </is>
      </c>
      <c r="G110" t="n">
        <v>4.1</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46134</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46134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66305-2021</t>
        </is>
      </c>
      <c r="B113" s="1" t="n">
        <v>44518</v>
      </c>
      <c r="C113" s="1" t="n">
        <v>46134</v>
      </c>
      <c r="D113" t="inlineStr">
        <is>
          <t>UPPSALA LÄN</t>
        </is>
      </c>
      <c r="E113" t="inlineStr">
        <is>
          <t>KNIVSTA</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2628-2025</t>
        </is>
      </c>
      <c r="B114" s="1" t="n">
        <v>45675.68435185185</v>
      </c>
      <c r="C114" s="1" t="n">
        <v>46134</v>
      </c>
      <c r="D114" t="inlineStr">
        <is>
          <t>UPPSALA LÄN</t>
        </is>
      </c>
      <c r="E114" t="inlineStr">
        <is>
          <t>KNIVSTA</t>
        </is>
      </c>
      <c r="G114" t="n">
        <v>2.9</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46134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43908-2023</t>
        </is>
      </c>
      <c r="B116" s="1" t="n">
        <v>45187</v>
      </c>
      <c r="C116" s="1" t="n">
        <v>46134</v>
      </c>
      <c r="D116" t="inlineStr">
        <is>
          <t>UPPSALA LÄN</t>
        </is>
      </c>
      <c r="E116" t="inlineStr">
        <is>
          <t>KNIVSTA</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34078-2022</t>
        </is>
      </c>
      <c r="B117" s="1" t="n">
        <v>44791</v>
      </c>
      <c r="C117" s="1" t="n">
        <v>46134</v>
      </c>
      <c r="D117" t="inlineStr">
        <is>
          <t>UPPSALA LÄN</t>
        </is>
      </c>
      <c r="E117" t="inlineStr">
        <is>
          <t>KNIVSTA</t>
        </is>
      </c>
      <c r="F117" t="inlineStr">
        <is>
          <t>Övriga statliga verk och myndigheter</t>
        </is>
      </c>
      <c r="G117" t="n">
        <v>1.8</v>
      </c>
      <c r="H117" t="n">
        <v>0</v>
      </c>
      <c r="I117" t="n">
        <v>0</v>
      </c>
      <c r="J117" t="n">
        <v>0</v>
      </c>
      <c r="K117" t="n">
        <v>0</v>
      </c>
      <c r="L117" t="n">
        <v>0</v>
      </c>
      <c r="M117" t="n">
        <v>0</v>
      </c>
      <c r="N117" t="n">
        <v>0</v>
      </c>
      <c r="O117" t="n">
        <v>0</v>
      </c>
      <c r="P117" t="n">
        <v>0</v>
      </c>
      <c r="Q117" t="n">
        <v>0</v>
      </c>
      <c r="R117" s="2" t="inlineStr"/>
    </row>
    <row r="118" ht="15" customHeight="1">
      <c r="A118" t="inlineStr">
        <is>
          <t>A 26182-2022</t>
        </is>
      </c>
      <c r="B118" s="1" t="n">
        <v>44735</v>
      </c>
      <c r="C118" s="1" t="n">
        <v>46134</v>
      </c>
      <c r="D118" t="inlineStr">
        <is>
          <t>UPPSALA LÄN</t>
        </is>
      </c>
      <c r="E118" t="inlineStr">
        <is>
          <t>KNIVSTA</t>
        </is>
      </c>
      <c r="G118" t="n">
        <v>3.8</v>
      </c>
      <c r="H118" t="n">
        <v>0</v>
      </c>
      <c r="I118" t="n">
        <v>0</v>
      </c>
      <c r="J118" t="n">
        <v>0</v>
      </c>
      <c r="K118" t="n">
        <v>0</v>
      </c>
      <c r="L118" t="n">
        <v>0</v>
      </c>
      <c r="M118" t="n">
        <v>0</v>
      </c>
      <c r="N118" t="n">
        <v>0</v>
      </c>
      <c r="O118" t="n">
        <v>0</v>
      </c>
      <c r="P118" t="n">
        <v>0</v>
      </c>
      <c r="Q118" t="n">
        <v>0</v>
      </c>
      <c r="R118" s="2" t="inlineStr"/>
    </row>
    <row r="119" ht="15" customHeight="1">
      <c r="A119" t="inlineStr">
        <is>
          <t>A 20505-2021</t>
        </is>
      </c>
      <c r="B119" s="1" t="n">
        <v>44313</v>
      </c>
      <c r="C119" s="1" t="n">
        <v>46134</v>
      </c>
      <c r="D119" t="inlineStr">
        <is>
          <t>UPPSALA LÄN</t>
        </is>
      </c>
      <c r="E119" t="inlineStr">
        <is>
          <t>KNIVSTA</t>
        </is>
      </c>
      <c r="G119" t="n">
        <v>2.9</v>
      </c>
      <c r="H119" t="n">
        <v>0</v>
      </c>
      <c r="I119" t="n">
        <v>0</v>
      </c>
      <c r="J119" t="n">
        <v>0</v>
      </c>
      <c r="K119" t="n">
        <v>0</v>
      </c>
      <c r="L119" t="n">
        <v>0</v>
      </c>
      <c r="M119" t="n">
        <v>0</v>
      </c>
      <c r="N119" t="n">
        <v>0</v>
      </c>
      <c r="O119" t="n">
        <v>0</v>
      </c>
      <c r="P119" t="n">
        <v>0</v>
      </c>
      <c r="Q119" t="n">
        <v>0</v>
      </c>
      <c r="R119" s="2" t="inlineStr"/>
    </row>
    <row r="120" ht="15" customHeight="1">
      <c r="A120" t="inlineStr">
        <is>
          <t>A 2629-2025</t>
        </is>
      </c>
      <c r="B120" s="1" t="n">
        <v>45675.6953587963</v>
      </c>
      <c r="C120" s="1" t="n">
        <v>46134</v>
      </c>
      <c r="D120" t="inlineStr">
        <is>
          <t>UPPSALA LÄN</t>
        </is>
      </c>
      <c r="E120" t="inlineStr">
        <is>
          <t>KNIVSTA</t>
        </is>
      </c>
      <c r="G120" t="n">
        <v>1.1</v>
      </c>
      <c r="H120" t="n">
        <v>0</v>
      </c>
      <c r="I120" t="n">
        <v>0</v>
      </c>
      <c r="J120" t="n">
        <v>0</v>
      </c>
      <c r="K120" t="n">
        <v>0</v>
      </c>
      <c r="L120" t="n">
        <v>0</v>
      </c>
      <c r="M120" t="n">
        <v>0</v>
      </c>
      <c r="N120" t="n">
        <v>0</v>
      </c>
      <c r="O120" t="n">
        <v>0</v>
      </c>
      <c r="P120" t="n">
        <v>0</v>
      </c>
      <c r="Q120" t="n">
        <v>0</v>
      </c>
      <c r="R120" s="2" t="inlineStr"/>
    </row>
    <row r="121" ht="15" customHeight="1">
      <c r="A121" t="inlineStr">
        <is>
          <t>A 5320-2023</t>
        </is>
      </c>
      <c r="B121" s="1" t="n">
        <v>44959</v>
      </c>
      <c r="C121" s="1" t="n">
        <v>46134</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45916-2022</t>
        </is>
      </c>
      <c r="B122" s="1" t="n">
        <v>44846</v>
      </c>
      <c r="C122" s="1" t="n">
        <v>46134</v>
      </c>
      <c r="D122" t="inlineStr">
        <is>
          <t>UPPSALA LÄN</t>
        </is>
      </c>
      <c r="E122" t="inlineStr">
        <is>
          <t>KNIVSTA</t>
        </is>
      </c>
      <c r="G122" t="n">
        <v>3.8</v>
      </c>
      <c r="H122" t="n">
        <v>0</v>
      </c>
      <c r="I122" t="n">
        <v>0</v>
      </c>
      <c r="J122" t="n">
        <v>0</v>
      </c>
      <c r="K122" t="n">
        <v>0</v>
      </c>
      <c r="L122" t="n">
        <v>0</v>
      </c>
      <c r="M122" t="n">
        <v>0</v>
      </c>
      <c r="N122" t="n">
        <v>0</v>
      </c>
      <c r="O122" t="n">
        <v>0</v>
      </c>
      <c r="P122" t="n">
        <v>0</v>
      </c>
      <c r="Q122" t="n">
        <v>0</v>
      </c>
      <c r="R122" s="2" t="inlineStr"/>
    </row>
    <row r="123" ht="15" customHeight="1">
      <c r="A123" t="inlineStr">
        <is>
          <t>A 16396-2025</t>
        </is>
      </c>
      <c r="B123" s="1" t="n">
        <v>45751.44219907407</v>
      </c>
      <c r="C123" s="1" t="n">
        <v>46134</v>
      </c>
      <c r="D123" t="inlineStr">
        <is>
          <t>UPPSALA LÄN</t>
        </is>
      </c>
      <c r="E123" t="inlineStr">
        <is>
          <t>KNIVSTA</t>
        </is>
      </c>
      <c r="G123" t="n">
        <v>5.1</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45034.53554398148</v>
      </c>
      <c r="C124" s="1" t="n">
        <v>46134</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46134</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ht="15" customHeight="1">
      <c r="A126" t="inlineStr">
        <is>
          <t>A 21130-2025</t>
        </is>
      </c>
      <c r="B126" s="1" t="n">
        <v>45778.35857638889</v>
      </c>
      <c r="C126" s="1" t="n">
        <v>46134</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row r="127">
      <c r="A127" t="inlineStr">
        <is>
          <t>A 794-2024</t>
        </is>
      </c>
      <c r="B127" s="1" t="n">
        <v>45300.58149305556</v>
      </c>
      <c r="C127" s="1" t="n">
        <v>46134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2026-04-22T10:51:31Z</dcterms:created>
  <dcterms:modified xmlns:dcterms="http://purl.org/dc/terms/" xmlns:xsi="http://www.w3.org/2001/XMLSchema-instance" xsi:type="dcterms:W3CDTF">2026-04-22T10:51:31Z</dcterms:modified>
</cp:coreProperties>
</file>