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46321</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46321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46321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46321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46321</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46321</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46321</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34604-2026</t>
        </is>
      </c>
      <c r="B14" t="inlineStr">
        <is>
          <t>avverkningsanmälan</t>
        </is>
      </c>
      <c r="C14" t="inlineStr">
        <is>
          <t>Föryngringsavverkning</t>
        </is>
      </c>
      <c r="D14" s="1" t="n">
        <v>46255</v>
      </c>
      <c r="E14" s="1" t="n">
        <v>46321</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17101-2023</t>
        </is>
      </c>
      <c r="B15" t="inlineStr">
        <is>
          <t>avverkningsanmälan</t>
        </is>
      </c>
      <c r="C15" t="inlineStr">
        <is>
          <t>Föryngringsavverkning</t>
        </is>
      </c>
      <c r="D15" s="1" t="n">
        <v>45034</v>
      </c>
      <c r="E15" s="1" t="n">
        <v>46321</v>
      </c>
      <c r="F15" t="inlineStr">
        <is>
          <t>UPPSALA LÄN</t>
        </is>
      </c>
      <c r="G15" t="inlineStr">
        <is>
          <t>KNIVSTA</t>
        </is>
      </c>
      <c r="I15" t="n">
        <v>4.2</v>
      </c>
      <c r="J15" t="n">
        <v>3</v>
      </c>
      <c r="K15" t="n">
        <v>2</v>
      </c>
      <c r="L15" t="n">
        <v>3</v>
      </c>
      <c r="M15" t="n">
        <v>0</v>
      </c>
      <c r="N15" t="n">
        <v>0</v>
      </c>
      <c r="O15" t="n">
        <v>0</v>
      </c>
      <c r="P15" t="n">
        <v>0</v>
      </c>
      <c r="Q15" t="n">
        <v>3</v>
      </c>
      <c r="R15" t="n">
        <v>0</v>
      </c>
      <c r="S15" t="n">
        <v>5</v>
      </c>
      <c r="T15" t="n">
        <v>5</v>
      </c>
      <c r="U15" t="n">
        <v>4</v>
      </c>
      <c r="V15" s="2" t="inlineStr">
        <is>
          <t>Entita
Mindre hackspett
Ullticka
Grön sköldmossa
Trådticka</t>
        </is>
      </c>
      <c r="W15">
        <f>HYPERLINK("https://klasma.github.io/Logging_0330/artfynd/A 17101-2023 artfynd.xlsx", "A 17101-2023")</f>
        <v/>
      </c>
      <c r="X15">
        <f>HYPERLINK("https://klasma.github.io/Logging_0330/kartor/A 17101-2023 karta.png", "A 17101-2023")</f>
        <v/>
      </c>
      <c r="Y15">
        <f>HYPERLINK("https://klasma.github.io/Logging_0330/kartor_geotiff/A 17101-2023 georefererad karta.tif", "A 17101-2023")</f>
        <v/>
      </c>
      <c r="AA15">
        <f>HYPERLINK("https://klasma.github.io/Logging_0330/klagomål/A 17101-2023 FSC-klagomål.docx", "A 17101-2023")</f>
        <v/>
      </c>
      <c r="AB15">
        <f>HYPERLINK("https://klasma.github.io/Logging_0330/klagomålsmail/A 17101-2023 FSC-klagomål mail.docx", "A 17101-2023")</f>
        <v/>
      </c>
      <c r="AC15">
        <f>HYPERLINK("https://klasma.github.io/Logging_0330/tillsyn/A 17101-2023 tillsynsbegäran.docx", "A 17101-2023")</f>
        <v/>
      </c>
      <c r="AD15">
        <f>HYPERLINK("https://klasma.github.io/Logging_0330/tillsynsmail/A 17101-2023 tillsynsbegäran mail.docx", "A 17101-2023")</f>
        <v/>
      </c>
      <c r="AE15">
        <f>HYPERLINK("https://klasma.github.io/Logging_0330/fåglar/A 17101-2023 prioriterade fågelarter.docx", "A 17101-2023")</f>
        <v/>
      </c>
    </row>
    <row r="16" ht="15" customHeight="1">
      <c r="A16" t="inlineStr">
        <is>
          <t>A 9553-2025</t>
        </is>
      </c>
      <c r="B16" t="inlineStr">
        <is>
          <t>avverkningsanmälan</t>
        </is>
      </c>
      <c r="C16" t="inlineStr">
        <is>
          <t>Föryngringsavverkning</t>
        </is>
      </c>
      <c r="D16" s="1" t="n">
        <v>45715</v>
      </c>
      <c r="E16" s="1" t="n">
        <v>46321</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46321</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46321</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46321</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34859-2025</t>
        </is>
      </c>
      <c r="B20" t="inlineStr">
        <is>
          <t>avverkningsanmälan</t>
        </is>
      </c>
      <c r="C20" t="inlineStr">
        <is>
          <t>Föryngringsavverkning</t>
        </is>
      </c>
      <c r="D20" s="1" t="n">
        <v>45849</v>
      </c>
      <c r="E20" s="1" t="n">
        <v>46321</v>
      </c>
      <c r="F20" t="inlineStr">
        <is>
          <t>UPPSALA LÄN</t>
        </is>
      </c>
      <c r="G20" t="inlineStr">
        <is>
          <t>KNIVSTA</t>
        </is>
      </c>
      <c r="H20" t="inlineStr">
        <is>
          <t>Holmen skog AB</t>
        </is>
      </c>
      <c r="I20" t="n">
        <v>6.1</v>
      </c>
      <c r="J20" t="n">
        <v>0</v>
      </c>
      <c r="K20" t="n">
        <v>2</v>
      </c>
      <c r="L20" t="n">
        <v>0</v>
      </c>
      <c r="M20" t="n">
        <v>0</v>
      </c>
      <c r="N20" t="n">
        <v>0</v>
      </c>
      <c r="O20" t="n">
        <v>0</v>
      </c>
      <c r="P20" t="n">
        <v>0</v>
      </c>
      <c r="Q20" t="n">
        <v>0</v>
      </c>
      <c r="R20" t="n">
        <v>0</v>
      </c>
      <c r="S20" t="n">
        <v>2</v>
      </c>
      <c r="T20" t="n">
        <v>2</v>
      </c>
      <c r="U20" t="n">
        <v>0</v>
      </c>
      <c r="V20" s="2" t="inlineStr">
        <is>
          <t>Mörk husmossa
Rostfläck</t>
        </is>
      </c>
      <c r="W20">
        <f>HYPERLINK("https://klasma.github.io/Logging_0330/artfynd/A 34859-2025 artfynd.xlsx", "A 34859-2025")</f>
        <v/>
      </c>
      <c r="X20">
        <f>HYPERLINK("https://klasma.github.io/Logging_0330/kartor/A 34859-2025 karta.png", "A 34859-2025")</f>
        <v/>
      </c>
      <c r="Y20">
        <f>HYPERLINK("https://klasma.github.io/Logging_0330/kartor_geotiff/A 34859-2025 georefererad karta.tif", "A 34859-2025")</f>
        <v/>
      </c>
      <c r="AA20">
        <f>HYPERLINK("https://klasma.github.io/Logging_0330/klagomål/A 34859-2025 FSC-klagomål.docx", "A 34859-2025")</f>
        <v/>
      </c>
      <c r="AB20">
        <f>HYPERLINK("https://klasma.github.io/Logging_0330/klagomålsmail/A 34859-2025 FSC-klagomål mail.docx", "A 34859-2025")</f>
        <v/>
      </c>
      <c r="AC20">
        <f>HYPERLINK("https://klasma.github.io/Logging_0330/tillsyn/A 34859-2025 tillsynsbegäran.docx", "A 34859-2025")</f>
        <v/>
      </c>
      <c r="AD20">
        <f>HYPERLINK("https://klasma.github.io/Logging_0330/tillsynsmail/A 34859-2025 tillsynsbegäran mail.docx", "A 34859-2025")</f>
        <v/>
      </c>
    </row>
    <row r="21" ht="15" customHeight="1">
      <c r="A21" t="inlineStr">
        <is>
          <t>A 18576-2026</t>
        </is>
      </c>
      <c r="B21" t="inlineStr">
        <is>
          <t>avverkningsanmälan</t>
        </is>
      </c>
      <c r="C21" t="inlineStr">
        <is>
          <t>Föryngringsavverkning</t>
        </is>
      </c>
      <c r="D21" s="1" t="n">
        <v>46127</v>
      </c>
      <c r="E21" s="1" t="n">
        <v>46321</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46321</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46321</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46321</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5402-2023</t>
        </is>
      </c>
      <c r="B25" t="inlineStr">
        <is>
          <t>avverkningsanmälan</t>
        </is>
      </c>
      <c r="C25" t="inlineStr">
        <is>
          <t>Föryngringsavverkning</t>
        </is>
      </c>
      <c r="D25" s="1" t="n">
        <v>44959</v>
      </c>
      <c r="E25" s="1" t="n">
        <v>46321</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46321</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3836-2026</t>
        </is>
      </c>
      <c r="B27" t="inlineStr">
        <is>
          <t>avverkningsanmälan</t>
        </is>
      </c>
      <c r="C27" t="inlineStr">
        <is>
          <t>Föryngringsavverkning</t>
        </is>
      </c>
      <c r="D27" s="1" t="n">
        <v>46043</v>
      </c>
      <c r="E27" s="1" t="n">
        <v>46321</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46321</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46321</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46321</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46321</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43575-2026</t>
        </is>
      </c>
      <c r="B32" t="inlineStr">
        <is>
          <t>avverkningsanmälan</t>
        </is>
      </c>
      <c r="C32" t="inlineStr">
        <is>
          <t>Föryngringsavverkning</t>
        </is>
      </c>
      <c r="D32" s="1" t="n">
        <v>46315</v>
      </c>
      <c r="E32" s="1" t="n">
        <v>46321</v>
      </c>
      <c r="F32" t="inlineStr">
        <is>
          <t>UPPSALA LÄN</t>
        </is>
      </c>
      <c r="G32" t="inlineStr">
        <is>
          <t>KNIVSTA</t>
        </is>
      </c>
      <c r="I32" t="n">
        <v>6.9</v>
      </c>
      <c r="J32" t="n">
        <v>0</v>
      </c>
      <c r="K32" t="n">
        <v>1</v>
      </c>
      <c r="L32" t="n">
        <v>0</v>
      </c>
      <c r="M32" t="n">
        <v>0</v>
      </c>
      <c r="N32" t="n">
        <v>0</v>
      </c>
      <c r="O32" t="n">
        <v>0</v>
      </c>
      <c r="P32" t="n">
        <v>0</v>
      </c>
      <c r="Q32" t="n">
        <v>0</v>
      </c>
      <c r="R32" t="n">
        <v>0</v>
      </c>
      <c r="S32" t="n">
        <v>1</v>
      </c>
      <c r="T32" t="n">
        <v>1</v>
      </c>
      <c r="U32" t="n">
        <v>0</v>
      </c>
      <c r="V32" s="2" t="inlineStr">
        <is>
          <t>Sotlav</t>
        </is>
      </c>
      <c r="W32">
        <f>HYPERLINK("https://klasma.github.io/Logging_0330/artfynd/A 43575-2026 artfynd.xlsx", "A 43575-2026")</f>
        <v/>
      </c>
      <c r="X32">
        <f>HYPERLINK("https://klasma.github.io/Logging_0330/kartor/A 43575-2026 karta.png", "A 43575-2026")</f>
        <v/>
      </c>
      <c r="Y32">
        <f>HYPERLINK("https://klasma.github.io/Logging_0330/kartor_geotiff/A 43575-2026 georefererad karta.tif", "A 43575-2026")</f>
        <v/>
      </c>
      <c r="AA32">
        <f>HYPERLINK("https://klasma.github.io/Logging_0330/klagomål/A 43575-2026 FSC-klagomål.docx", "A 43575-2026")</f>
        <v/>
      </c>
      <c r="AB32">
        <f>HYPERLINK("https://klasma.github.io/Logging_0330/klagomålsmail/A 43575-2026 FSC-klagomål mail.docx", "A 43575-2026")</f>
        <v/>
      </c>
      <c r="AC32">
        <f>HYPERLINK("https://klasma.github.io/Logging_0330/tillsyn/A 43575-2026 tillsynsbegäran.docx", "A 43575-2026")</f>
        <v/>
      </c>
      <c r="AD32">
        <f>HYPERLINK("https://klasma.github.io/Logging_0330/tillsynsmail/A 43575-2026 tillsynsbegäran mail.docx", "A 43575-2026")</f>
        <v/>
      </c>
    </row>
    <row r="33" ht="15" customHeight="1">
      <c r="A33" t="inlineStr">
        <is>
          <t>A 11405-2025</t>
        </is>
      </c>
      <c r="B33" t="inlineStr">
        <is>
          <t>avverkningsanmälan</t>
        </is>
      </c>
      <c r="C33" t="inlineStr">
        <is>
          <t>Föryngringsavverkning</t>
        </is>
      </c>
      <c r="D33" s="1" t="n">
        <v>45726</v>
      </c>
      <c r="E33" s="1" t="n">
        <v>46321</v>
      </c>
      <c r="F33" t="inlineStr">
        <is>
          <t>UPPSALA LÄN</t>
        </is>
      </c>
      <c r="G33" t="inlineStr">
        <is>
          <t>KNIVSTA</t>
        </is>
      </c>
      <c r="I33" t="n">
        <v>1.6</v>
      </c>
      <c r="J33" t="n">
        <v>0</v>
      </c>
      <c r="K33" t="n">
        <v>0</v>
      </c>
      <c r="L33" t="n">
        <v>0</v>
      </c>
      <c r="M33" t="n">
        <v>1</v>
      </c>
      <c r="N33" t="n">
        <v>0</v>
      </c>
      <c r="O33" t="n">
        <v>0</v>
      </c>
      <c r="P33" t="n">
        <v>0</v>
      </c>
      <c r="Q33" t="n">
        <v>1</v>
      </c>
      <c r="R33" t="n">
        <v>1</v>
      </c>
      <c r="S33" t="n">
        <v>1</v>
      </c>
      <c r="T33" t="n">
        <v>1</v>
      </c>
      <c r="U33" t="n">
        <v>0</v>
      </c>
      <c r="V33" s="2" t="inlineStr">
        <is>
          <t>Fältgentiana</t>
        </is>
      </c>
      <c r="W33">
        <f>HYPERLINK("https://klasma.github.io/Logging_0330/artfynd/A 11405-2025 artfynd.xlsx", "A 11405-2025")</f>
        <v/>
      </c>
      <c r="X33">
        <f>HYPERLINK("https://klasma.github.io/Logging_0330/kartor/A 11405-2025 karta.png", "A 11405-2025")</f>
        <v/>
      </c>
      <c r="Y33">
        <f>HYPERLINK("https://klasma.github.io/Logging_0330/kartor_geotiff/A 11405-2025 georefererad karta.tif", "A 11405-2025")</f>
        <v/>
      </c>
      <c r="AA33">
        <f>HYPERLINK("https://klasma.github.io/Logging_0330/klagomål/A 11405-2025 FSC-klagomål.docx", "A 11405-2025")</f>
        <v/>
      </c>
      <c r="AB33">
        <f>HYPERLINK("https://klasma.github.io/Logging_0330/klagomålsmail/A 11405-2025 FSC-klagomål mail.docx", "A 11405-2025")</f>
        <v/>
      </c>
      <c r="AC33">
        <f>HYPERLINK("https://klasma.github.io/Logging_0330/tillsyn/A 11405-2025 tillsynsbegäran.docx", "A 11405-2025")</f>
        <v/>
      </c>
      <c r="AD33">
        <f>HYPERLINK("https://klasma.github.io/Logging_0330/tillsynsmail/A 11405-2025 tillsynsbegäran mail.docx", "A 11405-2025")</f>
        <v/>
      </c>
    </row>
    <row r="34" ht="15" customHeight="1">
      <c r="A34" t="inlineStr">
        <is>
          <t>A 33770-2023</t>
        </is>
      </c>
      <c r="B34" t="inlineStr">
        <is>
          <t>avverkningsanmälan</t>
        </is>
      </c>
      <c r="C34" t="inlineStr">
        <is>
          <t>Föryngringsavverkning</t>
        </is>
      </c>
      <c r="D34" s="1" t="n">
        <v>45133</v>
      </c>
      <c r="E34" s="1" t="n">
        <v>46321</v>
      </c>
      <c r="F34" t="inlineStr">
        <is>
          <t>UPPSALA LÄN</t>
        </is>
      </c>
      <c r="G34" t="inlineStr">
        <is>
          <t>KNIVSTA</t>
        </is>
      </c>
      <c r="H34" t="inlineStr">
        <is>
          <t>Holmen skog AB</t>
        </is>
      </c>
      <c r="I34" t="n">
        <v>4</v>
      </c>
      <c r="J34" t="n">
        <v>1</v>
      </c>
      <c r="K34" t="n">
        <v>0</v>
      </c>
      <c r="L34" t="n">
        <v>0</v>
      </c>
      <c r="M34" t="n">
        <v>0</v>
      </c>
      <c r="N34" t="n">
        <v>0</v>
      </c>
      <c r="O34" t="n">
        <v>0</v>
      </c>
      <c r="P34" t="n">
        <v>0</v>
      </c>
      <c r="Q34" t="n">
        <v>0</v>
      </c>
      <c r="R34" t="n">
        <v>0</v>
      </c>
      <c r="S34" t="n">
        <v>1</v>
      </c>
      <c r="T34" t="n">
        <v>1</v>
      </c>
      <c r="U34" t="n">
        <v>0</v>
      </c>
      <c r="V34" s="2" t="inlineStr">
        <is>
          <t>Slaguggla</t>
        </is>
      </c>
      <c r="W34">
        <f>HYPERLINK("https://klasma.github.io/Logging_0330/artfynd/A 33770-2023 artfynd.xlsx", "A 33770-2023")</f>
        <v/>
      </c>
      <c r="X34">
        <f>HYPERLINK("https://klasma.github.io/Logging_0330/kartor/A 33770-2023 karta.png", "A 33770-2023")</f>
        <v/>
      </c>
      <c r="Y34">
        <f>HYPERLINK("https://klasma.github.io/Logging_0330/kartor_geotiff/A 33770-2023 georefererad karta.tif", "A 33770-2023")</f>
        <v/>
      </c>
      <c r="AA34">
        <f>HYPERLINK("https://klasma.github.io/Logging_0330/klagomål/A 33770-2023 FSC-klagomål.docx", "A 33770-2023")</f>
        <v/>
      </c>
      <c r="AB34">
        <f>HYPERLINK("https://klasma.github.io/Logging_0330/klagomålsmail/A 33770-2023 FSC-klagomål mail.docx", "A 33770-2023")</f>
        <v/>
      </c>
      <c r="AC34">
        <f>HYPERLINK("https://klasma.github.io/Logging_0330/tillsyn/A 33770-2023 tillsynsbegäran.docx", "A 33770-2023")</f>
        <v/>
      </c>
      <c r="AD34">
        <f>HYPERLINK("https://klasma.github.io/Logging_0330/tillsynsmail/A 33770-2023 tillsynsbegäran mail.docx", "A 33770-2023")</f>
        <v/>
      </c>
      <c r="AE34">
        <f>HYPERLINK("https://klasma.github.io/Logging_0330/fåglar/A 33770-2023 prioriterade fågelarter.docx", "A 33770-2023")</f>
        <v/>
      </c>
    </row>
    <row r="35" ht="15" customHeight="1">
      <c r="A35" t="inlineStr">
        <is>
          <t>A 60885-2021</t>
        </is>
      </c>
      <c r="B35" t="inlineStr">
        <is>
          <t>avverkningsanmälan</t>
        </is>
      </c>
      <c r="C35" t="inlineStr">
        <is>
          <t>Föryngringsavverkning</t>
        </is>
      </c>
      <c r="D35" s="1" t="n">
        <v>44497</v>
      </c>
      <c r="E35" s="1" t="n">
        <v>46321</v>
      </c>
      <c r="F35" t="inlineStr">
        <is>
          <t>UPPSALA LÄN</t>
        </is>
      </c>
      <c r="G35" t="inlineStr">
        <is>
          <t>KNIVSTA</t>
        </is>
      </c>
      <c r="I35" t="n">
        <v>1.5</v>
      </c>
      <c r="J35" t="n">
        <v>0</v>
      </c>
      <c r="K35" t="n">
        <v>1</v>
      </c>
      <c r="L35" t="n">
        <v>0</v>
      </c>
      <c r="M35" t="n">
        <v>0</v>
      </c>
      <c r="N35" t="n">
        <v>0</v>
      </c>
      <c r="O35" t="n">
        <v>0</v>
      </c>
      <c r="P35" t="n">
        <v>0</v>
      </c>
      <c r="Q35" t="n">
        <v>0</v>
      </c>
      <c r="R35" t="n">
        <v>0</v>
      </c>
      <c r="S35" t="n">
        <v>1</v>
      </c>
      <c r="T35" t="n">
        <v>1</v>
      </c>
      <c r="U35" t="n">
        <v>1</v>
      </c>
      <c r="V35" s="2" t="inlineStr">
        <is>
          <t>Sotlav</t>
        </is>
      </c>
      <c r="W35">
        <f>HYPERLINK("https://klasma.github.io/Logging_0330/artfynd/A 60885-2021 artfynd.xlsx", "A 60885-2021")</f>
        <v/>
      </c>
      <c r="X35">
        <f>HYPERLINK("https://klasma.github.io/Logging_0330/kartor/A 60885-2021 karta.png", "A 60885-2021")</f>
        <v/>
      </c>
      <c r="Y35">
        <f>HYPERLINK("https://klasma.github.io/Logging_0330/kartor_geotiff/A 60885-2021 georefererad karta.tif", "A 60885-2021")</f>
        <v/>
      </c>
      <c r="AA35">
        <f>HYPERLINK("https://klasma.github.io/Logging_0330/klagomål/A 60885-2021 FSC-klagomål.docx", "A 60885-2021")</f>
        <v/>
      </c>
      <c r="AB35">
        <f>HYPERLINK("https://klasma.github.io/Logging_0330/klagomålsmail/A 60885-2021 FSC-klagomål mail.docx", "A 60885-2021")</f>
        <v/>
      </c>
      <c r="AC35">
        <f>HYPERLINK("https://klasma.github.io/Logging_0330/tillsyn/A 60885-2021 tillsynsbegäran.docx", "A 60885-2021")</f>
        <v/>
      </c>
      <c r="AD35">
        <f>HYPERLINK("https://klasma.github.io/Logging_0330/tillsynsmail/A 60885-2021 tillsynsbegäran mail.docx", "A 60885-2021")</f>
        <v/>
      </c>
    </row>
    <row r="36" ht="15" customHeight="1">
      <c r="A36" t="inlineStr">
        <is>
          <t>A 66305-2021</t>
        </is>
      </c>
      <c r="B36" t="inlineStr">
        <is>
          <t>avverkningsanmälan</t>
        </is>
      </c>
      <c r="C36" t="inlineStr">
        <is>
          <t>Föryngringsavverkning</t>
        </is>
      </c>
      <c r="D36" s="1" t="n">
        <v>44518</v>
      </c>
      <c r="E36" s="1" t="n">
        <v>46321</v>
      </c>
      <c r="F36" t="inlineStr">
        <is>
          <t>UPPSALA LÄN</t>
        </is>
      </c>
      <c r="G36" t="inlineStr">
        <is>
          <t>KNIVSTA</t>
        </is>
      </c>
      <c r="I36" t="n">
        <v>8.300000000000001</v>
      </c>
      <c r="J36" t="n">
        <v>0</v>
      </c>
      <c r="K36" t="n">
        <v>0</v>
      </c>
      <c r="L36" t="n">
        <v>0</v>
      </c>
      <c r="M36" t="n">
        <v>1</v>
      </c>
      <c r="N36" t="n">
        <v>0</v>
      </c>
      <c r="O36" t="n">
        <v>0</v>
      </c>
      <c r="P36" t="n">
        <v>0</v>
      </c>
      <c r="Q36" t="n">
        <v>1</v>
      </c>
      <c r="R36" t="n">
        <v>1</v>
      </c>
      <c r="S36" t="n">
        <v>1</v>
      </c>
      <c r="T36" t="n">
        <v>1</v>
      </c>
      <c r="U36" t="n">
        <v>1</v>
      </c>
      <c r="V36" s="2" t="inlineStr">
        <is>
          <t>Silverblåvinge</t>
        </is>
      </c>
      <c r="W36">
        <f>HYPERLINK("https://klasma.github.io/Logging_0330/artfynd/A 66305-2021 artfynd.xlsx", "A 66305-2021")</f>
        <v/>
      </c>
      <c r="X36">
        <f>HYPERLINK("https://klasma.github.io/Logging_0330/kartor/A 66305-2021 karta.png", "A 66305-2021")</f>
        <v/>
      </c>
      <c r="Y36">
        <f>HYPERLINK("https://klasma.github.io/Logging_0330/kartor_geotiff/A 66305-2021 georefererad karta.tif", "A 66305-2021")</f>
        <v/>
      </c>
      <c r="AA36">
        <f>HYPERLINK("https://klasma.github.io/Logging_0330/klagomål/A 66305-2021 FSC-klagomål.docx", "A 66305-2021")</f>
        <v/>
      </c>
      <c r="AB36">
        <f>HYPERLINK("https://klasma.github.io/Logging_0330/klagomålsmail/A 66305-2021 FSC-klagomål mail.docx", "A 66305-2021")</f>
        <v/>
      </c>
      <c r="AC36">
        <f>HYPERLINK("https://klasma.github.io/Logging_0330/tillsyn/A 66305-2021 tillsynsbegäran.docx", "A 66305-2021")</f>
        <v/>
      </c>
      <c r="AD36">
        <f>HYPERLINK("https://klasma.github.io/Logging_0330/tillsynsmail/A 66305-2021 tillsynsbegäran mail.docx", "A 66305-2021")</f>
        <v/>
      </c>
    </row>
    <row r="37" ht="15" customHeight="1">
      <c r="A37" t="inlineStr">
        <is>
          <t>S 1786-2022</t>
        </is>
      </c>
      <c r="B37" t="inlineStr">
        <is>
          <t>samrådsanmälan</t>
        </is>
      </c>
      <c r="C37" t="inlineStr">
        <is>
          <t>Åtgärd i nyckelbiotop</t>
        </is>
      </c>
      <c r="D37" s="1" t="n">
        <v>44655</v>
      </c>
      <c r="E37" s="1" t="n">
        <v>46321</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46321</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46321</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46321</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46321</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46321</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46321</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46321</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46321</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46321</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46321</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46321</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46321</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46321</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23969-2026</t>
        </is>
      </c>
      <c r="B51" t="inlineStr">
        <is>
          <t>avverkningsanmälan</t>
        </is>
      </c>
      <c r="C51" t="inlineStr">
        <is>
          <t>Föryngringsavverkning</t>
        </is>
      </c>
      <c r="D51" s="1" t="n">
        <v>46167</v>
      </c>
      <c r="E51" s="1" t="n">
        <v>46321</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46321</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47803-2025</t>
        </is>
      </c>
      <c r="B53" t="inlineStr">
        <is>
          <t>avverkningsanmälan</t>
        </is>
      </c>
      <c r="C53" t="inlineStr">
        <is>
          <t>Avverkning för annat ändamål</t>
        </is>
      </c>
      <c r="D53" s="1" t="n">
        <v>45931</v>
      </c>
      <c r="E53" s="1" t="n">
        <v>46321</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13697-2024</t>
        </is>
      </c>
      <c r="B54" t="inlineStr">
        <is>
          <t>avverkningsanmälan</t>
        </is>
      </c>
      <c r="C54" t="inlineStr">
        <is>
          <t>Föryngringsavverkning</t>
        </is>
      </c>
      <c r="D54" s="1" t="n">
        <v>45390</v>
      </c>
      <c r="E54" s="1" t="n">
        <v>46321</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49090-2025</t>
        </is>
      </c>
      <c r="B55" t="inlineStr">
        <is>
          <t>avverkningsanmälan</t>
        </is>
      </c>
      <c r="C55" t="inlineStr">
        <is>
          <t>Föryngringsavverkning</t>
        </is>
      </c>
      <c r="D55" s="1" t="n">
        <v>45937</v>
      </c>
      <c r="E55" s="1" t="n">
        <v>46321</v>
      </c>
      <c r="F55" t="inlineStr">
        <is>
          <t>UPPSALA LÄN</t>
        </is>
      </c>
      <c r="G55" t="inlineStr">
        <is>
          <t>KNIVSTA</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2629-2025</t>
        </is>
      </c>
      <c r="B56" t="inlineStr">
        <is>
          <t>avverkningsanmälan</t>
        </is>
      </c>
      <c r="C56" t="inlineStr">
        <is>
          <t>Föryngringsavverkning</t>
        </is>
      </c>
      <c r="D56" s="1" t="n">
        <v>45675</v>
      </c>
      <c r="E56" s="1" t="n">
        <v>46321</v>
      </c>
      <c r="F56" t="inlineStr">
        <is>
          <t>UPPSALA LÄN</t>
        </is>
      </c>
      <c r="G56" t="inlineStr">
        <is>
          <t>KNIVSTA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5320-2023</t>
        </is>
      </c>
      <c r="B57" t="inlineStr">
        <is>
          <t>avverkningsanmälan</t>
        </is>
      </c>
      <c r="C57" t="inlineStr">
        <is>
          <t>Föryngringsavverkning</t>
        </is>
      </c>
      <c r="D57" s="1" t="n">
        <v>44959</v>
      </c>
      <c r="E57" s="1" t="n">
        <v>46321</v>
      </c>
      <c r="F57" t="inlineStr">
        <is>
          <t>UPPSALA LÄN</t>
        </is>
      </c>
      <c r="G57" t="inlineStr">
        <is>
          <t>KNIVSTA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45916-2022</t>
        </is>
      </c>
      <c r="B58" t="inlineStr">
        <is>
          <t>avverkningsanmälan</t>
        </is>
      </c>
      <c r="C58" t="inlineStr">
        <is>
          <t>Föryngringsavverkning</t>
        </is>
      </c>
      <c r="D58" s="1" t="n">
        <v>44846</v>
      </c>
      <c r="E58" s="1" t="n">
        <v>46321</v>
      </c>
      <c r="F58" t="inlineStr">
        <is>
          <t>UPPSALA LÄN</t>
        </is>
      </c>
      <c r="G58" t="inlineStr">
        <is>
          <t>KNIVSTA</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17091-2023</t>
        </is>
      </c>
      <c r="B59" t="inlineStr">
        <is>
          <t>avverkningsanmälan</t>
        </is>
      </c>
      <c r="C59" t="inlineStr">
        <is>
          <t>Föryngringsavverkning</t>
        </is>
      </c>
      <c r="D59" s="1" t="n">
        <v>45034</v>
      </c>
      <c r="E59" s="1" t="n">
        <v>46321</v>
      </c>
      <c r="F59" t="inlineStr">
        <is>
          <t>UPPSALA LÄN</t>
        </is>
      </c>
      <c r="G59" t="inlineStr">
        <is>
          <t>KNIVSTA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60243-2025</t>
        </is>
      </c>
      <c r="B60" t="inlineStr">
        <is>
          <t>avverkningsanmälan</t>
        </is>
      </c>
      <c r="C60" t="inlineStr">
        <is>
          <t>Föryngringsavverkning</t>
        </is>
      </c>
      <c r="D60" s="1" t="n">
        <v>45994</v>
      </c>
      <c r="E60" s="1" t="n">
        <v>46321</v>
      </c>
      <c r="F60" t="inlineStr">
        <is>
          <t>UPPSALA LÄN</t>
        </is>
      </c>
      <c r="G60" t="inlineStr">
        <is>
          <t>KNIVSTA</t>
        </is>
      </c>
      <c r="H60" t="inlineStr">
        <is>
          <t>Holmen skog AB</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28668-2026</t>
        </is>
      </c>
      <c r="B61" t="inlineStr">
        <is>
          <t>avverkningsanmälan</t>
        </is>
      </c>
      <c r="C61" t="inlineStr">
        <is>
          <t>Avverkning för annat ändamål</t>
        </is>
      </c>
      <c r="D61" s="1" t="n">
        <v>46193</v>
      </c>
      <c r="E61" s="1" t="n">
        <v>46321</v>
      </c>
      <c r="F61" t="inlineStr">
        <is>
          <t>UPPSALA LÄN</t>
        </is>
      </c>
      <c r="G61" t="inlineStr">
        <is>
          <t>KNIVSTA</t>
        </is>
      </c>
      <c r="I61" t="n">
        <v>7.4</v>
      </c>
      <c r="J61" t="n">
        <v>0</v>
      </c>
      <c r="K61" t="n">
        <v>0</v>
      </c>
      <c r="L61" t="n">
        <v>0</v>
      </c>
      <c r="M61" t="n">
        <v>0</v>
      </c>
      <c r="N61" t="n">
        <v>0</v>
      </c>
      <c r="O61" t="n">
        <v>0</v>
      </c>
      <c r="P61" t="n">
        <v>0</v>
      </c>
      <c r="Q61" t="n">
        <v>0</v>
      </c>
      <c r="R61" t="n">
        <v>0</v>
      </c>
      <c r="S61" t="n">
        <v>0</v>
      </c>
      <c r="T61" t="n">
        <v>0</v>
      </c>
      <c r="U61" t="n">
        <v>0</v>
      </c>
      <c r="V61" s="2" t="inlineStr"/>
    </row>
    <row r="62" ht="15" customHeight="1">
      <c r="A62" t="inlineStr">
        <is>
          <t>A 794-2024</t>
        </is>
      </c>
      <c r="B62" t="inlineStr">
        <is>
          <t>avverkningsanmälan</t>
        </is>
      </c>
      <c r="C62" t="inlineStr">
        <is>
          <t>Föryngringsavverkning</t>
        </is>
      </c>
      <c r="D62" s="1" t="n">
        <v>45300</v>
      </c>
      <c r="E62" s="1" t="n">
        <v>46321</v>
      </c>
      <c r="F62" t="inlineStr">
        <is>
          <t>UPPSALA LÄN</t>
        </is>
      </c>
      <c r="G62" t="inlineStr">
        <is>
          <t>KNIVSTA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662-2026</t>
        </is>
      </c>
      <c r="B63" t="inlineStr">
        <is>
          <t>avverkningsanmälan</t>
        </is>
      </c>
      <c r="C63" t="inlineStr">
        <is>
          <t>Föryngringsavverkning</t>
        </is>
      </c>
      <c r="D63" s="1" t="n">
        <v>46029</v>
      </c>
      <c r="E63" s="1" t="n">
        <v>46321</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3375-2026</t>
        </is>
      </c>
      <c r="B64" t="inlineStr">
        <is>
          <t>avverkningsanmälan</t>
        </is>
      </c>
      <c r="C64" t="inlineStr">
        <is>
          <t>Föryngringsavverkning</t>
        </is>
      </c>
      <c r="D64" s="1" t="n">
        <v>46042</v>
      </c>
      <c r="E64" s="1" t="n">
        <v>46321</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3824-2026</t>
        </is>
      </c>
      <c r="B65" t="inlineStr">
        <is>
          <t>avverkningsanmälan</t>
        </is>
      </c>
      <c r="C65" t="inlineStr">
        <is>
          <t>Föryngringsavverkning</t>
        </is>
      </c>
      <c r="D65" s="1" t="n">
        <v>46043</v>
      </c>
      <c r="E65" s="1" t="n">
        <v>46321</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20902-2024</t>
        </is>
      </c>
      <c r="B66" t="inlineStr">
        <is>
          <t>avverkningsanmälan</t>
        </is>
      </c>
      <c r="C66" t="inlineStr">
        <is>
          <t>Föryngringsavverkning</t>
        </is>
      </c>
      <c r="D66" s="1" t="n">
        <v>45439</v>
      </c>
      <c r="E66" s="1" t="n">
        <v>46321</v>
      </c>
      <c r="F66" t="inlineStr">
        <is>
          <t>UPPSALA LÄN</t>
        </is>
      </c>
      <c r="G66" t="inlineStr">
        <is>
          <t>KNIVSTA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46321</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46321</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39978-2026</t>
        </is>
      </c>
      <c r="B69" t="inlineStr">
        <is>
          <t>avverkningsanmälan</t>
        </is>
      </c>
      <c r="C69" t="inlineStr">
        <is>
          <t>Föryngringsavverkning</t>
        </is>
      </c>
      <c r="D69" s="1" t="n">
        <v>46293</v>
      </c>
      <c r="E69" s="1" t="n">
        <v>46321</v>
      </c>
      <c r="F69" t="inlineStr">
        <is>
          <t>UPPSALA LÄN</t>
        </is>
      </c>
      <c r="G69" t="inlineStr">
        <is>
          <t>KNIVSTA</t>
        </is>
      </c>
      <c r="H69" t="inlineStr">
        <is>
          <t>Holmen skog AB</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46321</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12027-2026</t>
        </is>
      </c>
      <c r="B71" t="inlineStr">
        <is>
          <t>avverkningsanmälan</t>
        </is>
      </c>
      <c r="C71" t="inlineStr">
        <is>
          <t>Avverkning för annat ändamål</t>
        </is>
      </c>
      <c r="D71" s="1" t="n">
        <v>46085</v>
      </c>
      <c r="E71" s="1" t="n">
        <v>46321</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12774-2026</t>
        </is>
      </c>
      <c r="B72" t="inlineStr">
        <is>
          <t>avverkningsanmälan</t>
        </is>
      </c>
      <c r="C72" t="inlineStr">
        <is>
          <t>Föryngringsavverkning</t>
        </is>
      </c>
      <c r="D72" s="1" t="n">
        <v>46091</v>
      </c>
      <c r="E72" s="1" t="n">
        <v>46321</v>
      </c>
      <c r="F72" t="inlineStr">
        <is>
          <t>UPPSALA LÄN</t>
        </is>
      </c>
      <c r="G72" t="inlineStr">
        <is>
          <t>KNIVSTA</t>
        </is>
      </c>
      <c r="H72" t="inlineStr">
        <is>
          <t>Holmen skog AB</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13013-2026</t>
        </is>
      </c>
      <c r="B73" t="inlineStr">
        <is>
          <t>avverkningsanmälan</t>
        </is>
      </c>
      <c r="C73" t="inlineStr">
        <is>
          <t>Föryngringsavverkning</t>
        </is>
      </c>
      <c r="D73" s="1" t="n">
        <v>46092</v>
      </c>
      <c r="E73" s="1" t="n">
        <v>46321</v>
      </c>
      <c r="F73" t="inlineStr">
        <is>
          <t>UPPSALA LÄN</t>
        </is>
      </c>
      <c r="G73" t="inlineStr">
        <is>
          <t>KNIVSTA</t>
        </is>
      </c>
      <c r="H73" t="inlineStr">
        <is>
          <t>Holmen skog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46321</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13016-2026</t>
        </is>
      </c>
      <c r="B75" t="inlineStr">
        <is>
          <t>avverkningsanmälan</t>
        </is>
      </c>
      <c r="C75" t="inlineStr">
        <is>
          <t>Föryngringsavverkning</t>
        </is>
      </c>
      <c r="D75" s="1" t="n">
        <v>46092</v>
      </c>
      <c r="E75" s="1" t="n">
        <v>46321</v>
      </c>
      <c r="F75" t="inlineStr">
        <is>
          <t>UPPSALA LÄN</t>
        </is>
      </c>
      <c r="G75" t="inlineStr">
        <is>
          <t>KNIVSTA</t>
        </is>
      </c>
      <c r="H75" t="inlineStr">
        <is>
          <t>Holmen skog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46321</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13005-2026</t>
        </is>
      </c>
      <c r="B77" t="inlineStr">
        <is>
          <t>avverkningsanmälan</t>
        </is>
      </c>
      <c r="C77" t="inlineStr">
        <is>
          <t>Föryngringsavverkning</t>
        </is>
      </c>
      <c r="D77" s="1" t="n">
        <v>46092</v>
      </c>
      <c r="E77" s="1" t="n">
        <v>46321</v>
      </c>
      <c r="F77" t="inlineStr">
        <is>
          <t>UPPSALA LÄN</t>
        </is>
      </c>
      <c r="G77" t="inlineStr">
        <is>
          <t>KNIVSTA</t>
        </is>
      </c>
      <c r="H77" t="inlineStr">
        <is>
          <t>Holmen skog AB</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46321</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35318-2025</t>
        </is>
      </c>
      <c r="B79" t="inlineStr">
        <is>
          <t>avverkningsanmälan</t>
        </is>
      </c>
      <c r="C79" t="inlineStr">
        <is>
          <t>Föryngringsavverkning</t>
        </is>
      </c>
      <c r="D79" s="1" t="n">
        <v>45854</v>
      </c>
      <c r="E79" s="1" t="n">
        <v>46321</v>
      </c>
      <c r="F79" t="inlineStr">
        <is>
          <t>UPPSALA LÄN</t>
        </is>
      </c>
      <c r="G79" t="inlineStr">
        <is>
          <t>KNIVSTA</t>
        </is>
      </c>
      <c r="H79" t="inlineStr">
        <is>
          <t>Holmen skog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36473-2025</t>
        </is>
      </c>
      <c r="B80" t="inlineStr">
        <is>
          <t>avverkningsanmälan</t>
        </is>
      </c>
      <c r="C80" t="inlineStr">
        <is>
          <t>Föryngringsavverkning</t>
        </is>
      </c>
      <c r="D80" s="1" t="n">
        <v>45869</v>
      </c>
      <c r="E80" s="1" t="n">
        <v>46321</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19777-2026</t>
        </is>
      </c>
      <c r="B81" t="inlineStr">
        <is>
          <t>avverkningsanmälan</t>
        </is>
      </c>
      <c r="C81" t="inlineStr">
        <is>
          <t>Föryngringsavverkning</t>
        </is>
      </c>
      <c r="D81" s="1" t="n">
        <v>46135</v>
      </c>
      <c r="E81" s="1" t="n">
        <v>46321</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19774-2026</t>
        </is>
      </c>
      <c r="B82" t="inlineStr">
        <is>
          <t>avverkningsanmälan</t>
        </is>
      </c>
      <c r="C82" t="inlineStr">
        <is>
          <t>Föryngringsavverkning</t>
        </is>
      </c>
      <c r="D82" s="1" t="n">
        <v>46135</v>
      </c>
      <c r="E82" s="1" t="n">
        <v>46321</v>
      </c>
      <c r="F82" t="inlineStr">
        <is>
          <t>UPPSALA LÄN</t>
        </is>
      </c>
      <c r="G82" t="inlineStr">
        <is>
          <t>KNIVSTA</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46321</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33974-2025</t>
        </is>
      </c>
      <c r="B84" t="inlineStr">
        <is>
          <t>avverkningsanmälan</t>
        </is>
      </c>
      <c r="C84" t="inlineStr">
        <is>
          <t>Föryngringsavverkning</t>
        </is>
      </c>
      <c r="D84" s="1" t="n">
        <v>45843</v>
      </c>
      <c r="E84" s="1" t="n">
        <v>46321</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43447-2026</t>
        </is>
      </c>
      <c r="B85" t="inlineStr">
        <is>
          <t>avverkningsanmälan</t>
        </is>
      </c>
      <c r="C85" t="inlineStr">
        <is>
          <t>Föryngringsavverkning</t>
        </is>
      </c>
      <c r="D85" s="1" t="n">
        <v>46314</v>
      </c>
      <c r="E85" s="1" t="n">
        <v>46321</v>
      </c>
      <c r="F85" t="inlineStr">
        <is>
          <t>UPPSALA LÄN</t>
        </is>
      </c>
      <c r="G85" t="inlineStr">
        <is>
          <t>KNIVSTA</t>
        </is>
      </c>
      <c r="I85" t="n">
        <v>9.699999999999999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20528-2026</t>
        </is>
      </c>
      <c r="B86" t="inlineStr">
        <is>
          <t>avverkningsanmälan</t>
        </is>
      </c>
      <c r="C86" t="inlineStr">
        <is>
          <t>Föryngringsavverkning</t>
        </is>
      </c>
      <c r="D86" s="1" t="n">
        <v>46140</v>
      </c>
      <c r="E86" s="1" t="n">
        <v>46321</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11841-2023</t>
        </is>
      </c>
      <c r="B87" t="inlineStr">
        <is>
          <t>avverkningsanmälan</t>
        </is>
      </c>
      <c r="C87" t="inlineStr">
        <is>
          <t>Föryngringsavverkning</t>
        </is>
      </c>
      <c r="D87" s="1" t="n">
        <v>44995</v>
      </c>
      <c r="E87" s="1" t="n">
        <v>46321</v>
      </c>
      <c r="F87" t="inlineStr">
        <is>
          <t>UPPSALA LÄN</t>
        </is>
      </c>
      <c r="G87" t="inlineStr">
        <is>
          <t>KNIVSTA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37413-2026</t>
        </is>
      </c>
      <c r="B88" t="inlineStr">
        <is>
          <t>avverkningsanmälan</t>
        </is>
      </c>
      <c r="C88" t="inlineStr">
        <is>
          <t>Föryngringsavverkning</t>
        </is>
      </c>
      <c r="D88" s="1" t="n">
        <v>46275</v>
      </c>
      <c r="E88" s="1" t="n">
        <v>46321</v>
      </c>
      <c r="F88" t="inlineStr">
        <is>
          <t>UPPSALA LÄN</t>
        </is>
      </c>
      <c r="G88" t="inlineStr">
        <is>
          <t>KNIVSTA</t>
        </is>
      </c>
      <c r="H88" t="inlineStr">
        <is>
          <t>Holmen skog AB</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37437-2026</t>
        </is>
      </c>
      <c r="B89" t="inlineStr">
        <is>
          <t>avverkningsanmälan</t>
        </is>
      </c>
      <c r="C89" t="inlineStr">
        <is>
          <t>Föryngringsavverkning</t>
        </is>
      </c>
      <c r="D89" s="1" t="n">
        <v>46275</v>
      </c>
      <c r="E89" s="1" t="n">
        <v>46321</v>
      </c>
      <c r="F89" t="inlineStr">
        <is>
          <t>UPPSALA LÄN</t>
        </is>
      </c>
      <c r="G89" t="inlineStr">
        <is>
          <t>KNIVSTA</t>
        </is>
      </c>
      <c r="H89" t="inlineStr">
        <is>
          <t>Holmen skog AB</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30351-2022</t>
        </is>
      </c>
      <c r="B90" t="inlineStr">
        <is>
          <t>avverkningsanmälan</t>
        </is>
      </c>
      <c r="C90" t="inlineStr">
        <is>
          <t>Föryngringsavverkning</t>
        </is>
      </c>
      <c r="D90" s="1" t="n">
        <v>44757</v>
      </c>
      <c r="E90" s="1" t="n">
        <v>46321</v>
      </c>
      <c r="F90" t="inlineStr">
        <is>
          <t>UPPSALA LÄN</t>
        </is>
      </c>
      <c r="G90" t="inlineStr">
        <is>
          <t>KNIVSTA</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11847-2023</t>
        </is>
      </c>
      <c r="B91" t="inlineStr">
        <is>
          <t>avverkningsanmälan</t>
        </is>
      </c>
      <c r="C91" t="inlineStr">
        <is>
          <t>Föryngringsavverkning</t>
        </is>
      </c>
      <c r="D91" s="1" t="n">
        <v>44995</v>
      </c>
      <c r="E91" s="1" t="n">
        <v>46321</v>
      </c>
      <c r="F91" t="inlineStr">
        <is>
          <t>UPPSALA LÄN</t>
        </is>
      </c>
      <c r="G91" t="inlineStr">
        <is>
          <t>KNIVSTA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11450-2023</t>
        </is>
      </c>
      <c r="B92" t="inlineStr">
        <is>
          <t>avverkningsanmälan</t>
        </is>
      </c>
      <c r="C92" t="inlineStr">
        <is>
          <t>Föryngringsavverkning</t>
        </is>
      </c>
      <c r="D92" s="1" t="n">
        <v>44993</v>
      </c>
      <c r="E92" s="1" t="n">
        <v>46321</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31875-2022</t>
        </is>
      </c>
      <c r="B93" t="inlineStr">
        <is>
          <t>avverkningsanmälan</t>
        </is>
      </c>
      <c r="C93" t="inlineStr">
        <is>
          <t>Föryngringsavverkning</t>
        </is>
      </c>
      <c r="D93" s="1" t="n">
        <v>44777</v>
      </c>
      <c r="E93" s="1" t="n">
        <v>46321</v>
      </c>
      <c r="F93" t="inlineStr">
        <is>
          <t>UPPSALA LÄN</t>
        </is>
      </c>
      <c r="G93" t="inlineStr">
        <is>
          <t>KNIVSTA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23239-2023</t>
        </is>
      </c>
      <c r="B94" t="inlineStr">
        <is>
          <t>avverkningsanmälan</t>
        </is>
      </c>
      <c r="C94" t="inlineStr">
        <is>
          <t>Föryngringsavverkning</t>
        </is>
      </c>
      <c r="D94" s="1" t="n">
        <v>45075</v>
      </c>
      <c r="E94" s="1" t="n">
        <v>46321</v>
      </c>
      <c r="F94" t="inlineStr">
        <is>
          <t>UPPSALA LÄN</t>
        </is>
      </c>
      <c r="G94" t="inlineStr">
        <is>
          <t>KNIVSTA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66293-2021</t>
        </is>
      </c>
      <c r="B95" t="inlineStr">
        <is>
          <t>avverkningsanmälan</t>
        </is>
      </c>
      <c r="C95" t="inlineStr">
        <is>
          <t>Föryngringsavverkning</t>
        </is>
      </c>
      <c r="D95" s="1" t="n">
        <v>44518</v>
      </c>
      <c r="E95" s="1" t="n">
        <v>46321</v>
      </c>
      <c r="F95" t="inlineStr">
        <is>
          <t>UPPSALA LÄN</t>
        </is>
      </c>
      <c r="G95" t="inlineStr">
        <is>
          <t>KNIVSTA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66284-2021</t>
        </is>
      </c>
      <c r="B96" t="inlineStr">
        <is>
          <t>avverkningsanmälan</t>
        </is>
      </c>
      <c r="C96" t="inlineStr">
        <is>
          <t>Föryngringsavverkning</t>
        </is>
      </c>
      <c r="D96" s="1" t="n">
        <v>44518</v>
      </c>
      <c r="E96" s="1" t="n">
        <v>46321</v>
      </c>
      <c r="F96" t="inlineStr">
        <is>
          <t>UPPSALA LÄN</t>
        </is>
      </c>
      <c r="G96" t="inlineStr">
        <is>
          <t>KNIVSTA</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46321</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8343-2024</t>
        </is>
      </c>
      <c r="B98" t="inlineStr">
        <is>
          <t>avverkningsanmälan</t>
        </is>
      </c>
      <c r="C98" t="inlineStr">
        <is>
          <t>Föryngringsavverkning</t>
        </is>
      </c>
      <c r="D98" s="1" t="n">
        <v>45352</v>
      </c>
      <c r="E98" s="1" t="n">
        <v>46321</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30627-2023</t>
        </is>
      </c>
      <c r="B99" t="inlineStr">
        <is>
          <t>avverkningsanmälan</t>
        </is>
      </c>
      <c r="C99" t="inlineStr">
        <is>
          <t>Föryngringsavverkning</t>
        </is>
      </c>
      <c r="D99" s="1" t="n">
        <v>45112</v>
      </c>
      <c r="E99" s="1" t="n">
        <v>46321</v>
      </c>
      <c r="F99" t="inlineStr">
        <is>
          <t>UPPSALA LÄN</t>
        </is>
      </c>
      <c r="G99" t="inlineStr">
        <is>
          <t>KNIVSTA</t>
        </is>
      </c>
      <c r="H99" t="inlineStr">
        <is>
          <t>Holmen skog AB</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1629-2024</t>
        </is>
      </c>
      <c r="B100" t="inlineStr">
        <is>
          <t>avverkningsanmälan</t>
        </is>
      </c>
      <c r="C100" t="inlineStr">
        <is>
          <t>Föryngringsavverkning</t>
        </is>
      </c>
      <c r="D100" s="1" t="n">
        <v>45306</v>
      </c>
      <c r="E100" s="1" t="n">
        <v>46321</v>
      </c>
      <c r="F100" t="inlineStr">
        <is>
          <t>UPPSALA LÄN</t>
        </is>
      </c>
      <c r="G100" t="inlineStr">
        <is>
          <t>KNIVSTA</t>
        </is>
      </c>
      <c r="H100" t="inlineStr">
        <is>
          <t>Holmen skog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45525-2023</t>
        </is>
      </c>
      <c r="B101" t="inlineStr">
        <is>
          <t>avverkningsanmälan</t>
        </is>
      </c>
      <c r="C101" t="inlineStr">
        <is>
          <t>Avverkning för annat ändamål</t>
        </is>
      </c>
      <c r="D101" s="1" t="n">
        <v>45194</v>
      </c>
      <c r="E101" s="1" t="n">
        <v>46321</v>
      </c>
      <c r="F101" t="inlineStr">
        <is>
          <t>UPPSALA LÄN</t>
        </is>
      </c>
      <c r="G101" t="inlineStr">
        <is>
          <t>KNIVSTA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16773-2022</t>
        </is>
      </c>
      <c r="B102" t="inlineStr">
        <is>
          <t>avverkningsanmälan</t>
        </is>
      </c>
      <c r="C102" t="inlineStr">
        <is>
          <t>Avverkning för annat ändamål</t>
        </is>
      </c>
      <c r="D102" s="1" t="n">
        <v>44673</v>
      </c>
      <c r="E102" s="1" t="n">
        <v>46321</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46321</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51849-2023</t>
        </is>
      </c>
      <c r="B104" t="inlineStr">
        <is>
          <t>avverkningsanmälan</t>
        </is>
      </c>
      <c r="C104" t="inlineStr">
        <is>
          <t>Föryngringsavverkning</t>
        </is>
      </c>
      <c r="D104" s="1" t="n">
        <v>45223</v>
      </c>
      <c r="E104" s="1" t="n">
        <v>46321</v>
      </c>
      <c r="F104" t="inlineStr">
        <is>
          <t>UPPSALA LÄN</t>
        </is>
      </c>
      <c r="G104" t="inlineStr">
        <is>
          <t>KNIVSTA</t>
        </is>
      </c>
      <c r="I104" t="n">
        <v>16.3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60018-2024</t>
        </is>
      </c>
      <c r="B105" t="inlineStr">
        <is>
          <t>avverkningsanmälan</t>
        </is>
      </c>
      <c r="C105" t="inlineStr">
        <is>
          <t>Föryngringsavverkning</t>
        </is>
      </c>
      <c r="D105" s="1" t="n">
        <v>45642</v>
      </c>
      <c r="E105" s="1" t="n">
        <v>46321</v>
      </c>
      <c r="F105" t="inlineStr">
        <is>
          <t>UPPSALA LÄN</t>
        </is>
      </c>
      <c r="G105" t="inlineStr">
        <is>
          <t>KNIVSTA</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17333-2024</t>
        </is>
      </c>
      <c r="B106" t="inlineStr">
        <is>
          <t>avverkningsanmälan</t>
        </is>
      </c>
      <c r="C106" t="inlineStr">
        <is>
          <t>Föryngringsavverkning</t>
        </is>
      </c>
      <c r="D106" s="1" t="n">
        <v>45414</v>
      </c>
      <c r="E106" s="1" t="n">
        <v>46321</v>
      </c>
      <c r="F106" t="inlineStr">
        <is>
          <t>UPPSALA LÄN</t>
        </is>
      </c>
      <c r="G106" t="inlineStr">
        <is>
          <t>KNIVSTA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1791-2024</t>
        </is>
      </c>
      <c r="B107" t="inlineStr">
        <is>
          <t>avverkningsanmälan</t>
        </is>
      </c>
      <c r="C107" t="inlineStr">
        <is>
          <t>Föryngringsavverkning</t>
        </is>
      </c>
      <c r="D107" s="1" t="n">
        <v>45307</v>
      </c>
      <c r="E107" s="1" t="n">
        <v>46321</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2628-2025</t>
        </is>
      </c>
      <c r="B108" t="inlineStr">
        <is>
          <t>avverkningsanmälan</t>
        </is>
      </c>
      <c r="C108" t="inlineStr">
        <is>
          <t>Föryngringsavverkning</t>
        </is>
      </c>
      <c r="D108" s="1" t="n">
        <v>45675</v>
      </c>
      <c r="E108" s="1" t="n">
        <v>46321</v>
      </c>
      <c r="F108" t="inlineStr">
        <is>
          <t>UPPSALA LÄN</t>
        </is>
      </c>
      <c r="G108" t="inlineStr">
        <is>
          <t>KNIVSTA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11452-2023</t>
        </is>
      </c>
      <c r="B109" t="inlineStr">
        <is>
          <t>avverkningsanmälan</t>
        </is>
      </c>
      <c r="C109" t="inlineStr">
        <is>
          <t>Föryngringsavverkning</t>
        </is>
      </c>
      <c r="D109" s="1" t="n">
        <v>44993</v>
      </c>
      <c r="E109" s="1" t="n">
        <v>46321</v>
      </c>
      <c r="F109" t="inlineStr">
        <is>
          <t>UPPSALA LÄN</t>
        </is>
      </c>
      <c r="G109" t="inlineStr">
        <is>
          <t>KNIVSTA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43908-2023</t>
        </is>
      </c>
      <c r="B110" t="inlineStr">
        <is>
          <t>avverkningsanmälan</t>
        </is>
      </c>
      <c r="C110" t="inlineStr">
        <is>
          <t>Föryngringsavverkning</t>
        </is>
      </c>
      <c r="D110" s="1" t="n">
        <v>45187</v>
      </c>
      <c r="E110" s="1" t="n">
        <v>46321</v>
      </c>
      <c r="F110" t="inlineStr">
        <is>
          <t>UPPSALA LÄN</t>
        </is>
      </c>
      <c r="G110" t="inlineStr">
        <is>
          <t>KNIVSTA</t>
        </is>
      </c>
      <c r="H110" t="inlineStr">
        <is>
          <t>Kyrkan</t>
        </is>
      </c>
      <c r="I110" t="n">
        <v>1.7</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46321</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2026-10-26T03:08:20Z</dcterms:created>
  <dcterms:modified xmlns:dcterms="http://purl.org/dc/terms/" xmlns:xsi="http://www.w3.org/2001/XMLSchema-instance" xsi:type="dcterms:W3CDTF">2026-10-26T03:08:20Z</dcterms:modified>
</cp:coreProperties>
</file>