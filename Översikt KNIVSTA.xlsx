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45988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45988</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45988</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45988</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45988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45988</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45988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45988</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45988</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45988</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45988</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45988</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11405-2025</t>
        </is>
      </c>
      <c r="B14" s="1" t="n">
        <v>45726</v>
      </c>
      <c r="C14" s="1" t="n">
        <v>45988</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16407-2025</t>
        </is>
      </c>
      <c r="B15" s="1" t="n">
        <v>45751.45120370371</v>
      </c>
      <c r="C15" s="1" t="n">
        <v>45988</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21831-2024</t>
        </is>
      </c>
      <c r="B16" s="1" t="n">
        <v>45442</v>
      </c>
      <c r="C16" s="1" t="n">
        <v>45988</v>
      </c>
      <c r="D16" t="inlineStr">
        <is>
          <t>UPPSALA LÄN</t>
        </is>
      </c>
      <c r="E16" t="inlineStr">
        <is>
          <t>KNIVSTA</t>
        </is>
      </c>
      <c r="G16" t="n">
        <v>4.5</v>
      </c>
      <c r="H16" t="n">
        <v>1</v>
      </c>
      <c r="I16" t="n">
        <v>0</v>
      </c>
      <c r="J16" t="n">
        <v>0</v>
      </c>
      <c r="K16" t="n">
        <v>0</v>
      </c>
      <c r="L16" t="n">
        <v>0</v>
      </c>
      <c r="M16" t="n">
        <v>0</v>
      </c>
      <c r="N16" t="n">
        <v>0</v>
      </c>
      <c r="O16" t="n">
        <v>0</v>
      </c>
      <c r="P16" t="n">
        <v>0</v>
      </c>
      <c r="Q16" t="n">
        <v>1</v>
      </c>
      <c r="R16" s="2" t="inlineStr">
        <is>
          <t>Blåsippa</t>
        </is>
      </c>
      <c r="S16">
        <f>HYPERLINK("https://klasma.github.io/Logging_0330/artfynd/A 21831-2024 artfynd.xlsx", "A 21831-2024")</f>
        <v/>
      </c>
      <c r="T16">
        <f>HYPERLINK("https://klasma.github.io/Logging_0330/kartor/A 21831-2024 karta.png", "A 21831-2024")</f>
        <v/>
      </c>
      <c r="V16">
        <f>HYPERLINK("https://klasma.github.io/Logging_0330/klagomål/A 21831-2024 FSC-klagomål.docx", "A 21831-2024")</f>
        <v/>
      </c>
      <c r="W16">
        <f>HYPERLINK("https://klasma.github.io/Logging_0330/klagomålsmail/A 21831-2024 FSC-klagomål mail.docx", "A 21831-2024")</f>
        <v/>
      </c>
      <c r="X16">
        <f>HYPERLINK("https://klasma.github.io/Logging_0330/tillsyn/A 21831-2024 tillsynsbegäran.docx", "A 21831-2024")</f>
        <v/>
      </c>
      <c r="Y16">
        <f>HYPERLINK("https://klasma.github.io/Logging_0330/tillsynsmail/A 21831-2024 tillsynsbegäran mail.docx", "A 21831-2024")</f>
        <v/>
      </c>
    </row>
    <row r="17" ht="15" customHeight="1">
      <c r="A17" t="inlineStr">
        <is>
          <t>A 9725-2021</t>
        </is>
      </c>
      <c r="B17" s="1" t="n">
        <v>44252</v>
      </c>
      <c r="C17" s="1" t="n">
        <v>45988</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45988</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45988</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45988</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45988</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45988</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45988</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45988</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45988</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45988</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45988</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45988</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45988</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45988</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45988</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45988</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45988</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45988</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45988</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45988</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45988</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45988</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45988</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45988</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45988</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45988</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45988</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794-2024</t>
        </is>
      </c>
      <c r="B44" s="1" t="n">
        <v>45300.58149305556</v>
      </c>
      <c r="C44" s="1" t="n">
        <v>45988</v>
      </c>
      <c r="D44" t="inlineStr">
        <is>
          <t>UPPSALA LÄN</t>
        </is>
      </c>
      <c r="E44" t="inlineStr">
        <is>
          <t>KNIVSTA</t>
        </is>
      </c>
      <c r="G44" t="n">
        <v>1.6</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45988</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45988</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45988</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26226-2025</t>
        </is>
      </c>
      <c r="B48" s="1" t="n">
        <v>45805.55829861111</v>
      </c>
      <c r="C48" s="1" t="n">
        <v>45988</v>
      </c>
      <c r="D48" t="inlineStr">
        <is>
          <t>UPPSALA LÄN</t>
        </is>
      </c>
      <c r="E48" t="inlineStr">
        <is>
          <t>KNIVSTA</t>
        </is>
      </c>
      <c r="G48" t="n">
        <v>9.1</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45988</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45525-2023</t>
        </is>
      </c>
      <c r="B50" s="1" t="n">
        <v>45194</v>
      </c>
      <c r="C50" s="1" t="n">
        <v>45988</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45988</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45988</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52666-2025</t>
        </is>
      </c>
      <c r="B53" s="1" t="n">
        <v>45955.74299768519</v>
      </c>
      <c r="C53" s="1" t="n">
        <v>45988</v>
      </c>
      <c r="D53" t="inlineStr">
        <is>
          <t>UPPSALA LÄN</t>
        </is>
      </c>
      <c r="E53" t="inlineStr">
        <is>
          <t>KNIVSTA</t>
        </is>
      </c>
      <c r="G53" t="n">
        <v>2.1</v>
      </c>
      <c r="H53" t="n">
        <v>0</v>
      </c>
      <c r="I53" t="n">
        <v>0</v>
      </c>
      <c r="J53" t="n">
        <v>0</v>
      </c>
      <c r="K53" t="n">
        <v>0</v>
      </c>
      <c r="L53" t="n">
        <v>0</v>
      </c>
      <c r="M53" t="n">
        <v>0</v>
      </c>
      <c r="N53" t="n">
        <v>0</v>
      </c>
      <c r="O53" t="n">
        <v>0</v>
      </c>
      <c r="P53" t="n">
        <v>0</v>
      </c>
      <c r="Q53" t="n">
        <v>0</v>
      </c>
      <c r="R53" s="2" t="inlineStr"/>
    </row>
    <row r="54" ht="15" customHeight="1">
      <c r="A54" t="inlineStr">
        <is>
          <t>A 52667-2025</t>
        </is>
      </c>
      <c r="B54" s="1" t="n">
        <v>45955.74666666667</v>
      </c>
      <c r="C54" s="1" t="n">
        <v>45988</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20505-2021</t>
        </is>
      </c>
      <c r="B55" s="1" t="n">
        <v>44313</v>
      </c>
      <c r="C55" s="1" t="n">
        <v>45988</v>
      </c>
      <c r="D55" t="inlineStr">
        <is>
          <t>UPPSALA LÄN</t>
        </is>
      </c>
      <c r="E55" t="inlineStr">
        <is>
          <t>KNIVSTA</t>
        </is>
      </c>
      <c r="G55" t="n">
        <v>2.9</v>
      </c>
      <c r="H55" t="n">
        <v>0</v>
      </c>
      <c r="I55" t="n">
        <v>0</v>
      </c>
      <c r="J55" t="n">
        <v>0</v>
      </c>
      <c r="K55" t="n">
        <v>0</v>
      </c>
      <c r="L55" t="n">
        <v>0</v>
      </c>
      <c r="M55" t="n">
        <v>0</v>
      </c>
      <c r="N55" t="n">
        <v>0</v>
      </c>
      <c r="O55" t="n">
        <v>0</v>
      </c>
      <c r="P55" t="n">
        <v>0</v>
      </c>
      <c r="Q55" t="n">
        <v>0</v>
      </c>
      <c r="R55" s="2" t="inlineStr"/>
    </row>
    <row r="56" ht="15" customHeight="1">
      <c r="A56" t="inlineStr">
        <is>
          <t>A 53898-2025</t>
        </is>
      </c>
      <c r="B56" s="1" t="n">
        <v>45961.43056712963</v>
      </c>
      <c r="C56" s="1" t="n">
        <v>45988</v>
      </c>
      <c r="D56" t="inlineStr">
        <is>
          <t>UPPSALA LÄN</t>
        </is>
      </c>
      <c r="E56" t="inlineStr">
        <is>
          <t>KNIVSTA</t>
        </is>
      </c>
      <c r="G56" t="n">
        <v>4.5</v>
      </c>
      <c r="H56" t="n">
        <v>0</v>
      </c>
      <c r="I56" t="n">
        <v>0</v>
      </c>
      <c r="J56" t="n">
        <v>0</v>
      </c>
      <c r="K56" t="n">
        <v>0</v>
      </c>
      <c r="L56" t="n">
        <v>0</v>
      </c>
      <c r="M56" t="n">
        <v>0</v>
      </c>
      <c r="N56" t="n">
        <v>0</v>
      </c>
      <c r="O56" t="n">
        <v>0</v>
      </c>
      <c r="P56" t="n">
        <v>0</v>
      </c>
      <c r="Q56" t="n">
        <v>0</v>
      </c>
      <c r="R56" s="2" t="inlineStr"/>
    </row>
    <row r="57" ht="15" customHeight="1">
      <c r="A57" t="inlineStr">
        <is>
          <t>A 44869-2025</t>
        </is>
      </c>
      <c r="B57" s="1" t="n">
        <v>45918.46758101852</v>
      </c>
      <c r="C57" s="1" t="n">
        <v>45988</v>
      </c>
      <c r="D57" t="inlineStr">
        <is>
          <t>UPPSALA LÄN</t>
        </is>
      </c>
      <c r="E57" t="inlineStr">
        <is>
          <t>KNIVSTA</t>
        </is>
      </c>
      <c r="G57" t="n">
        <v>17.1</v>
      </c>
      <c r="H57" t="n">
        <v>0</v>
      </c>
      <c r="I57" t="n">
        <v>0</v>
      </c>
      <c r="J57" t="n">
        <v>0</v>
      </c>
      <c r="K57" t="n">
        <v>0</v>
      </c>
      <c r="L57" t="n">
        <v>0</v>
      </c>
      <c r="M57" t="n">
        <v>0</v>
      </c>
      <c r="N57" t="n">
        <v>0</v>
      </c>
      <c r="O57" t="n">
        <v>0</v>
      </c>
      <c r="P57" t="n">
        <v>0</v>
      </c>
      <c r="Q57" t="n">
        <v>0</v>
      </c>
      <c r="R57" s="2" t="inlineStr"/>
    </row>
    <row r="58" ht="15" customHeight="1">
      <c r="A58" t="inlineStr">
        <is>
          <t>A 60018-2024</t>
        </is>
      </c>
      <c r="B58" s="1" t="n">
        <v>45642</v>
      </c>
      <c r="C58" s="1" t="n">
        <v>45988</v>
      </c>
      <c r="D58" t="inlineStr">
        <is>
          <t>UPPSALA LÄN</t>
        </is>
      </c>
      <c r="E58" t="inlineStr">
        <is>
          <t>KNIVSTA</t>
        </is>
      </c>
      <c r="G58" t="n">
        <v>4.1</v>
      </c>
      <c r="H58" t="n">
        <v>0</v>
      </c>
      <c r="I58" t="n">
        <v>0</v>
      </c>
      <c r="J58" t="n">
        <v>0</v>
      </c>
      <c r="K58" t="n">
        <v>0</v>
      </c>
      <c r="L58" t="n">
        <v>0</v>
      </c>
      <c r="M58" t="n">
        <v>0</v>
      </c>
      <c r="N58" t="n">
        <v>0</v>
      </c>
      <c r="O58" t="n">
        <v>0</v>
      </c>
      <c r="P58" t="n">
        <v>0</v>
      </c>
      <c r="Q58" t="n">
        <v>0</v>
      </c>
      <c r="R58" s="2" t="inlineStr"/>
    </row>
    <row r="59" ht="15" customHeight="1">
      <c r="A59" t="inlineStr">
        <is>
          <t>A 16396-2025</t>
        </is>
      </c>
      <c r="B59" s="1" t="n">
        <v>45751.44219907407</v>
      </c>
      <c r="C59" s="1" t="n">
        <v>45988</v>
      </c>
      <c r="D59" t="inlineStr">
        <is>
          <t>UPPSALA LÄN</t>
        </is>
      </c>
      <c r="E59" t="inlineStr">
        <is>
          <t>KNIVSTA</t>
        </is>
      </c>
      <c r="G59" t="n">
        <v>5.1</v>
      </c>
      <c r="H59" t="n">
        <v>0</v>
      </c>
      <c r="I59" t="n">
        <v>0</v>
      </c>
      <c r="J59" t="n">
        <v>0</v>
      </c>
      <c r="K59" t="n">
        <v>0</v>
      </c>
      <c r="L59" t="n">
        <v>0</v>
      </c>
      <c r="M59" t="n">
        <v>0</v>
      </c>
      <c r="N59" t="n">
        <v>0</v>
      </c>
      <c r="O59" t="n">
        <v>0</v>
      </c>
      <c r="P59" t="n">
        <v>0</v>
      </c>
      <c r="Q59" t="n">
        <v>0</v>
      </c>
      <c r="R59" s="2" t="inlineStr"/>
    </row>
    <row r="60" ht="15" customHeight="1">
      <c r="A60" t="inlineStr">
        <is>
          <t>A 33976-2025</t>
        </is>
      </c>
      <c r="B60" s="1" t="n">
        <v>45843</v>
      </c>
      <c r="C60" s="1" t="n">
        <v>45988</v>
      </c>
      <c r="D60" t="inlineStr">
        <is>
          <t>UPPSALA LÄN</t>
        </is>
      </c>
      <c r="E60" t="inlineStr">
        <is>
          <t>KNIVSTA</t>
        </is>
      </c>
      <c r="G60" t="n">
        <v>6.1</v>
      </c>
      <c r="H60" t="n">
        <v>0</v>
      </c>
      <c r="I60" t="n">
        <v>0</v>
      </c>
      <c r="J60" t="n">
        <v>0</v>
      </c>
      <c r="K60" t="n">
        <v>0</v>
      </c>
      <c r="L60" t="n">
        <v>0</v>
      </c>
      <c r="M60" t="n">
        <v>0</v>
      </c>
      <c r="N60" t="n">
        <v>0</v>
      </c>
      <c r="O60" t="n">
        <v>0</v>
      </c>
      <c r="P60" t="n">
        <v>0</v>
      </c>
      <c r="Q60" t="n">
        <v>0</v>
      </c>
      <c r="R60" s="2" t="inlineStr"/>
    </row>
    <row r="61" ht="15" customHeight="1">
      <c r="A61" t="inlineStr">
        <is>
          <t>A 33974-2025</t>
        </is>
      </c>
      <c r="B61" s="1" t="n">
        <v>45843.305625</v>
      </c>
      <c r="C61" s="1" t="n">
        <v>45988</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33975-2025</t>
        </is>
      </c>
      <c r="B62" s="1" t="n">
        <v>45843.30805555556</v>
      </c>
      <c r="C62" s="1" t="n">
        <v>45988</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45453-2025</t>
        </is>
      </c>
      <c r="B63" s="1" t="n">
        <v>45922.48702546296</v>
      </c>
      <c r="C63" s="1" t="n">
        <v>45988</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34859-2025</t>
        </is>
      </c>
      <c r="B64" s="1" t="n">
        <v>45849.43511574074</v>
      </c>
      <c r="C64" s="1" t="n">
        <v>45988</v>
      </c>
      <c r="D64" t="inlineStr">
        <is>
          <t>UPPSALA LÄN</t>
        </is>
      </c>
      <c r="E64" t="inlineStr">
        <is>
          <t>KNIVSTA</t>
        </is>
      </c>
      <c r="F64" t="inlineStr">
        <is>
          <t>Holmen skog AB</t>
        </is>
      </c>
      <c r="G64" t="n">
        <v>6.1</v>
      </c>
      <c r="H64" t="n">
        <v>0</v>
      </c>
      <c r="I64" t="n">
        <v>0</v>
      </c>
      <c r="J64" t="n">
        <v>0</v>
      </c>
      <c r="K64" t="n">
        <v>0</v>
      </c>
      <c r="L64" t="n">
        <v>0</v>
      </c>
      <c r="M64" t="n">
        <v>0</v>
      </c>
      <c r="N64" t="n">
        <v>0</v>
      </c>
      <c r="O64" t="n">
        <v>0</v>
      </c>
      <c r="P64" t="n">
        <v>0</v>
      </c>
      <c r="Q64" t="n">
        <v>0</v>
      </c>
      <c r="R64" s="2" t="inlineStr"/>
    </row>
    <row r="65" ht="15" customHeight="1">
      <c r="A65" t="inlineStr">
        <is>
          <t>A 34864-2025</t>
        </is>
      </c>
      <c r="B65" s="1" t="n">
        <v>45849.44028935185</v>
      </c>
      <c r="C65" s="1" t="n">
        <v>45988</v>
      </c>
      <c r="D65" t="inlineStr">
        <is>
          <t>UPPSALA LÄN</t>
        </is>
      </c>
      <c r="E65" t="inlineStr">
        <is>
          <t>KNIVSTA</t>
        </is>
      </c>
      <c r="F65" t="inlineStr">
        <is>
          <t>Holmen skog AB</t>
        </is>
      </c>
      <c r="G65" t="n">
        <v>1.3</v>
      </c>
      <c r="H65" t="n">
        <v>0</v>
      </c>
      <c r="I65" t="n">
        <v>0</v>
      </c>
      <c r="J65" t="n">
        <v>0</v>
      </c>
      <c r="K65" t="n">
        <v>0</v>
      </c>
      <c r="L65" t="n">
        <v>0</v>
      </c>
      <c r="M65" t="n">
        <v>0</v>
      </c>
      <c r="N65" t="n">
        <v>0</v>
      </c>
      <c r="O65" t="n">
        <v>0</v>
      </c>
      <c r="P65" t="n">
        <v>0</v>
      </c>
      <c r="Q65" t="n">
        <v>0</v>
      </c>
      <c r="R65" s="2" t="inlineStr"/>
    </row>
    <row r="66" ht="15" customHeight="1">
      <c r="A66" t="inlineStr">
        <is>
          <t>A 13040-2025</t>
        </is>
      </c>
      <c r="B66" s="1" t="n">
        <v>45734</v>
      </c>
      <c r="C66" s="1" t="n">
        <v>45988</v>
      </c>
      <c r="D66" t="inlineStr">
        <is>
          <t>UPPSALA LÄN</t>
        </is>
      </c>
      <c r="E66" t="inlineStr">
        <is>
          <t>KNIVSTA</t>
        </is>
      </c>
      <c r="F66" t="inlineStr">
        <is>
          <t>Allmännings- och besparingsskogar</t>
        </is>
      </c>
      <c r="G66" t="n">
        <v>1.6</v>
      </c>
      <c r="H66" t="n">
        <v>0</v>
      </c>
      <c r="I66" t="n">
        <v>0</v>
      </c>
      <c r="J66" t="n">
        <v>0</v>
      </c>
      <c r="K66" t="n">
        <v>0</v>
      </c>
      <c r="L66" t="n">
        <v>0</v>
      </c>
      <c r="M66" t="n">
        <v>0</v>
      </c>
      <c r="N66" t="n">
        <v>0</v>
      </c>
      <c r="O66" t="n">
        <v>0</v>
      </c>
      <c r="P66" t="n">
        <v>0</v>
      </c>
      <c r="Q66" t="n">
        <v>0</v>
      </c>
      <c r="R66" s="2" t="inlineStr"/>
    </row>
    <row r="67" ht="15" customHeight="1">
      <c r="A67" t="inlineStr">
        <is>
          <t>A 35318-2025</t>
        </is>
      </c>
      <c r="B67" s="1" t="n">
        <v>45854.47917824074</v>
      </c>
      <c r="C67" s="1" t="n">
        <v>45988</v>
      </c>
      <c r="D67" t="inlineStr">
        <is>
          <t>UPPSALA LÄN</t>
        </is>
      </c>
      <c r="E67" t="inlineStr">
        <is>
          <t>KNIVSTA</t>
        </is>
      </c>
      <c r="F67" t="inlineStr">
        <is>
          <t>Holmen skog AB</t>
        </is>
      </c>
      <c r="G67" t="n">
        <v>2.2</v>
      </c>
      <c r="H67" t="n">
        <v>0</v>
      </c>
      <c r="I67" t="n">
        <v>0</v>
      </c>
      <c r="J67" t="n">
        <v>0</v>
      </c>
      <c r="K67" t="n">
        <v>0</v>
      </c>
      <c r="L67" t="n">
        <v>0</v>
      </c>
      <c r="M67" t="n">
        <v>0</v>
      </c>
      <c r="N67" t="n">
        <v>0</v>
      </c>
      <c r="O67" t="n">
        <v>0</v>
      </c>
      <c r="P67" t="n">
        <v>0</v>
      </c>
      <c r="Q67" t="n">
        <v>0</v>
      </c>
      <c r="R67" s="2" t="inlineStr"/>
    </row>
    <row r="68" ht="15" customHeight="1">
      <c r="A68" t="inlineStr">
        <is>
          <t>A 1791-2024</t>
        </is>
      </c>
      <c r="B68" s="1" t="n">
        <v>45307.574375</v>
      </c>
      <c r="C68" s="1" t="n">
        <v>45988</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45988</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36473-2025</t>
        </is>
      </c>
      <c r="B70" s="1" t="n">
        <v>45869.48333333333</v>
      </c>
      <c r="C70" s="1" t="n">
        <v>45988</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36470-2025</t>
        </is>
      </c>
      <c r="B71" s="1" t="n">
        <v>45869.47915509259</v>
      </c>
      <c r="C71" s="1" t="n">
        <v>45988</v>
      </c>
      <c r="D71" t="inlineStr">
        <is>
          <t>UPPSALA LÄN</t>
        </is>
      </c>
      <c r="E71" t="inlineStr">
        <is>
          <t>KNIVSTA</t>
        </is>
      </c>
      <c r="G71" t="n">
        <v>3.6</v>
      </c>
      <c r="H71" t="n">
        <v>0</v>
      </c>
      <c r="I71" t="n">
        <v>0</v>
      </c>
      <c r="J71" t="n">
        <v>0</v>
      </c>
      <c r="K71" t="n">
        <v>0</v>
      </c>
      <c r="L71" t="n">
        <v>0</v>
      </c>
      <c r="M71" t="n">
        <v>0</v>
      </c>
      <c r="N71" t="n">
        <v>0</v>
      </c>
      <c r="O71" t="n">
        <v>0</v>
      </c>
      <c r="P71" t="n">
        <v>0</v>
      </c>
      <c r="Q71" t="n">
        <v>0</v>
      </c>
      <c r="R71" s="2" t="inlineStr"/>
    </row>
    <row r="72" ht="15" customHeight="1">
      <c r="A72" t="inlineStr">
        <is>
          <t>A 53812-2025</t>
        </is>
      </c>
      <c r="B72" s="1" t="n">
        <v>45960</v>
      </c>
      <c r="C72" s="1" t="n">
        <v>45988</v>
      </c>
      <c r="D72" t="inlineStr">
        <is>
          <t>UPPSALA LÄN</t>
        </is>
      </c>
      <c r="E72" t="inlineStr">
        <is>
          <t>KNIVSTA</t>
        </is>
      </c>
      <c r="G72" t="n">
        <v>5.8</v>
      </c>
      <c r="H72" t="n">
        <v>0</v>
      </c>
      <c r="I72" t="n">
        <v>0</v>
      </c>
      <c r="J72" t="n">
        <v>0</v>
      </c>
      <c r="K72" t="n">
        <v>0</v>
      </c>
      <c r="L72" t="n">
        <v>0</v>
      </c>
      <c r="M72" t="n">
        <v>0</v>
      </c>
      <c r="N72" t="n">
        <v>0</v>
      </c>
      <c r="O72" t="n">
        <v>0</v>
      </c>
      <c r="P72" t="n">
        <v>0</v>
      </c>
      <c r="Q72" t="n">
        <v>0</v>
      </c>
      <c r="R72" s="2" t="inlineStr"/>
    </row>
    <row r="73" ht="15" customHeight="1">
      <c r="A73" t="inlineStr">
        <is>
          <t>A 47803-2025</t>
        </is>
      </c>
      <c r="B73" s="1" t="n">
        <v>45931</v>
      </c>
      <c r="C73" s="1" t="n">
        <v>45988</v>
      </c>
      <c r="D73" t="inlineStr">
        <is>
          <t>UPPSALA LÄN</t>
        </is>
      </c>
      <c r="E73" t="inlineStr">
        <is>
          <t>KNIVSTA</t>
        </is>
      </c>
      <c r="G73" t="n">
        <v>2.9</v>
      </c>
      <c r="H73" t="n">
        <v>0</v>
      </c>
      <c r="I73" t="n">
        <v>0</v>
      </c>
      <c r="J73" t="n">
        <v>0</v>
      </c>
      <c r="K73" t="n">
        <v>0</v>
      </c>
      <c r="L73" t="n">
        <v>0</v>
      </c>
      <c r="M73" t="n">
        <v>0</v>
      </c>
      <c r="N73" t="n">
        <v>0</v>
      </c>
      <c r="O73" t="n">
        <v>0</v>
      </c>
      <c r="P73" t="n">
        <v>0</v>
      </c>
      <c r="Q73" t="n">
        <v>0</v>
      </c>
      <c r="R73" s="2" t="inlineStr"/>
    </row>
    <row r="74" ht="15" customHeight="1">
      <c r="A74" t="inlineStr">
        <is>
          <t>A 23239-2023</t>
        </is>
      </c>
      <c r="B74" s="1" t="n">
        <v>45075</v>
      </c>
      <c r="C74" s="1" t="n">
        <v>45988</v>
      </c>
      <c r="D74" t="inlineStr">
        <is>
          <t>UPPSALA LÄN</t>
        </is>
      </c>
      <c r="E74" t="inlineStr">
        <is>
          <t>KNIVSTA</t>
        </is>
      </c>
      <c r="G74" t="n">
        <v>1.8</v>
      </c>
      <c r="H74" t="n">
        <v>0</v>
      </c>
      <c r="I74" t="n">
        <v>0</v>
      </c>
      <c r="J74" t="n">
        <v>0</v>
      </c>
      <c r="K74" t="n">
        <v>0</v>
      </c>
      <c r="L74" t="n">
        <v>0</v>
      </c>
      <c r="M74" t="n">
        <v>0</v>
      </c>
      <c r="N74" t="n">
        <v>0</v>
      </c>
      <c r="O74" t="n">
        <v>0</v>
      </c>
      <c r="P74" t="n">
        <v>0</v>
      </c>
      <c r="Q74" t="n">
        <v>0</v>
      </c>
      <c r="R74" s="2" t="inlineStr"/>
    </row>
    <row r="75" ht="15" customHeight="1">
      <c r="A75" t="inlineStr">
        <is>
          <t>A 57631-2025</t>
        </is>
      </c>
      <c r="B75" s="1" t="n">
        <v>45981.34748842593</v>
      </c>
      <c r="C75" s="1" t="n">
        <v>45988</v>
      </c>
      <c r="D75" t="inlineStr">
        <is>
          <t>UPPSALA LÄN</t>
        </is>
      </c>
      <c r="E75" t="inlineStr">
        <is>
          <t>KNIVSTA</t>
        </is>
      </c>
      <c r="G75" t="n">
        <v>3.4</v>
      </c>
      <c r="H75" t="n">
        <v>0</v>
      </c>
      <c r="I75" t="n">
        <v>0</v>
      </c>
      <c r="J75" t="n">
        <v>0</v>
      </c>
      <c r="K75" t="n">
        <v>0</v>
      </c>
      <c r="L75" t="n">
        <v>0</v>
      </c>
      <c r="M75" t="n">
        <v>0</v>
      </c>
      <c r="N75" t="n">
        <v>0</v>
      </c>
      <c r="O75" t="n">
        <v>0</v>
      </c>
      <c r="P75" t="n">
        <v>0</v>
      </c>
      <c r="Q75" t="n">
        <v>0</v>
      </c>
      <c r="R75" s="2" t="inlineStr"/>
    </row>
    <row r="76" ht="15" customHeight="1">
      <c r="A76" t="inlineStr">
        <is>
          <t>A 49090-2025</t>
        </is>
      </c>
      <c r="B76" s="1" t="n">
        <v>45937</v>
      </c>
      <c r="C76" s="1" t="n">
        <v>45988</v>
      </c>
      <c r="D76" t="inlineStr">
        <is>
          <t>UPPSALA LÄN</t>
        </is>
      </c>
      <c r="E76" t="inlineStr">
        <is>
          <t>KNIVSTA</t>
        </is>
      </c>
      <c r="G76" t="n">
        <v>4.1</v>
      </c>
      <c r="H76" t="n">
        <v>0</v>
      </c>
      <c r="I76" t="n">
        <v>0</v>
      </c>
      <c r="J76" t="n">
        <v>0</v>
      </c>
      <c r="K76" t="n">
        <v>0</v>
      </c>
      <c r="L76" t="n">
        <v>0</v>
      </c>
      <c r="M76" t="n">
        <v>0</v>
      </c>
      <c r="N76" t="n">
        <v>0</v>
      </c>
      <c r="O76" t="n">
        <v>0</v>
      </c>
      <c r="P76" t="n">
        <v>0</v>
      </c>
      <c r="Q76" t="n">
        <v>0</v>
      </c>
      <c r="R76" s="2" t="inlineStr"/>
    </row>
    <row r="77" ht="15" customHeight="1">
      <c r="A77" t="inlineStr">
        <is>
          <t>A 5402-2023</t>
        </is>
      </c>
      <c r="B77" s="1" t="n">
        <v>44959</v>
      </c>
      <c r="C77" s="1" t="n">
        <v>45988</v>
      </c>
      <c r="D77" t="inlineStr">
        <is>
          <t>UPPSALA LÄN</t>
        </is>
      </c>
      <c r="E77" t="inlineStr">
        <is>
          <t>KNIVSTA</t>
        </is>
      </c>
      <c r="G77" t="n">
        <v>4.3</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45988</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45988</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45988</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11847-2023</t>
        </is>
      </c>
      <c r="B81" s="1" t="n">
        <v>44995.33957175926</v>
      </c>
      <c r="C81" s="1" t="n">
        <v>45988</v>
      </c>
      <c r="D81" t="inlineStr">
        <is>
          <t>UPPSALA LÄN</t>
        </is>
      </c>
      <c r="E81" t="inlineStr">
        <is>
          <t>KNIVSTA</t>
        </is>
      </c>
      <c r="G81" t="n">
        <v>2.1</v>
      </c>
      <c r="H81" t="n">
        <v>0</v>
      </c>
      <c r="I81" t="n">
        <v>0</v>
      </c>
      <c r="J81" t="n">
        <v>0</v>
      </c>
      <c r="K81" t="n">
        <v>0</v>
      </c>
      <c r="L81" t="n">
        <v>0</v>
      </c>
      <c r="M81" t="n">
        <v>0</v>
      </c>
      <c r="N81" t="n">
        <v>0</v>
      </c>
      <c r="O81" t="n">
        <v>0</v>
      </c>
      <c r="P81" t="n">
        <v>0</v>
      </c>
      <c r="Q81" t="n">
        <v>0</v>
      </c>
      <c r="R81" s="2" t="inlineStr"/>
    </row>
    <row r="82" ht="15" customHeight="1">
      <c r="A82" t="inlineStr">
        <is>
          <t>A 30351-2022</t>
        </is>
      </c>
      <c r="B82" s="1" t="n">
        <v>44757</v>
      </c>
      <c r="C82" s="1" t="n">
        <v>45988</v>
      </c>
      <c r="D82" t="inlineStr">
        <is>
          <t>UPPSALA LÄN</t>
        </is>
      </c>
      <c r="E82" t="inlineStr">
        <is>
          <t>KNIVSTA</t>
        </is>
      </c>
      <c r="G82" t="n">
        <v>5.7</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45988</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31875-2022</t>
        </is>
      </c>
      <c r="B84" s="1" t="n">
        <v>44777</v>
      </c>
      <c r="C84" s="1" t="n">
        <v>45988</v>
      </c>
      <c r="D84" t="inlineStr">
        <is>
          <t>UPPSALA LÄN</t>
        </is>
      </c>
      <c r="E84" t="inlineStr">
        <is>
          <t>KNIVSTA</t>
        </is>
      </c>
      <c r="G84" t="n">
        <v>0.7</v>
      </c>
      <c r="H84" t="n">
        <v>0</v>
      </c>
      <c r="I84" t="n">
        <v>0</v>
      </c>
      <c r="J84" t="n">
        <v>0</v>
      </c>
      <c r="K84" t="n">
        <v>0</v>
      </c>
      <c r="L84" t="n">
        <v>0</v>
      </c>
      <c r="M84" t="n">
        <v>0</v>
      </c>
      <c r="N84" t="n">
        <v>0</v>
      </c>
      <c r="O84" t="n">
        <v>0</v>
      </c>
      <c r="P84" t="n">
        <v>0</v>
      </c>
      <c r="Q84" t="n">
        <v>0</v>
      </c>
      <c r="R84" s="2" t="inlineStr"/>
    </row>
    <row r="85" ht="15" customHeight="1">
      <c r="A85" t="inlineStr">
        <is>
          <t>A 51849-2023</t>
        </is>
      </c>
      <c r="B85" s="1" t="n">
        <v>45223.34391203704</v>
      </c>
      <c r="C85" s="1" t="n">
        <v>45988</v>
      </c>
      <c r="D85" t="inlineStr">
        <is>
          <t>UPPSALA LÄN</t>
        </is>
      </c>
      <c r="E85" t="inlineStr">
        <is>
          <t>KNIVSTA</t>
        </is>
      </c>
      <c r="G85" t="n">
        <v>16.3</v>
      </c>
      <c r="H85" t="n">
        <v>0</v>
      </c>
      <c r="I85" t="n">
        <v>0</v>
      </c>
      <c r="J85" t="n">
        <v>0</v>
      </c>
      <c r="K85" t="n">
        <v>0</v>
      </c>
      <c r="L85" t="n">
        <v>0</v>
      </c>
      <c r="M85" t="n">
        <v>0</v>
      </c>
      <c r="N85" t="n">
        <v>0</v>
      </c>
      <c r="O85" t="n">
        <v>0</v>
      </c>
      <c r="P85" t="n">
        <v>0</v>
      </c>
      <c r="Q85" t="n">
        <v>0</v>
      </c>
      <c r="R85" s="2" t="inlineStr"/>
    </row>
    <row r="86" ht="15" customHeight="1">
      <c r="A86" t="inlineStr">
        <is>
          <t>A 66293-2021</t>
        </is>
      </c>
      <c r="B86" s="1" t="n">
        <v>44518</v>
      </c>
      <c r="C86" s="1" t="n">
        <v>45988</v>
      </c>
      <c r="D86" t="inlineStr">
        <is>
          <t>UPPSALA LÄN</t>
        </is>
      </c>
      <c r="E86" t="inlineStr">
        <is>
          <t>KNIVSTA</t>
        </is>
      </c>
      <c r="G86" t="n">
        <v>2.6</v>
      </c>
      <c r="H86" t="n">
        <v>0</v>
      </c>
      <c r="I86" t="n">
        <v>0</v>
      </c>
      <c r="J86" t="n">
        <v>0</v>
      </c>
      <c r="K86" t="n">
        <v>0</v>
      </c>
      <c r="L86" t="n">
        <v>0</v>
      </c>
      <c r="M86" t="n">
        <v>0</v>
      </c>
      <c r="N86" t="n">
        <v>0</v>
      </c>
      <c r="O86" t="n">
        <v>0</v>
      </c>
      <c r="P86" t="n">
        <v>0</v>
      </c>
      <c r="Q86" t="n">
        <v>0</v>
      </c>
      <c r="R86" s="2" t="inlineStr"/>
    </row>
    <row r="87" ht="15" customHeight="1">
      <c r="A87" t="inlineStr">
        <is>
          <t>A 45916-2022</t>
        </is>
      </c>
      <c r="B87" s="1" t="n">
        <v>44846</v>
      </c>
      <c r="C87" s="1" t="n">
        <v>45988</v>
      </c>
      <c r="D87" t="inlineStr">
        <is>
          <t>UPPSALA LÄN</t>
        </is>
      </c>
      <c r="E87" t="inlineStr">
        <is>
          <t>KNIVSTA</t>
        </is>
      </c>
      <c r="G87" t="n">
        <v>3.8</v>
      </c>
      <c r="H87" t="n">
        <v>0</v>
      </c>
      <c r="I87" t="n">
        <v>0</v>
      </c>
      <c r="J87" t="n">
        <v>0</v>
      </c>
      <c r="K87" t="n">
        <v>0</v>
      </c>
      <c r="L87" t="n">
        <v>0</v>
      </c>
      <c r="M87" t="n">
        <v>0</v>
      </c>
      <c r="N87" t="n">
        <v>0</v>
      </c>
      <c r="O87" t="n">
        <v>0</v>
      </c>
      <c r="P87" t="n">
        <v>0</v>
      </c>
      <c r="Q87" t="n">
        <v>0</v>
      </c>
      <c r="R87" s="2" t="inlineStr"/>
    </row>
    <row r="88" ht="15" customHeight="1">
      <c r="A88" t="inlineStr">
        <is>
          <t>A 2629-2025</t>
        </is>
      </c>
      <c r="B88" s="1" t="n">
        <v>45675.6953587963</v>
      </c>
      <c r="C88" s="1" t="n">
        <v>45988</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5320-2023</t>
        </is>
      </c>
      <c r="B89" s="1" t="n">
        <v>44959</v>
      </c>
      <c r="C89" s="1" t="n">
        <v>45988</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45988</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30627-2023</t>
        </is>
      </c>
      <c r="B91" s="1" t="n">
        <v>45112</v>
      </c>
      <c r="C91" s="1" t="n">
        <v>45988</v>
      </c>
      <c r="D91" t="inlineStr">
        <is>
          <t>UPPSALA LÄN</t>
        </is>
      </c>
      <c r="E91" t="inlineStr">
        <is>
          <t>KNIVSTA</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43908-2023</t>
        </is>
      </c>
      <c r="B92" s="1" t="n">
        <v>45187</v>
      </c>
      <c r="C92" s="1" t="n">
        <v>45988</v>
      </c>
      <c r="D92" t="inlineStr">
        <is>
          <t>UPPSALA LÄN</t>
        </is>
      </c>
      <c r="E92" t="inlineStr">
        <is>
          <t>KNIVSTA</t>
        </is>
      </c>
      <c r="F92" t="inlineStr">
        <is>
          <t>Kyrkan</t>
        </is>
      </c>
      <c r="G92" t="n">
        <v>1.7</v>
      </c>
      <c r="H92" t="n">
        <v>0</v>
      </c>
      <c r="I92" t="n">
        <v>0</v>
      </c>
      <c r="J92" t="n">
        <v>0</v>
      </c>
      <c r="K92" t="n">
        <v>0</v>
      </c>
      <c r="L92" t="n">
        <v>0</v>
      </c>
      <c r="M92" t="n">
        <v>0</v>
      </c>
      <c r="N92" t="n">
        <v>0</v>
      </c>
      <c r="O92" t="n">
        <v>0</v>
      </c>
      <c r="P92" t="n">
        <v>0</v>
      </c>
      <c r="Q92" t="n">
        <v>0</v>
      </c>
      <c r="R92" s="2" t="inlineStr"/>
    </row>
    <row r="93" ht="15" customHeight="1">
      <c r="A93" t="inlineStr">
        <is>
          <t>A 8343-2024</t>
        </is>
      </c>
      <c r="B93" s="1" t="n">
        <v>45352</v>
      </c>
      <c r="C93" s="1" t="n">
        <v>45988</v>
      </c>
      <c r="D93" t="inlineStr">
        <is>
          <t>UPPSALA LÄN</t>
        </is>
      </c>
      <c r="E93" t="inlineStr">
        <is>
          <t>KNIVSTA</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60885-2021</t>
        </is>
      </c>
      <c r="B94" s="1" t="n">
        <v>44497</v>
      </c>
      <c r="C94" s="1" t="n">
        <v>45988</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19676-2025</t>
        </is>
      </c>
      <c r="B95" s="1" t="n">
        <v>45770</v>
      </c>
      <c r="C95" s="1" t="n">
        <v>45988</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14267-2025</t>
        </is>
      </c>
      <c r="B96" s="1" t="n">
        <v>45740.63686342593</v>
      </c>
      <c r="C96" s="1" t="n">
        <v>45988</v>
      </c>
      <c r="D96" t="inlineStr">
        <is>
          <t>UPPSALA LÄN</t>
        </is>
      </c>
      <c r="E96" t="inlineStr">
        <is>
          <t>KNIVSTA</t>
        </is>
      </c>
      <c r="G96" t="n">
        <v>3.9</v>
      </c>
      <c r="H96" t="n">
        <v>0</v>
      </c>
      <c r="I96" t="n">
        <v>0</v>
      </c>
      <c r="J96" t="n">
        <v>0</v>
      </c>
      <c r="K96" t="n">
        <v>0</v>
      </c>
      <c r="L96" t="n">
        <v>0</v>
      </c>
      <c r="M96" t="n">
        <v>0</v>
      </c>
      <c r="N96" t="n">
        <v>0</v>
      </c>
      <c r="O96" t="n">
        <v>0</v>
      </c>
      <c r="P96" t="n">
        <v>0</v>
      </c>
      <c r="Q96" t="n">
        <v>0</v>
      </c>
      <c r="R96" s="2" t="inlineStr"/>
    </row>
    <row r="97" ht="15" customHeight="1">
      <c r="A97" t="inlineStr">
        <is>
          <t>A 13697-2024</t>
        </is>
      </c>
      <c r="B97" s="1" t="n">
        <v>45390</v>
      </c>
      <c r="C97" s="1" t="n">
        <v>45988</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66305-2021</t>
        </is>
      </c>
      <c r="B98" s="1" t="n">
        <v>44518</v>
      </c>
      <c r="C98" s="1" t="n">
        <v>45988</v>
      </c>
      <c r="D98" t="inlineStr">
        <is>
          <t>UPPSALA LÄN</t>
        </is>
      </c>
      <c r="E98" t="inlineStr">
        <is>
          <t>KNIVSTA</t>
        </is>
      </c>
      <c r="G98" t="n">
        <v>8.300000000000001</v>
      </c>
      <c r="H98" t="n">
        <v>0</v>
      </c>
      <c r="I98" t="n">
        <v>0</v>
      </c>
      <c r="J98" t="n">
        <v>0</v>
      </c>
      <c r="K98" t="n">
        <v>0</v>
      </c>
      <c r="L98" t="n">
        <v>0</v>
      </c>
      <c r="M98" t="n">
        <v>0</v>
      </c>
      <c r="N98" t="n">
        <v>0</v>
      </c>
      <c r="O98" t="n">
        <v>0</v>
      </c>
      <c r="P98" t="n">
        <v>0</v>
      </c>
      <c r="Q98" t="n">
        <v>0</v>
      </c>
      <c r="R98" s="2" t="inlineStr"/>
    </row>
    <row r="99" ht="15" customHeight="1">
      <c r="A99" t="inlineStr">
        <is>
          <t>A 1629-2024</t>
        </is>
      </c>
      <c r="B99" s="1" t="n">
        <v>45306</v>
      </c>
      <c r="C99" s="1" t="n">
        <v>45988</v>
      </c>
      <c r="D99" t="inlineStr">
        <is>
          <t>UPPSALA LÄN</t>
        </is>
      </c>
      <c r="E99" t="inlineStr">
        <is>
          <t>KNIVSTA</t>
        </is>
      </c>
      <c r="F99" t="inlineStr">
        <is>
          <t>Holmen skog AB</t>
        </is>
      </c>
      <c r="G99" t="n">
        <v>3.6</v>
      </c>
      <c r="H99" t="n">
        <v>0</v>
      </c>
      <c r="I99" t="n">
        <v>0</v>
      </c>
      <c r="J99" t="n">
        <v>0</v>
      </c>
      <c r="K99" t="n">
        <v>0</v>
      </c>
      <c r="L99" t="n">
        <v>0</v>
      </c>
      <c r="M99" t="n">
        <v>0</v>
      </c>
      <c r="N99" t="n">
        <v>0</v>
      </c>
      <c r="O99" t="n">
        <v>0</v>
      </c>
      <c r="P99" t="n">
        <v>0</v>
      </c>
      <c r="Q99" t="n">
        <v>0</v>
      </c>
      <c r="R99" s="2" t="inlineStr"/>
    </row>
    <row r="100" ht="15" customHeight="1">
      <c r="A100" t="inlineStr">
        <is>
          <t>A 30764-2023</t>
        </is>
      </c>
      <c r="B100" s="1" t="n">
        <v>45112</v>
      </c>
      <c r="C100" s="1" t="n">
        <v>45988</v>
      </c>
      <c r="D100" t="inlineStr">
        <is>
          <t>UPPSALA LÄN</t>
        </is>
      </c>
      <c r="E100" t="inlineStr">
        <is>
          <t>KNIVSTA</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45988</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c r="A102" t="inlineStr">
        <is>
          <t>A 21130-2025</t>
        </is>
      </c>
      <c r="B102" s="1" t="n">
        <v>45778.35857638889</v>
      </c>
      <c r="C102" s="1" t="n">
        <v>45988</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2025-11-27T10:25:58Z</dcterms:created>
  <dcterms:modified xmlns:dcterms="http://purl.org/dc/terms/" xmlns:xsi="http://www.w3.org/2001/XMLSchema-instance" xsi:type="dcterms:W3CDTF">2025-11-27T10:25:58Z</dcterms:modified>
</cp:coreProperties>
</file>