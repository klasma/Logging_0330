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46254</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46254</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46254</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46254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46254</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46254</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46254</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46254</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46254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46254</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46254</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11405-2025</t>
        </is>
      </c>
      <c r="B23" t="inlineStr">
        <is>
          <t>avverkningsanmälan</t>
        </is>
      </c>
      <c r="C23" t="inlineStr">
        <is>
          <t>Föryngringsavverkning</t>
        </is>
      </c>
      <c r="D23" s="1" t="n">
        <v>45726</v>
      </c>
      <c r="E23" s="1" t="n">
        <v>46254</v>
      </c>
      <c r="F23" t="inlineStr">
        <is>
          <t>UPPSALA LÄN</t>
        </is>
      </c>
      <c r="G23" t="inlineStr">
        <is>
          <t>KNIVSTA</t>
        </is>
      </c>
      <c r="I23" t="n">
        <v>1.6</v>
      </c>
      <c r="J23" t="n">
        <v>0</v>
      </c>
      <c r="K23" t="n">
        <v>0</v>
      </c>
      <c r="L23" t="n">
        <v>0</v>
      </c>
      <c r="M23" t="n">
        <v>1</v>
      </c>
      <c r="N23" t="n">
        <v>0</v>
      </c>
      <c r="O23" t="n">
        <v>0</v>
      </c>
      <c r="P23" t="n">
        <v>0</v>
      </c>
      <c r="Q23" t="n">
        <v>1</v>
      </c>
      <c r="R23" t="n">
        <v>1</v>
      </c>
      <c r="S23" t="n">
        <v>1</v>
      </c>
      <c r="T23" t="n">
        <v>1</v>
      </c>
      <c r="U23" t="n">
        <v>0</v>
      </c>
      <c r="V23" s="2" t="inlineStr">
        <is>
          <t>Fältgentiana</t>
        </is>
      </c>
      <c r="W23">
        <f>HYPERLINK("https://klasma.github.io/Logging_0330/artfynd/A 11405-2025 artfynd.xlsx", "A 11405-2025")</f>
        <v/>
      </c>
      <c r="X23">
        <f>HYPERLINK("https://klasma.github.io/Logging_0330/kartor/A 11405-2025 karta.png", "A 11405-2025")</f>
        <v/>
      </c>
      <c r="Y23">
        <f>HYPERLINK("https://klasma.github.io/Logging_0330/kartor_geotiff/A 11405-2025 georefererad karta.tif", "A 11405-2025")</f>
        <v/>
      </c>
      <c r="AA23">
        <f>HYPERLINK("https://klasma.github.io/Logging_0330/klagomål/A 11405-2025 FSC-klagomål.docx", "A 11405-2025")</f>
        <v/>
      </c>
      <c r="AB23">
        <f>HYPERLINK("https://klasma.github.io/Logging_0330/klagomålsmail/A 11405-2025 FSC-klagomål mail.docx", "A 11405-2025")</f>
        <v/>
      </c>
      <c r="AC23">
        <f>HYPERLINK("https://klasma.github.io/Logging_0330/tillsyn/A 11405-2025 tillsynsbegäran.docx", "A 11405-2025")</f>
        <v/>
      </c>
      <c r="AD23">
        <f>HYPERLINK("https://klasma.github.io/Logging_0330/tillsynsmail/A 11405-2025 tillsynsbegäran mail.docx", "A 11405-2025")</f>
        <v/>
      </c>
    </row>
    <row r="24" ht="15" customHeight="1">
      <c r="A24" t="inlineStr">
        <is>
          <t>A 666-2026</t>
        </is>
      </c>
      <c r="B24" t="inlineStr">
        <is>
          <t>avverkningsanmälan</t>
        </is>
      </c>
      <c r="C24" t="inlineStr">
        <is>
          <t>Föryngringsavverkning</t>
        </is>
      </c>
      <c r="D24" s="1" t="n">
        <v>46029</v>
      </c>
      <c r="E24" s="1" t="n">
        <v>46254</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46254</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60885-2021</t>
        </is>
      </c>
      <c r="B26" t="inlineStr">
        <is>
          <t>avverkningsanmälan</t>
        </is>
      </c>
      <c r="C26" t="inlineStr">
        <is>
          <t>Föryngringsavverkning</t>
        </is>
      </c>
      <c r="D26" s="1" t="n">
        <v>44497</v>
      </c>
      <c r="E26" s="1" t="n">
        <v>46254</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9561-2026</t>
        </is>
      </c>
      <c r="B27" t="inlineStr">
        <is>
          <t>avverkningsanmälan</t>
        </is>
      </c>
      <c r="C27" t="inlineStr">
        <is>
          <t>Föryngringsavverkning</t>
        </is>
      </c>
      <c r="D27" s="1" t="n">
        <v>46071</v>
      </c>
      <c r="E27" s="1" t="n">
        <v>46254</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13002-2026</t>
        </is>
      </c>
      <c r="B28" t="inlineStr">
        <is>
          <t>avverkningsanmälan</t>
        </is>
      </c>
      <c r="C28" t="inlineStr">
        <is>
          <t>Föryngringsavverkning</t>
        </is>
      </c>
      <c r="D28" s="1" t="n">
        <v>46092</v>
      </c>
      <c r="E28" s="1" t="n">
        <v>46254</v>
      </c>
      <c r="F28" t="inlineStr">
        <is>
          <t>UPPSALA LÄN</t>
        </is>
      </c>
      <c r="G28" t="inlineStr">
        <is>
          <t>KNIVSTA</t>
        </is>
      </c>
      <c r="H28" t="inlineStr">
        <is>
          <t>Holmen skog AB</t>
        </is>
      </c>
      <c r="I28" t="n">
        <v>0.7</v>
      </c>
      <c r="J28" t="n">
        <v>1</v>
      </c>
      <c r="K28" t="n">
        <v>0</v>
      </c>
      <c r="L28" t="n">
        <v>0</v>
      </c>
      <c r="M28" t="n">
        <v>1</v>
      </c>
      <c r="N28" t="n">
        <v>0</v>
      </c>
      <c r="O28" t="n">
        <v>0</v>
      </c>
      <c r="P28" t="n">
        <v>0</v>
      </c>
      <c r="Q28" t="n">
        <v>1</v>
      </c>
      <c r="R28" t="n">
        <v>1</v>
      </c>
      <c r="S28" t="n">
        <v>1</v>
      </c>
      <c r="T28" t="n">
        <v>1</v>
      </c>
      <c r="U28" t="n">
        <v>1</v>
      </c>
      <c r="V28" s="2" t="inlineStr">
        <is>
          <t>Knärot</t>
        </is>
      </c>
      <c r="W28">
        <f>HYPERLINK("https://klasma.github.io/Logging_0330/artfynd/A 13002-2026 artfynd.xlsx", "A 13002-2026")</f>
        <v/>
      </c>
      <c r="X28">
        <f>HYPERLINK("https://klasma.github.io/Logging_0330/kartor/A 13002-2026 karta.png", "A 13002-2026")</f>
        <v/>
      </c>
      <c r="Y28">
        <f>HYPERLINK("https://klasma.github.io/Logging_0330/kartor_geotiff/A 13002-2026 georefererad karta.tif", "A 13002-2026")</f>
        <v/>
      </c>
      <c r="Z28">
        <f>HYPERLINK("https://klasma.github.io/Logging_0330/knärot/A 13002-2026 karta knärot.png", "A 13002-2026")</f>
        <v/>
      </c>
      <c r="AA28">
        <f>HYPERLINK("https://klasma.github.io/Logging_0330/klagomål/A 13002-2026 FSC-klagomål.docx", "A 13002-2026")</f>
        <v/>
      </c>
      <c r="AB28">
        <f>HYPERLINK("https://klasma.github.io/Logging_0330/klagomålsmail/A 13002-2026 FSC-klagomål mail.docx", "A 13002-2026")</f>
        <v/>
      </c>
      <c r="AC28">
        <f>HYPERLINK("https://klasma.github.io/Logging_0330/tillsyn/A 13002-2026 tillsynsbegäran.docx", "A 13002-2026")</f>
        <v/>
      </c>
      <c r="AD28">
        <f>HYPERLINK("https://klasma.github.io/Logging_0330/tillsynsmail/A 13002-2026 tillsynsbegäran mail.docx", "A 13002-2026")</f>
        <v/>
      </c>
    </row>
    <row r="29" ht="15" customHeight="1">
      <c r="A29" t="inlineStr">
        <is>
          <t>A 12991-2026</t>
        </is>
      </c>
      <c r="B29" t="inlineStr">
        <is>
          <t>avverkningsanmälan</t>
        </is>
      </c>
      <c r="C29" t="inlineStr">
        <is>
          <t>Föryngringsavverkning</t>
        </is>
      </c>
      <c r="D29" s="1" t="n">
        <v>46092</v>
      </c>
      <c r="E29" s="1" t="n">
        <v>46254</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13380-2026</t>
        </is>
      </c>
      <c r="B30" t="inlineStr">
        <is>
          <t>avverkningsanmälan</t>
        </is>
      </c>
      <c r="C30" t="inlineStr">
        <is>
          <t>Föryngringsavverkning</t>
        </is>
      </c>
      <c r="D30" s="1" t="n">
        <v>46094</v>
      </c>
      <c r="E30" s="1" t="n">
        <v>46254</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46254</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46254</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46254</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46254</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46254</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46254</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46254</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46254</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46254</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46254</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46254</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46254</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46254</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46254</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46254</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46254</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46254</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46254</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46254</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60018-2024</t>
        </is>
      </c>
      <c r="B56" t="inlineStr">
        <is>
          <t>avverkningsanmälan</t>
        </is>
      </c>
      <c r="C56" t="inlineStr">
        <is>
          <t>Föryngringsavverkning</t>
        </is>
      </c>
      <c r="D56" s="1" t="n">
        <v>45642</v>
      </c>
      <c r="E56" s="1" t="n">
        <v>46254</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1791-2024</t>
        </is>
      </c>
      <c r="B57" t="inlineStr">
        <is>
          <t>avverkningsanmälan</t>
        </is>
      </c>
      <c r="C57" t="inlineStr">
        <is>
          <t>Föryngringsavverkning</t>
        </is>
      </c>
      <c r="D57" s="1" t="n">
        <v>45307</v>
      </c>
      <c r="E57" s="1" t="n">
        <v>46254</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33974-2025</t>
        </is>
      </c>
      <c r="B58" t="inlineStr">
        <is>
          <t>avverkningsanmälan</t>
        </is>
      </c>
      <c r="C58" t="inlineStr">
        <is>
          <t>Föryngringsavverkning</t>
        </is>
      </c>
      <c r="D58" s="1" t="n">
        <v>45843</v>
      </c>
      <c r="E58" s="1" t="n">
        <v>46254</v>
      </c>
      <c r="F58" t="inlineStr">
        <is>
          <t>UPPSALA LÄN</t>
        </is>
      </c>
      <c r="G58" t="inlineStr">
        <is>
          <t>KNIVSTA</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46254</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46254</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19777-2026</t>
        </is>
      </c>
      <c r="B61" t="inlineStr">
        <is>
          <t>avverkningsanmälan</t>
        </is>
      </c>
      <c r="C61" t="inlineStr">
        <is>
          <t>Föryngringsavverkning</t>
        </is>
      </c>
      <c r="D61" s="1" t="n">
        <v>46135</v>
      </c>
      <c r="E61" s="1" t="n">
        <v>46254</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66284-2021</t>
        </is>
      </c>
      <c r="B62" t="inlineStr">
        <is>
          <t>avverkningsanmälan</t>
        </is>
      </c>
      <c r="C62" t="inlineStr">
        <is>
          <t>Föryngringsavverkning</t>
        </is>
      </c>
      <c r="D62" s="1" t="n">
        <v>44518</v>
      </c>
      <c r="E62" s="1" t="n">
        <v>46254</v>
      </c>
      <c r="F62" t="inlineStr">
        <is>
          <t>UPPSALA LÄN</t>
        </is>
      </c>
      <c r="G62" t="inlineStr">
        <is>
          <t>KNIVSTA</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23969-2026</t>
        </is>
      </c>
      <c r="B63" t="inlineStr">
        <is>
          <t>avverkningsanmälan</t>
        </is>
      </c>
      <c r="C63" t="inlineStr">
        <is>
          <t>Föryngringsavverkning</t>
        </is>
      </c>
      <c r="D63" s="1" t="n">
        <v>46167</v>
      </c>
      <c r="E63" s="1" t="n">
        <v>46254</v>
      </c>
      <c r="F63" t="inlineStr">
        <is>
          <t>UPPSALA LÄN</t>
        </is>
      </c>
      <c r="G63" t="inlineStr">
        <is>
          <t>KNIVSTA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45453-2025</t>
        </is>
      </c>
      <c r="B64" t="inlineStr">
        <is>
          <t>avverkningsanmälan</t>
        </is>
      </c>
      <c r="C64" t="inlineStr">
        <is>
          <t>Föryngringsavverkning</t>
        </is>
      </c>
      <c r="D64" s="1" t="n">
        <v>45922</v>
      </c>
      <c r="E64" s="1" t="n">
        <v>46254</v>
      </c>
      <c r="F64" t="inlineStr">
        <is>
          <t>UPPSALA LÄN</t>
        </is>
      </c>
      <c r="G64" t="inlineStr">
        <is>
          <t>KNIVSTA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46254</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47803-2025</t>
        </is>
      </c>
      <c r="B66" t="inlineStr">
        <is>
          <t>avverkningsanmälan</t>
        </is>
      </c>
      <c r="C66" t="inlineStr">
        <is>
          <t>Avverkning för annat ändamål</t>
        </is>
      </c>
      <c r="D66" s="1" t="n">
        <v>45931</v>
      </c>
      <c r="E66" s="1" t="n">
        <v>46254</v>
      </c>
      <c r="F66" t="inlineStr">
        <is>
          <t>UPPSALA LÄN</t>
        </is>
      </c>
      <c r="G66" t="inlineStr">
        <is>
          <t>KNIVSTA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46254</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28668-2026</t>
        </is>
      </c>
      <c r="B68" t="inlineStr">
        <is>
          <t>avverkningsanmälan</t>
        </is>
      </c>
      <c r="C68" t="inlineStr">
        <is>
          <t>Avverkning för annat ändamål</t>
        </is>
      </c>
      <c r="D68" s="1" t="n">
        <v>46193</v>
      </c>
      <c r="E68" s="1" t="n">
        <v>46254</v>
      </c>
      <c r="F68" t="inlineStr">
        <is>
          <t>UPPSALA LÄN</t>
        </is>
      </c>
      <c r="G68" t="inlineStr">
        <is>
          <t>KNIVSTA</t>
        </is>
      </c>
      <c r="I68" t="n">
        <v>7.4</v>
      </c>
      <c r="J68" t="n">
        <v>0</v>
      </c>
      <c r="K68" t="n">
        <v>0</v>
      </c>
      <c r="L68" t="n">
        <v>0</v>
      </c>
      <c r="M68" t="n">
        <v>0</v>
      </c>
      <c r="N68" t="n">
        <v>0</v>
      </c>
      <c r="O68" t="n">
        <v>0</v>
      </c>
      <c r="P68" t="n">
        <v>0</v>
      </c>
      <c r="Q68" t="n">
        <v>0</v>
      </c>
      <c r="R68" t="n">
        <v>0</v>
      </c>
      <c r="S68" t="n">
        <v>0</v>
      </c>
      <c r="T68" t="n">
        <v>0</v>
      </c>
      <c r="U68" t="n">
        <v>0</v>
      </c>
      <c r="V68" s="2" t="inlineStr"/>
    </row>
    <row r="69" ht="15" customHeight="1">
      <c r="A69" t="inlineStr">
        <is>
          <t>A 30351-2022</t>
        </is>
      </c>
      <c r="B69" t="inlineStr">
        <is>
          <t>avverkningsanmälan</t>
        </is>
      </c>
      <c r="C69" t="inlineStr">
        <is>
          <t>Föryngringsavverkning</t>
        </is>
      </c>
      <c r="D69" s="1" t="n">
        <v>44757</v>
      </c>
      <c r="E69" s="1" t="n">
        <v>46254</v>
      </c>
      <c r="F69" t="inlineStr">
        <is>
          <t>UPPSALA LÄN</t>
        </is>
      </c>
      <c r="G69" t="inlineStr">
        <is>
          <t>KNIVSTA</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31875-2022</t>
        </is>
      </c>
      <c r="B70" t="inlineStr">
        <is>
          <t>avverkningsanmälan</t>
        </is>
      </c>
      <c r="C70" t="inlineStr">
        <is>
          <t>Föryngringsavverkning</t>
        </is>
      </c>
      <c r="D70" s="1" t="n">
        <v>44777</v>
      </c>
      <c r="E70" s="1" t="n">
        <v>46254</v>
      </c>
      <c r="F70" t="inlineStr">
        <is>
          <t>UPPSALA LÄN</t>
        </is>
      </c>
      <c r="G70" t="inlineStr">
        <is>
          <t>KNIVSTA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51849-2023</t>
        </is>
      </c>
      <c r="B71" t="inlineStr">
        <is>
          <t>avverkningsanmälan</t>
        </is>
      </c>
      <c r="C71" t="inlineStr">
        <is>
          <t>Föryngringsavverkning</t>
        </is>
      </c>
      <c r="D71" s="1" t="n">
        <v>45223</v>
      </c>
      <c r="E71" s="1" t="n">
        <v>46254</v>
      </c>
      <c r="F71" t="inlineStr">
        <is>
          <t>UPPSALA LÄN</t>
        </is>
      </c>
      <c r="G71" t="inlineStr">
        <is>
          <t>KNIVSTA</t>
        </is>
      </c>
      <c r="I71" t="n">
        <v>16.3</v>
      </c>
      <c r="J71" t="n">
        <v>0</v>
      </c>
      <c r="K71" t="n">
        <v>0</v>
      </c>
      <c r="L71" t="n">
        <v>0</v>
      </c>
      <c r="M71" t="n">
        <v>0</v>
      </c>
      <c r="N71" t="n">
        <v>0</v>
      </c>
      <c r="O71" t="n">
        <v>0</v>
      </c>
      <c r="P71" t="n">
        <v>0</v>
      </c>
      <c r="Q71" t="n">
        <v>0</v>
      </c>
      <c r="R71" t="n">
        <v>0</v>
      </c>
      <c r="S71" t="n">
        <v>0</v>
      </c>
      <c r="T71" t="n">
        <v>0</v>
      </c>
      <c r="U71" t="n">
        <v>0</v>
      </c>
      <c r="V71" s="2" t="inlineStr"/>
    </row>
    <row r="72" ht="15" customHeight="1">
      <c r="A72" t="inlineStr">
        <is>
          <t>A 66293-2021</t>
        </is>
      </c>
      <c r="B72" t="inlineStr">
        <is>
          <t>avverkningsanmälan</t>
        </is>
      </c>
      <c r="C72" t="inlineStr">
        <is>
          <t>Föryngringsavverkning</t>
        </is>
      </c>
      <c r="D72" s="1" t="n">
        <v>44518</v>
      </c>
      <c r="E72" s="1" t="n">
        <v>46254</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45916-2022</t>
        </is>
      </c>
      <c r="B73" t="inlineStr">
        <is>
          <t>avverkningsanmälan</t>
        </is>
      </c>
      <c r="C73" t="inlineStr">
        <is>
          <t>Föryngringsavverkning</t>
        </is>
      </c>
      <c r="D73" s="1" t="n">
        <v>44846</v>
      </c>
      <c r="E73" s="1" t="n">
        <v>46254</v>
      </c>
      <c r="F73" t="inlineStr">
        <is>
          <t>UPPSALA LÄN</t>
        </is>
      </c>
      <c r="G73" t="inlineStr">
        <is>
          <t>KNIVSTA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2629-2025</t>
        </is>
      </c>
      <c r="B74" t="inlineStr">
        <is>
          <t>avverkningsanmälan</t>
        </is>
      </c>
      <c r="C74" t="inlineStr">
        <is>
          <t>Föryngringsavverkning</t>
        </is>
      </c>
      <c r="D74" s="1" t="n">
        <v>45675</v>
      </c>
      <c r="E74" s="1" t="n">
        <v>46254</v>
      </c>
      <c r="F74" t="inlineStr">
        <is>
          <t>UPPSALA LÄN</t>
        </is>
      </c>
      <c r="G74" t="inlineStr">
        <is>
          <t>KNIVSTA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5320-2023</t>
        </is>
      </c>
      <c r="B75" t="inlineStr">
        <is>
          <t>avverkningsanmälan</t>
        </is>
      </c>
      <c r="C75" t="inlineStr">
        <is>
          <t>Föryngringsavverkning</t>
        </is>
      </c>
      <c r="D75" s="1" t="n">
        <v>44959</v>
      </c>
      <c r="E75" s="1" t="n">
        <v>46254</v>
      </c>
      <c r="F75" t="inlineStr">
        <is>
          <t>UPPSALA LÄN</t>
        </is>
      </c>
      <c r="G75" t="inlineStr">
        <is>
          <t>KNIVSTA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60243-2025</t>
        </is>
      </c>
      <c r="B76" t="inlineStr">
        <is>
          <t>avverkningsanmälan</t>
        </is>
      </c>
      <c r="C76" t="inlineStr">
        <is>
          <t>Föryngringsavverkning</t>
        </is>
      </c>
      <c r="D76" s="1" t="n">
        <v>45994</v>
      </c>
      <c r="E76" s="1" t="n">
        <v>46254</v>
      </c>
      <c r="F76" t="inlineStr">
        <is>
          <t>UPPSALA LÄN</t>
        </is>
      </c>
      <c r="G76" t="inlineStr">
        <is>
          <t>KNIVSTA</t>
        </is>
      </c>
      <c r="H76" t="inlineStr">
        <is>
          <t>Holmen skog AB</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11452-2023</t>
        </is>
      </c>
      <c r="B77" t="inlineStr">
        <is>
          <t>avverkningsanmälan</t>
        </is>
      </c>
      <c r="C77" t="inlineStr">
        <is>
          <t>Föryngringsavverkning</t>
        </is>
      </c>
      <c r="D77" s="1" t="n">
        <v>44993</v>
      </c>
      <c r="E77" s="1" t="n">
        <v>46254</v>
      </c>
      <c r="F77" t="inlineStr">
        <is>
          <t>UPPSALA LÄN</t>
        </is>
      </c>
      <c r="G77" t="inlineStr">
        <is>
          <t>KNIVSTA</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30627-2023</t>
        </is>
      </c>
      <c r="B78" t="inlineStr">
        <is>
          <t>avverkningsanmälan</t>
        </is>
      </c>
      <c r="C78" t="inlineStr">
        <is>
          <t>Föryngringsavverkning</t>
        </is>
      </c>
      <c r="D78" s="1" t="n">
        <v>45112</v>
      </c>
      <c r="E78" s="1" t="n">
        <v>46254</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662-2026</t>
        </is>
      </c>
      <c r="B79" t="inlineStr">
        <is>
          <t>avverkningsanmälan</t>
        </is>
      </c>
      <c r="C79" t="inlineStr">
        <is>
          <t>Föryngringsavverkning</t>
        </is>
      </c>
      <c r="D79" s="1" t="n">
        <v>46029</v>
      </c>
      <c r="E79" s="1" t="n">
        <v>46254</v>
      </c>
      <c r="F79" t="inlineStr">
        <is>
          <t>UPPSALA LÄN</t>
        </is>
      </c>
      <c r="G79" t="inlineStr">
        <is>
          <t>KNIVSTA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43908-2023</t>
        </is>
      </c>
      <c r="B80" t="inlineStr">
        <is>
          <t>avverkningsanmälan</t>
        </is>
      </c>
      <c r="C80" t="inlineStr">
        <is>
          <t>Föryngringsavverkning</t>
        </is>
      </c>
      <c r="D80" s="1" t="n">
        <v>45187</v>
      </c>
      <c r="E80" s="1" t="n">
        <v>46254</v>
      </c>
      <c r="F80" t="inlineStr">
        <is>
          <t>UPPSALA LÄN</t>
        </is>
      </c>
      <c r="G80" t="inlineStr">
        <is>
          <t>KNIVSTA</t>
        </is>
      </c>
      <c r="H80" t="inlineStr">
        <is>
          <t>Kyrkan</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3824-2026</t>
        </is>
      </c>
      <c r="B81" t="inlineStr">
        <is>
          <t>avverkningsanmälan</t>
        </is>
      </c>
      <c r="C81" t="inlineStr">
        <is>
          <t>Föryngringsavverkning</t>
        </is>
      </c>
      <c r="D81" s="1" t="n">
        <v>46043</v>
      </c>
      <c r="E81" s="1" t="n">
        <v>46254</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3375-2026</t>
        </is>
      </c>
      <c r="B82" t="inlineStr">
        <is>
          <t>avverkningsanmälan</t>
        </is>
      </c>
      <c r="C82" t="inlineStr">
        <is>
          <t>Föryngringsavverkning</t>
        </is>
      </c>
      <c r="D82" s="1" t="n">
        <v>46042</v>
      </c>
      <c r="E82" s="1" t="n">
        <v>46254</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8343-2024</t>
        </is>
      </c>
      <c r="B83" t="inlineStr">
        <is>
          <t>avverkningsanmälan</t>
        </is>
      </c>
      <c r="C83" t="inlineStr">
        <is>
          <t>Föryngringsavverkning</t>
        </is>
      </c>
      <c r="D83" s="1" t="n">
        <v>45352</v>
      </c>
      <c r="E83" s="1" t="n">
        <v>46254</v>
      </c>
      <c r="F83" t="inlineStr">
        <is>
          <t>UPPSALA LÄN</t>
        </is>
      </c>
      <c r="G83" t="inlineStr">
        <is>
          <t>KNIVSTA</t>
        </is>
      </c>
      <c r="H83" t="inlineStr">
        <is>
          <t>Holmen skog AB</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5908-2026</t>
        </is>
      </c>
      <c r="B84" t="inlineStr">
        <is>
          <t>avverkningsanmälan</t>
        </is>
      </c>
      <c r="C84" t="inlineStr">
        <is>
          <t>Föryngringsavverkning</t>
        </is>
      </c>
      <c r="D84" s="1" t="n">
        <v>46052</v>
      </c>
      <c r="E84" s="1" t="n">
        <v>46254</v>
      </c>
      <c r="F84" t="inlineStr">
        <is>
          <t>UPPSALA LÄN</t>
        </is>
      </c>
      <c r="G84" t="inlineStr">
        <is>
          <t>KNIVSTA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5910-2026</t>
        </is>
      </c>
      <c r="B85" t="inlineStr">
        <is>
          <t>avverkningsanmälan</t>
        </is>
      </c>
      <c r="C85" t="inlineStr">
        <is>
          <t>Föryngringsavverkning</t>
        </is>
      </c>
      <c r="D85" s="1" t="n">
        <v>46052</v>
      </c>
      <c r="E85" s="1" t="n">
        <v>46254</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9744-2026</t>
        </is>
      </c>
      <c r="B86" t="inlineStr">
        <is>
          <t>avverkningsanmälan</t>
        </is>
      </c>
      <c r="C86" t="inlineStr">
        <is>
          <t>Föryngringsavverkning</t>
        </is>
      </c>
      <c r="D86" s="1" t="n">
        <v>46072</v>
      </c>
      <c r="E86" s="1" t="n">
        <v>46254</v>
      </c>
      <c r="F86" t="inlineStr">
        <is>
          <t>UPPSALA LÄN</t>
        </is>
      </c>
      <c r="G86" t="inlineStr">
        <is>
          <t>KNIVSTA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19676-2025</t>
        </is>
      </c>
      <c r="B87" t="inlineStr">
        <is>
          <t>avverkningsanmälan</t>
        </is>
      </c>
      <c r="C87" t="inlineStr">
        <is>
          <t>Föryngringsavverkning</t>
        </is>
      </c>
      <c r="D87" s="1" t="n">
        <v>45770</v>
      </c>
      <c r="E87" s="1" t="n">
        <v>46254</v>
      </c>
      <c r="F87" t="inlineStr">
        <is>
          <t>UPPSALA LÄN</t>
        </is>
      </c>
      <c r="G87" t="inlineStr">
        <is>
          <t>KNIVSTA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12027-2026</t>
        </is>
      </c>
      <c r="B88" t="inlineStr">
        <is>
          <t>avverkningsanmälan</t>
        </is>
      </c>
      <c r="C88" t="inlineStr">
        <is>
          <t>Avverkning för annat ändamål</t>
        </is>
      </c>
      <c r="D88" s="1" t="n">
        <v>46085</v>
      </c>
      <c r="E88" s="1" t="n">
        <v>46254</v>
      </c>
      <c r="F88" t="inlineStr">
        <is>
          <t>UPPSALA LÄN</t>
        </is>
      </c>
      <c r="G88" t="inlineStr">
        <is>
          <t>KNIVSTA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12774-2026</t>
        </is>
      </c>
      <c r="B89" t="inlineStr">
        <is>
          <t>avverkningsanmälan</t>
        </is>
      </c>
      <c r="C89" t="inlineStr">
        <is>
          <t>Föryngringsavverkning</t>
        </is>
      </c>
      <c r="D89" s="1" t="n">
        <v>46091</v>
      </c>
      <c r="E89" s="1" t="n">
        <v>46254</v>
      </c>
      <c r="F89" t="inlineStr">
        <is>
          <t>UPPSALA LÄN</t>
        </is>
      </c>
      <c r="G89" t="inlineStr">
        <is>
          <t>KNIVSTA</t>
        </is>
      </c>
      <c r="H89" t="inlineStr">
        <is>
          <t>Holmen skog AB</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13011-2026</t>
        </is>
      </c>
      <c r="B90" t="inlineStr">
        <is>
          <t>avverkningsanmälan</t>
        </is>
      </c>
      <c r="C90" t="inlineStr">
        <is>
          <t>Föryngringsavverkning</t>
        </is>
      </c>
      <c r="D90" s="1" t="n">
        <v>46092</v>
      </c>
      <c r="E90" s="1" t="n">
        <v>46254</v>
      </c>
      <c r="F90" t="inlineStr">
        <is>
          <t>UPPSALA LÄN</t>
        </is>
      </c>
      <c r="G90" t="inlineStr">
        <is>
          <t>KNIVSTA</t>
        </is>
      </c>
      <c r="H90" t="inlineStr">
        <is>
          <t>Holmen skog AB</t>
        </is>
      </c>
      <c r="I90" t="n">
        <v>1.9</v>
      </c>
      <c r="J90" t="n">
        <v>0</v>
      </c>
      <c r="K90" t="n">
        <v>0</v>
      </c>
      <c r="L90" t="n">
        <v>0</v>
      </c>
      <c r="M90" t="n">
        <v>0</v>
      </c>
      <c r="N90" t="n">
        <v>0</v>
      </c>
      <c r="O90" t="n">
        <v>0</v>
      </c>
      <c r="P90" t="n">
        <v>0</v>
      </c>
      <c r="Q90" t="n">
        <v>0</v>
      </c>
      <c r="R90" t="n">
        <v>0</v>
      </c>
      <c r="S90" t="n">
        <v>0</v>
      </c>
      <c r="T90" t="n">
        <v>0</v>
      </c>
      <c r="U90" t="n">
        <v>0</v>
      </c>
      <c r="V90" s="2" t="inlineStr"/>
      <c r="Z90">
        <f>HYPERLINK("https://klasma.github.io/Logging_0330/knärot/A 13011-2026 karta knärot.png", "A 13011-2026")</f>
        <v/>
      </c>
      <c r="AA90">
        <f>HYPERLINK("https://klasma.github.io/Logging_0330/klagomål/A 13011-2026 FSC-klagomål.docx", "A 13011-2026")</f>
        <v/>
      </c>
      <c r="AB90">
        <f>HYPERLINK("https://klasma.github.io/Logging_0330/klagomålsmail/A 13011-2026 FSC-klagomål mail.docx", "A 13011-2026")</f>
        <v/>
      </c>
      <c r="AC90">
        <f>HYPERLINK("https://klasma.github.io/Logging_0330/tillsyn/A 13011-2026 tillsynsbegäran.docx", "A 13011-2026")</f>
        <v/>
      </c>
      <c r="AD90">
        <f>HYPERLINK("https://klasma.github.io/Logging_0330/tillsynsmail/A 13011-2026 tillsynsbegäran mail.docx", "A 13011-2026")</f>
        <v/>
      </c>
    </row>
    <row r="91" ht="15" customHeight="1">
      <c r="A91" t="inlineStr">
        <is>
          <t>A 13013-2026</t>
        </is>
      </c>
      <c r="B91" t="inlineStr">
        <is>
          <t>avverkningsanmälan</t>
        </is>
      </c>
      <c r="C91" t="inlineStr">
        <is>
          <t>Föryngringsavverkning</t>
        </is>
      </c>
      <c r="D91" s="1" t="n">
        <v>46092</v>
      </c>
      <c r="E91" s="1" t="n">
        <v>46254</v>
      </c>
      <c r="F91" t="inlineStr">
        <is>
          <t>UPPSALA LÄN</t>
        </is>
      </c>
      <c r="G91" t="inlineStr">
        <is>
          <t>KNIVSTA</t>
        </is>
      </c>
      <c r="H91" t="inlineStr">
        <is>
          <t>Holmen skog AB</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13001-2026</t>
        </is>
      </c>
      <c r="B92" t="inlineStr">
        <is>
          <t>avverkningsanmälan</t>
        </is>
      </c>
      <c r="C92" t="inlineStr">
        <is>
          <t>Föryngringsavverkning</t>
        </is>
      </c>
      <c r="D92" s="1" t="n">
        <v>46092</v>
      </c>
      <c r="E92" s="1" t="n">
        <v>46254</v>
      </c>
      <c r="F92" t="inlineStr">
        <is>
          <t>UPPSALA LÄN</t>
        </is>
      </c>
      <c r="G92" t="inlineStr">
        <is>
          <t>KNIVSTA</t>
        </is>
      </c>
      <c r="H92" t="inlineStr">
        <is>
          <t>Holmen skog AB</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13005-2026</t>
        </is>
      </c>
      <c r="B93" t="inlineStr">
        <is>
          <t>avverkningsanmälan</t>
        </is>
      </c>
      <c r="C93" t="inlineStr">
        <is>
          <t>Föryngringsavverkning</t>
        </is>
      </c>
      <c r="D93" s="1" t="n">
        <v>46092</v>
      </c>
      <c r="E93" s="1" t="n">
        <v>46254</v>
      </c>
      <c r="F93" t="inlineStr">
        <is>
          <t>UPPSALA LÄN</t>
        </is>
      </c>
      <c r="G93" t="inlineStr">
        <is>
          <t>KNIVSTA</t>
        </is>
      </c>
      <c r="H93" t="inlineStr">
        <is>
          <t>Holmen skog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13016-2026</t>
        </is>
      </c>
      <c r="B94" t="inlineStr">
        <is>
          <t>avverkningsanmälan</t>
        </is>
      </c>
      <c r="C94" t="inlineStr">
        <is>
          <t>Föryngringsavverkning</t>
        </is>
      </c>
      <c r="D94" s="1" t="n">
        <v>46092</v>
      </c>
      <c r="E94" s="1" t="n">
        <v>46254</v>
      </c>
      <c r="F94" t="inlineStr">
        <is>
          <t>UPPSALA LÄN</t>
        </is>
      </c>
      <c r="G94" t="inlineStr">
        <is>
          <t>KNIVSTA</t>
        </is>
      </c>
      <c r="H94" t="inlineStr">
        <is>
          <t>Holmen skog AB</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13697-2024</t>
        </is>
      </c>
      <c r="B95" t="inlineStr">
        <is>
          <t>avverkningsanmälan</t>
        </is>
      </c>
      <c r="C95" t="inlineStr">
        <is>
          <t>Föryngringsavverkning</t>
        </is>
      </c>
      <c r="D95" s="1" t="n">
        <v>45390</v>
      </c>
      <c r="E95" s="1" t="n">
        <v>46254</v>
      </c>
      <c r="F95" t="inlineStr">
        <is>
          <t>UPPSALA LÄN</t>
        </is>
      </c>
      <c r="G95" t="inlineStr">
        <is>
          <t>KNIVSTA</t>
        </is>
      </c>
      <c r="H95" t="inlineStr">
        <is>
          <t>Holmen skog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1629-2024</t>
        </is>
      </c>
      <c r="B96" t="inlineStr">
        <is>
          <t>avverkningsanmälan</t>
        </is>
      </c>
      <c r="C96" t="inlineStr">
        <is>
          <t>Föryngringsavverkning</t>
        </is>
      </c>
      <c r="D96" s="1" t="n">
        <v>45306</v>
      </c>
      <c r="E96" s="1" t="n">
        <v>46254</v>
      </c>
      <c r="F96" t="inlineStr">
        <is>
          <t>UPPSALA LÄN</t>
        </is>
      </c>
      <c r="G96" t="inlineStr">
        <is>
          <t>KNIVSTA</t>
        </is>
      </c>
      <c r="H96" t="inlineStr">
        <is>
          <t>Holmen skog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30764-2023</t>
        </is>
      </c>
      <c r="B97" t="inlineStr">
        <is>
          <t>avverkningsanmälan</t>
        </is>
      </c>
      <c r="C97" t="inlineStr">
        <is>
          <t>Föryngringsavverkning</t>
        </is>
      </c>
      <c r="D97" s="1" t="n">
        <v>45112</v>
      </c>
      <c r="E97" s="1" t="n">
        <v>46254</v>
      </c>
      <c r="F97" t="inlineStr">
        <is>
          <t>UPPSALA LÄN</t>
        </is>
      </c>
      <c r="G97" t="inlineStr">
        <is>
          <t>KNIVSTA</t>
        </is>
      </c>
      <c r="H97" t="inlineStr">
        <is>
          <t>Holmen skog AB</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19774-2026</t>
        </is>
      </c>
      <c r="B98" t="inlineStr">
        <is>
          <t>avverkningsanmälan</t>
        </is>
      </c>
      <c r="C98" t="inlineStr">
        <is>
          <t>Föryngringsavverkning</t>
        </is>
      </c>
      <c r="D98" s="1" t="n">
        <v>46135</v>
      </c>
      <c r="E98" s="1" t="n">
        <v>46254</v>
      </c>
      <c r="F98" t="inlineStr">
        <is>
          <t>UPPSALA LÄN</t>
        </is>
      </c>
      <c r="G98" t="inlineStr">
        <is>
          <t>KNIVSTA</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52666-2025</t>
        </is>
      </c>
      <c r="B99" t="inlineStr">
        <is>
          <t>avverkningsanmälan</t>
        </is>
      </c>
      <c r="C99" t="inlineStr">
        <is>
          <t>Föryngringsavverkning</t>
        </is>
      </c>
      <c r="D99" s="1" t="n">
        <v>45955</v>
      </c>
      <c r="E99" s="1" t="n">
        <v>46254</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794-2024</t>
        </is>
      </c>
      <c r="B100" t="inlineStr">
        <is>
          <t>avverkningsanmälan</t>
        </is>
      </c>
      <c r="C100" t="inlineStr">
        <is>
          <t>Föryngringsavverkning</t>
        </is>
      </c>
      <c r="D100" s="1" t="n">
        <v>45300</v>
      </c>
      <c r="E100" s="1" t="n">
        <v>46254</v>
      </c>
      <c r="F100" t="inlineStr">
        <is>
          <t>UPPSALA LÄN</t>
        </is>
      </c>
      <c r="G100" t="inlineStr">
        <is>
          <t>KNIVSTA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20902-2024</t>
        </is>
      </c>
      <c r="B101" t="inlineStr">
        <is>
          <t>avverkningsanmälan</t>
        </is>
      </c>
      <c r="C101" t="inlineStr">
        <is>
          <t>Föryngringsavverkning</t>
        </is>
      </c>
      <c r="D101" s="1" t="n">
        <v>45439</v>
      </c>
      <c r="E101" s="1" t="n">
        <v>46254</v>
      </c>
      <c r="F101" t="inlineStr">
        <is>
          <t>UPPSALA LÄN</t>
        </is>
      </c>
      <c r="G101" t="inlineStr">
        <is>
          <t>KNIVSTA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34864-2025</t>
        </is>
      </c>
      <c r="B102" t="inlineStr">
        <is>
          <t>avverkningsanmälan</t>
        </is>
      </c>
      <c r="C102" t="inlineStr">
        <is>
          <t>Föryngringsavverkning</t>
        </is>
      </c>
      <c r="D102" s="1" t="n">
        <v>45849</v>
      </c>
      <c r="E102" s="1" t="n">
        <v>46254</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35318-2025</t>
        </is>
      </c>
      <c r="B103" t="inlineStr">
        <is>
          <t>avverkningsanmälan</t>
        </is>
      </c>
      <c r="C103" t="inlineStr">
        <is>
          <t>Föryngringsavverkning</t>
        </is>
      </c>
      <c r="D103" s="1" t="n">
        <v>45854</v>
      </c>
      <c r="E103" s="1" t="n">
        <v>46254</v>
      </c>
      <c r="F103" t="inlineStr">
        <is>
          <t>UPPSALA LÄN</t>
        </is>
      </c>
      <c r="G103" t="inlineStr">
        <is>
          <t>KNIVSTA</t>
        </is>
      </c>
      <c r="H103" t="inlineStr">
        <is>
          <t>Holmen skog AB</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36473-2025</t>
        </is>
      </c>
      <c r="B104" t="inlineStr">
        <is>
          <t>avverkningsanmälan</t>
        </is>
      </c>
      <c r="C104" t="inlineStr">
        <is>
          <t>Föryngringsavverkning</t>
        </is>
      </c>
      <c r="D104" s="1" t="n">
        <v>45869</v>
      </c>
      <c r="E104" s="1" t="n">
        <v>46254</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46254</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2026-08-20T01:47:55Z</dcterms:created>
  <dcterms:modified xmlns:dcterms="http://purl.org/dc/terms/" xmlns:xsi="http://www.w3.org/2001/XMLSchema-instance" xsi:type="dcterms:W3CDTF">2026-08-20T01:47:56Z</dcterms:modified>
</cp:coreProperties>
</file>