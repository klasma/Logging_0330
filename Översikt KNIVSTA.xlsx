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46103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46103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46103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46103</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46103</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46103</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46103</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61768-2025</t>
        </is>
      </c>
      <c r="B12" s="1" t="n">
        <v>46002.63940972222</v>
      </c>
      <c r="C12" s="1" t="n">
        <v>46103</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9561-2026</t>
        </is>
      </c>
      <c r="B13" s="1" t="n">
        <v>46071.64916666667</v>
      </c>
      <c r="C13" s="1" t="n">
        <v>46103</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53813-2025</t>
        </is>
      </c>
      <c r="B14" s="1" t="n">
        <v>45960</v>
      </c>
      <c r="C14" s="1" t="n">
        <v>46103</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13002-2026</t>
        </is>
      </c>
      <c r="B15" s="1" t="n">
        <v>46092.68854166667</v>
      </c>
      <c r="C15" s="1" t="n">
        <v>46103</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46103</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46103</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16973-2021</t>
        </is>
      </c>
      <c r="B18" s="1" t="n">
        <v>44295</v>
      </c>
      <c r="C18" s="1" t="n">
        <v>46103</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33770-2023</t>
        </is>
      </c>
      <c r="B19" s="1" t="n">
        <v>45133</v>
      </c>
      <c r="C19" s="1" t="n">
        <v>46103</v>
      </c>
      <c r="D19" t="inlineStr">
        <is>
          <t>UPPSALA LÄN</t>
        </is>
      </c>
      <c r="E19" t="inlineStr">
        <is>
          <t>KNIVSTA</t>
        </is>
      </c>
      <c r="F19" t="inlineStr">
        <is>
          <t>Holmen skog AB</t>
        </is>
      </c>
      <c r="G19" t="n">
        <v>4</v>
      </c>
      <c r="H19" t="n">
        <v>1</v>
      </c>
      <c r="I19" t="n">
        <v>0</v>
      </c>
      <c r="J19" t="n">
        <v>1</v>
      </c>
      <c r="K19" t="n">
        <v>0</v>
      </c>
      <c r="L19" t="n">
        <v>0</v>
      </c>
      <c r="M19" t="n">
        <v>0</v>
      </c>
      <c r="N19" t="n">
        <v>0</v>
      </c>
      <c r="O19" t="n">
        <v>1</v>
      </c>
      <c r="P19" t="n">
        <v>0</v>
      </c>
      <c r="Q19" t="n">
        <v>1</v>
      </c>
      <c r="R19" s="2" t="inlineStr">
        <is>
          <t>Slaguggla</t>
        </is>
      </c>
      <c r="S19">
        <f>HYPERLINK("https://klasma.github.io/Logging_0330/artfynd/A 33770-2023 artfynd.xlsx", "A 33770-2023")</f>
        <v/>
      </c>
      <c r="T19">
        <f>HYPERLINK("https://klasma.github.io/Logging_0330/kartor/A 33770-2023 karta.png", "A 33770-2023")</f>
        <v/>
      </c>
      <c r="V19">
        <f>HYPERLINK("https://klasma.github.io/Logging_0330/klagomål/A 33770-2023 FSC-klagomål.docx", "A 33770-2023")</f>
        <v/>
      </c>
      <c r="W19">
        <f>HYPERLINK("https://klasma.github.io/Logging_0330/klagomålsmail/A 33770-2023 FSC-klagomål mail.docx", "A 33770-2023")</f>
        <v/>
      </c>
      <c r="X19">
        <f>HYPERLINK("https://klasma.github.io/Logging_0330/tillsyn/A 33770-2023 tillsynsbegäran.docx", "A 33770-2023")</f>
        <v/>
      </c>
      <c r="Y19">
        <f>HYPERLINK("https://klasma.github.io/Logging_0330/tillsynsmail/A 33770-2023 tillsynsbegäran mail.docx", "A 33770-2023")</f>
        <v/>
      </c>
      <c r="Z19">
        <f>HYPERLINK("https://klasma.github.io/Logging_0330/fåglar/A 33770-2023 prioriterade fågelarter.docx", "A 33770-2023")</f>
        <v/>
      </c>
    </row>
    <row r="20" ht="15" customHeight="1">
      <c r="A20" t="inlineStr">
        <is>
          <t>A 9553-2025</t>
        </is>
      </c>
      <c r="B20" s="1" t="n">
        <v>45715</v>
      </c>
      <c r="C20" s="1" t="n">
        <v>46103</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11405-2025</t>
        </is>
      </c>
      <c r="B21" s="1" t="n">
        <v>45726</v>
      </c>
      <c r="C21" s="1" t="n">
        <v>46103</v>
      </c>
      <c r="D21" t="inlineStr">
        <is>
          <t>UPPSALA LÄN</t>
        </is>
      </c>
      <c r="E21" t="inlineStr">
        <is>
          <t>KNIVSTA</t>
        </is>
      </c>
      <c r="G21" t="n">
        <v>1.6</v>
      </c>
      <c r="H21" t="n">
        <v>0</v>
      </c>
      <c r="I21" t="n">
        <v>0</v>
      </c>
      <c r="J21" t="n">
        <v>0</v>
      </c>
      <c r="K21" t="n">
        <v>0</v>
      </c>
      <c r="L21" t="n">
        <v>1</v>
      </c>
      <c r="M21" t="n">
        <v>0</v>
      </c>
      <c r="N21" t="n">
        <v>0</v>
      </c>
      <c r="O21" t="n">
        <v>1</v>
      </c>
      <c r="P21" t="n">
        <v>1</v>
      </c>
      <c r="Q21" t="n">
        <v>1</v>
      </c>
      <c r="R21" s="2" t="inlineStr">
        <is>
          <t>Fältgentiana</t>
        </is>
      </c>
      <c r="S21">
        <f>HYPERLINK("https://klasma.github.io/Logging_0330/artfynd/A 11405-2025 artfynd.xlsx", "A 11405-2025")</f>
        <v/>
      </c>
      <c r="T21">
        <f>HYPERLINK("https://klasma.github.io/Logging_0330/kartor/A 11405-2025 karta.png", "A 11405-2025")</f>
        <v/>
      </c>
      <c r="V21">
        <f>HYPERLINK("https://klasma.github.io/Logging_0330/klagomål/A 11405-2025 FSC-klagomål.docx", "A 11405-2025")</f>
        <v/>
      </c>
      <c r="W21">
        <f>HYPERLINK("https://klasma.github.io/Logging_0330/klagomålsmail/A 11405-2025 FSC-klagomål mail.docx", "A 11405-2025")</f>
        <v/>
      </c>
      <c r="X21">
        <f>HYPERLINK("https://klasma.github.io/Logging_0330/tillsyn/A 11405-2025 tillsynsbegäran.docx", "A 11405-2025")</f>
        <v/>
      </c>
      <c r="Y21">
        <f>HYPERLINK("https://klasma.github.io/Logging_0330/tillsynsmail/A 11405-2025 tillsynsbegäran mail.docx", "A 11405-2025")</f>
        <v/>
      </c>
    </row>
    <row r="22" ht="15" customHeight="1">
      <c r="A22" t="inlineStr">
        <is>
          <t>A 16407-2025</t>
        </is>
      </c>
      <c r="B22" s="1" t="n">
        <v>45751.45120370371</v>
      </c>
      <c r="C22" s="1" t="n">
        <v>46103</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46103</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46103</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46103</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46103</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46103</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46103</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46103</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46103</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46103</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46103</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46103</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46103</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46103</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46103</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46103</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46103</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46103</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46103</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46103</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46103</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46103</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46103</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46103</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46103</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46103</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46103</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57631-2025</t>
        </is>
      </c>
      <c r="B50" s="1" t="n">
        <v>45981.34748842593</v>
      </c>
      <c r="C50" s="1" t="n">
        <v>46103</v>
      </c>
      <c r="D50" t="inlineStr">
        <is>
          <t>UPPSALA LÄN</t>
        </is>
      </c>
      <c r="E50" t="inlineStr">
        <is>
          <t>KNIVSTA</t>
        </is>
      </c>
      <c r="G50" t="n">
        <v>3.4</v>
      </c>
      <c r="H50" t="n">
        <v>0</v>
      </c>
      <c r="I50" t="n">
        <v>0</v>
      </c>
      <c r="J50" t="n">
        <v>0</v>
      </c>
      <c r="K50" t="n">
        <v>0</v>
      </c>
      <c r="L50" t="n">
        <v>0</v>
      </c>
      <c r="M50" t="n">
        <v>0</v>
      </c>
      <c r="N50" t="n">
        <v>0</v>
      </c>
      <c r="O50" t="n">
        <v>0</v>
      </c>
      <c r="P50" t="n">
        <v>0</v>
      </c>
      <c r="Q50" t="n">
        <v>0</v>
      </c>
      <c r="R50" s="2" t="inlineStr"/>
    </row>
    <row r="51" ht="15" customHeight="1">
      <c r="A51" t="inlineStr">
        <is>
          <t>A 53812-2025</t>
        </is>
      </c>
      <c r="B51" s="1" t="n">
        <v>45960</v>
      </c>
      <c r="C51" s="1" t="n">
        <v>46103</v>
      </c>
      <c r="D51" t="inlineStr">
        <is>
          <t>UPPSALA LÄN</t>
        </is>
      </c>
      <c r="E51" t="inlineStr">
        <is>
          <t>KNIVSTA</t>
        </is>
      </c>
      <c r="G51" t="n">
        <v>5.8</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46103</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60243-2025</t>
        </is>
      </c>
      <c r="B53" s="1" t="n">
        <v>45994.58650462963</v>
      </c>
      <c r="C53" s="1" t="n">
        <v>46103</v>
      </c>
      <c r="D53" t="inlineStr">
        <is>
          <t>UPPSALA LÄN</t>
        </is>
      </c>
      <c r="E53" t="inlineStr">
        <is>
          <t>KNIVSTA</t>
        </is>
      </c>
      <c r="F53" t="inlineStr">
        <is>
          <t>Holmen skog AB</t>
        </is>
      </c>
      <c r="G53" t="n">
        <v>2.4</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46103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46103</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46103</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5402-2023</t>
        </is>
      </c>
      <c r="B57" s="1" t="n">
        <v>44959</v>
      </c>
      <c r="C57" s="1" t="n">
        <v>46103</v>
      </c>
      <c r="D57" t="inlineStr">
        <is>
          <t>UPPSALA LÄN</t>
        </is>
      </c>
      <c r="E57" t="inlineStr">
        <is>
          <t>KNIVSTA</t>
        </is>
      </c>
      <c r="G57" t="n">
        <v>4.3</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46103</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46103</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46103</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46103</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46103</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666-2026</t>
        </is>
      </c>
      <c r="B63" s="1" t="n">
        <v>46029.58832175926</v>
      </c>
      <c r="C63" s="1" t="n">
        <v>46103</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662-2026</t>
        </is>
      </c>
      <c r="B64" s="1" t="n">
        <v>46029.58549768518</v>
      </c>
      <c r="C64" s="1" t="n">
        <v>46103</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46103</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20902-2024</t>
        </is>
      </c>
      <c r="B66" s="1" t="n">
        <v>45439.48104166667</v>
      </c>
      <c r="C66" s="1" t="n">
        <v>46103</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46103</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9744-2026</t>
        </is>
      </c>
      <c r="B68" s="1" t="n">
        <v>46072.51857638889</v>
      </c>
      <c r="C68" s="1" t="n">
        <v>46103</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46103</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2952-2026</t>
        </is>
      </c>
      <c r="B70" s="1" t="n">
        <v>46037</v>
      </c>
      <c r="C70" s="1" t="n">
        <v>46103</v>
      </c>
      <c r="D70" t="inlineStr">
        <is>
          <t>UPPSALA LÄN</t>
        </is>
      </c>
      <c r="E70" t="inlineStr">
        <is>
          <t>KNIVSTA</t>
        </is>
      </c>
      <c r="G70" t="n">
        <v>2</v>
      </c>
      <c r="H70" t="n">
        <v>0</v>
      </c>
      <c r="I70" t="n">
        <v>0</v>
      </c>
      <c r="J70" t="n">
        <v>0</v>
      </c>
      <c r="K70" t="n">
        <v>0</v>
      </c>
      <c r="L70" t="n">
        <v>0</v>
      </c>
      <c r="M70" t="n">
        <v>0</v>
      </c>
      <c r="N70" t="n">
        <v>0</v>
      </c>
      <c r="O70" t="n">
        <v>0</v>
      </c>
      <c r="P70" t="n">
        <v>0</v>
      </c>
      <c r="Q70" t="n">
        <v>0</v>
      </c>
      <c r="R70" s="2" t="inlineStr"/>
    </row>
    <row r="71" ht="15" customHeight="1">
      <c r="A71" t="inlineStr">
        <is>
          <t>A 5276-2026</t>
        </is>
      </c>
      <c r="B71" s="1" t="n">
        <v>46037</v>
      </c>
      <c r="C71" s="1" t="n">
        <v>46103</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2944-2026</t>
        </is>
      </c>
      <c r="B72" s="1" t="n">
        <v>46037</v>
      </c>
      <c r="C72" s="1" t="n">
        <v>46103</v>
      </c>
      <c r="D72" t="inlineStr">
        <is>
          <t>UPPSALA LÄN</t>
        </is>
      </c>
      <c r="E72" t="inlineStr">
        <is>
          <t>KNIVSTA</t>
        </is>
      </c>
      <c r="G72" t="n">
        <v>4.7</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46103</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3015-2026</t>
        </is>
      </c>
      <c r="B74" s="1" t="n">
        <v>46038</v>
      </c>
      <c r="C74" s="1" t="n">
        <v>46103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3016-2026</t>
        </is>
      </c>
      <c r="B75" s="1" t="n">
        <v>46038</v>
      </c>
      <c r="C75" s="1" t="n">
        <v>46103</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46103</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46103</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3824-2026</t>
        </is>
      </c>
      <c r="B78" s="1" t="n">
        <v>46043.58570601852</v>
      </c>
      <c r="C78" s="1" t="n">
        <v>46103</v>
      </c>
      <c r="D78" t="inlineStr">
        <is>
          <t>UPPSALA LÄN</t>
        </is>
      </c>
      <c r="E78" t="inlineStr">
        <is>
          <t>KNIVSTA</t>
        </is>
      </c>
      <c r="G78" t="n">
        <v>1.9</v>
      </c>
      <c r="H78" t="n">
        <v>0</v>
      </c>
      <c r="I78" t="n">
        <v>0</v>
      </c>
      <c r="J78" t="n">
        <v>0</v>
      </c>
      <c r="K78" t="n">
        <v>0</v>
      </c>
      <c r="L78" t="n">
        <v>0</v>
      </c>
      <c r="M78" t="n">
        <v>0</v>
      </c>
      <c r="N78" t="n">
        <v>0</v>
      </c>
      <c r="O78" t="n">
        <v>0</v>
      </c>
      <c r="P78" t="n">
        <v>0</v>
      </c>
      <c r="Q78" t="n">
        <v>0</v>
      </c>
      <c r="R78" s="2" t="inlineStr"/>
    </row>
    <row r="79" ht="15" customHeight="1">
      <c r="A79" t="inlineStr">
        <is>
          <t>A 12027-2026</t>
        </is>
      </c>
      <c r="B79" s="1" t="n">
        <v>46085.84549768519</v>
      </c>
      <c r="C79" s="1" t="n">
        <v>46103</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3836-2026</t>
        </is>
      </c>
      <c r="B80" s="1" t="n">
        <v>46043.5925</v>
      </c>
      <c r="C80" s="1" t="n">
        <v>46103</v>
      </c>
      <c r="D80" t="inlineStr">
        <is>
          <t>UPPSALA LÄN</t>
        </is>
      </c>
      <c r="E80" t="inlineStr">
        <is>
          <t>KNIVSTA</t>
        </is>
      </c>
      <c r="G80" t="n">
        <v>3.7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46103</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53898-2025</t>
        </is>
      </c>
      <c r="B82" s="1" t="n">
        <v>45961.43056712963</v>
      </c>
      <c r="C82" s="1" t="n">
        <v>46103</v>
      </c>
      <c r="D82" t="inlineStr">
        <is>
          <t>UPPSALA LÄN</t>
        </is>
      </c>
      <c r="E82" t="inlineStr">
        <is>
          <t>KNIVSTA</t>
        </is>
      </c>
      <c r="G82" t="n">
        <v>4.5</v>
      </c>
      <c r="H82" t="n">
        <v>0</v>
      </c>
      <c r="I82" t="n">
        <v>0</v>
      </c>
      <c r="J82" t="n">
        <v>0</v>
      </c>
      <c r="K82" t="n">
        <v>0</v>
      </c>
      <c r="L82" t="n">
        <v>0</v>
      </c>
      <c r="M82" t="n">
        <v>0</v>
      </c>
      <c r="N82" t="n">
        <v>0</v>
      </c>
      <c r="O82" t="n">
        <v>0</v>
      </c>
      <c r="P82" t="n">
        <v>0</v>
      </c>
      <c r="Q82" t="n">
        <v>0</v>
      </c>
      <c r="R82" s="2" t="inlineStr"/>
    </row>
    <row r="83" ht="15" customHeight="1">
      <c r="A83" t="inlineStr">
        <is>
          <t>A 12774-2026</t>
        </is>
      </c>
      <c r="B83" s="1" t="n">
        <v>46091.70140046296</v>
      </c>
      <c r="C83" s="1" t="n">
        <v>46103</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13001-2026</t>
        </is>
      </c>
      <c r="B84" s="1" t="n">
        <v>46092.68502314815</v>
      </c>
      <c r="C84" s="1" t="n">
        <v>46103</v>
      </c>
      <c r="D84" t="inlineStr">
        <is>
          <t>UPPSALA LÄN</t>
        </is>
      </c>
      <c r="E84" t="inlineStr">
        <is>
          <t>KNIVSTA</t>
        </is>
      </c>
      <c r="F84" t="inlineStr">
        <is>
          <t>Holmen skog AB</t>
        </is>
      </c>
      <c r="G84" t="n">
        <v>2.9</v>
      </c>
      <c r="H84" t="n">
        <v>0</v>
      </c>
      <c r="I84" t="n">
        <v>0</v>
      </c>
      <c r="J84" t="n">
        <v>0</v>
      </c>
      <c r="K84" t="n">
        <v>0</v>
      </c>
      <c r="L84" t="n">
        <v>0</v>
      </c>
      <c r="M84" t="n">
        <v>0</v>
      </c>
      <c r="N84" t="n">
        <v>0</v>
      </c>
      <c r="O84" t="n">
        <v>0</v>
      </c>
      <c r="P84" t="n">
        <v>0</v>
      </c>
      <c r="Q84" t="n">
        <v>0</v>
      </c>
      <c r="R84" s="2" t="inlineStr"/>
    </row>
    <row r="85" ht="15" customHeight="1">
      <c r="A85" t="inlineStr">
        <is>
          <t>A 12991-2026</t>
        </is>
      </c>
      <c r="B85" s="1" t="n">
        <v>46092.66820601852</v>
      </c>
      <c r="C85" s="1" t="n">
        <v>46103</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13011-2026</t>
        </is>
      </c>
      <c r="B86" s="1" t="n">
        <v>46092.71887731482</v>
      </c>
      <c r="C86" s="1" t="n">
        <v>46103</v>
      </c>
      <c r="D86" t="inlineStr">
        <is>
          <t>UPPSALA LÄN</t>
        </is>
      </c>
      <c r="E86" t="inlineStr">
        <is>
          <t>KNIVSTA</t>
        </is>
      </c>
      <c r="F86" t="inlineStr">
        <is>
          <t>Holmen skog AB</t>
        </is>
      </c>
      <c r="G86" t="n">
        <v>1.9</v>
      </c>
      <c r="H86" t="n">
        <v>0</v>
      </c>
      <c r="I86" t="n">
        <v>0</v>
      </c>
      <c r="J86" t="n">
        <v>0</v>
      </c>
      <c r="K86" t="n">
        <v>0</v>
      </c>
      <c r="L86" t="n">
        <v>0</v>
      </c>
      <c r="M86" t="n">
        <v>0</v>
      </c>
      <c r="N86" t="n">
        <v>0</v>
      </c>
      <c r="O86" t="n">
        <v>0</v>
      </c>
      <c r="P86" t="n">
        <v>0</v>
      </c>
      <c r="Q86" t="n">
        <v>0</v>
      </c>
      <c r="R86" s="2" t="inlineStr"/>
      <c r="U86">
        <f>HYPERLINK("https://klasma.github.io/Logging_0330/knärot/A 13011-2026 karta knärot.png", "A 13011-2026")</f>
        <v/>
      </c>
      <c r="V86">
        <f>HYPERLINK("https://klasma.github.io/Logging_0330/klagomål/A 13011-2026 FSC-klagomål.docx", "A 13011-2026")</f>
        <v/>
      </c>
      <c r="W86">
        <f>HYPERLINK("https://klasma.github.io/Logging_0330/klagomålsmail/A 13011-2026 FSC-klagomål mail.docx", "A 13011-2026")</f>
        <v/>
      </c>
      <c r="X86">
        <f>HYPERLINK("https://klasma.github.io/Logging_0330/tillsyn/A 13011-2026 tillsynsbegäran.docx", "A 13011-2026")</f>
        <v/>
      </c>
      <c r="Y86">
        <f>HYPERLINK("https://klasma.github.io/Logging_0330/tillsynsmail/A 13011-2026 tillsynsbegäran mail.docx", "A 13011-2026")</f>
        <v/>
      </c>
    </row>
    <row r="87" ht="15" customHeight="1">
      <c r="A87" t="inlineStr">
        <is>
          <t>A 13005-2026</t>
        </is>
      </c>
      <c r="B87" s="1" t="n">
        <v>46092.69429398148</v>
      </c>
      <c r="C87" s="1" t="n">
        <v>46103</v>
      </c>
      <c r="D87" t="inlineStr">
        <is>
          <t>UPPSALA LÄN</t>
        </is>
      </c>
      <c r="E87" t="inlineStr">
        <is>
          <t>KNIVSTA</t>
        </is>
      </c>
      <c r="F87" t="inlineStr">
        <is>
          <t>Holmen skog AB</t>
        </is>
      </c>
      <c r="G87" t="n">
        <v>3</v>
      </c>
      <c r="H87" t="n">
        <v>0</v>
      </c>
      <c r="I87" t="n">
        <v>0</v>
      </c>
      <c r="J87" t="n">
        <v>0</v>
      </c>
      <c r="K87" t="n">
        <v>0</v>
      </c>
      <c r="L87" t="n">
        <v>0</v>
      </c>
      <c r="M87" t="n">
        <v>0</v>
      </c>
      <c r="N87" t="n">
        <v>0</v>
      </c>
      <c r="O87" t="n">
        <v>0</v>
      </c>
      <c r="P87" t="n">
        <v>0</v>
      </c>
      <c r="Q87" t="n">
        <v>0</v>
      </c>
      <c r="R87" s="2" t="inlineStr"/>
    </row>
    <row r="88" ht="15" customHeight="1">
      <c r="A88" t="inlineStr">
        <is>
          <t>A 13016-2026</t>
        </is>
      </c>
      <c r="B88" s="1" t="n">
        <v>46092.73381944445</v>
      </c>
      <c r="C88" s="1" t="n">
        <v>46103</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26226-2025</t>
        </is>
      </c>
      <c r="B89" s="1" t="n">
        <v>45805.55829861111</v>
      </c>
      <c r="C89" s="1" t="n">
        <v>46103</v>
      </c>
      <c r="D89" t="inlineStr">
        <is>
          <t>UPPSALA LÄN</t>
        </is>
      </c>
      <c r="E89" t="inlineStr">
        <is>
          <t>KNIVSTA</t>
        </is>
      </c>
      <c r="G89" t="n">
        <v>9.1</v>
      </c>
      <c r="H89" t="n">
        <v>0</v>
      </c>
      <c r="I89" t="n">
        <v>0</v>
      </c>
      <c r="J89" t="n">
        <v>0</v>
      </c>
      <c r="K89" t="n">
        <v>0</v>
      </c>
      <c r="L89" t="n">
        <v>0</v>
      </c>
      <c r="M89" t="n">
        <v>0</v>
      </c>
      <c r="N89" t="n">
        <v>0</v>
      </c>
      <c r="O89" t="n">
        <v>0</v>
      </c>
      <c r="P89" t="n">
        <v>0</v>
      </c>
      <c r="Q89" t="n">
        <v>0</v>
      </c>
      <c r="R89" s="2" t="inlineStr"/>
    </row>
    <row r="90" ht="15" customHeight="1">
      <c r="A90" t="inlineStr">
        <is>
          <t>A 23239-2023</t>
        </is>
      </c>
      <c r="B90" s="1" t="n">
        <v>45075</v>
      </c>
      <c r="C90" s="1" t="n">
        <v>46103</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13013-2026</t>
        </is>
      </c>
      <c r="B91" s="1" t="n">
        <v>46092.7271412037</v>
      </c>
      <c r="C91" s="1" t="n">
        <v>46103</v>
      </c>
      <c r="D91" t="inlineStr">
        <is>
          <t>UPPSALA LÄN</t>
        </is>
      </c>
      <c r="E91" t="inlineStr">
        <is>
          <t>KNIVSTA</t>
        </is>
      </c>
      <c r="F91" t="inlineStr">
        <is>
          <t>Holmen skog AB</t>
        </is>
      </c>
      <c r="G91" t="n">
        <v>4.6</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46103</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5910-2026</t>
        </is>
      </c>
      <c r="B93" s="1" t="n">
        <v>46052.44677083333</v>
      </c>
      <c r="C93" s="1" t="n">
        <v>46103</v>
      </c>
      <c r="D93" t="inlineStr">
        <is>
          <t>UPPSALA LÄN</t>
        </is>
      </c>
      <c r="E93" t="inlineStr">
        <is>
          <t>KNIVSTA</t>
        </is>
      </c>
      <c r="G93" t="n">
        <v>0.6</v>
      </c>
      <c r="H93" t="n">
        <v>0</v>
      </c>
      <c r="I93" t="n">
        <v>0</v>
      </c>
      <c r="J93" t="n">
        <v>0</v>
      </c>
      <c r="K93" t="n">
        <v>0</v>
      </c>
      <c r="L93" t="n">
        <v>0</v>
      </c>
      <c r="M93" t="n">
        <v>0</v>
      </c>
      <c r="N93" t="n">
        <v>0</v>
      </c>
      <c r="O93" t="n">
        <v>0</v>
      </c>
      <c r="P93" t="n">
        <v>0</v>
      </c>
      <c r="Q93" t="n">
        <v>0</v>
      </c>
      <c r="R93" s="2" t="inlineStr"/>
    </row>
    <row r="94" ht="15" customHeight="1">
      <c r="A94" t="inlineStr">
        <is>
          <t>A 66284-2021</t>
        </is>
      </c>
      <c r="B94" s="1" t="n">
        <v>44518</v>
      </c>
      <c r="C94" s="1" t="n">
        <v>46103</v>
      </c>
      <c r="D94" t="inlineStr">
        <is>
          <t>UPPSALA LÄN</t>
        </is>
      </c>
      <c r="E94" t="inlineStr">
        <is>
          <t>KNIVSTA</t>
        </is>
      </c>
      <c r="G94" t="n">
        <v>6.9</v>
      </c>
      <c r="H94" t="n">
        <v>0</v>
      </c>
      <c r="I94" t="n">
        <v>0</v>
      </c>
      <c r="J94" t="n">
        <v>0</v>
      </c>
      <c r="K94" t="n">
        <v>0</v>
      </c>
      <c r="L94" t="n">
        <v>0</v>
      </c>
      <c r="M94" t="n">
        <v>0</v>
      </c>
      <c r="N94" t="n">
        <v>0</v>
      </c>
      <c r="O94" t="n">
        <v>0</v>
      </c>
      <c r="P94" t="n">
        <v>0</v>
      </c>
      <c r="Q94" t="n">
        <v>0</v>
      </c>
      <c r="R94" s="2" t="inlineStr"/>
    </row>
    <row r="95" ht="15" customHeight="1">
      <c r="A95" t="inlineStr">
        <is>
          <t>A 28189-2025</t>
        </is>
      </c>
      <c r="B95" s="1" t="n">
        <v>45818.41357638889</v>
      </c>
      <c r="C95" s="1" t="n">
        <v>46103</v>
      </c>
      <c r="D95" t="inlineStr">
        <is>
          <t>UPPSALA LÄN</t>
        </is>
      </c>
      <c r="E95" t="inlineStr">
        <is>
          <t>KNIVSTA</t>
        </is>
      </c>
      <c r="G95" t="n">
        <v>7.6</v>
      </c>
      <c r="H95" t="n">
        <v>0</v>
      </c>
      <c r="I95" t="n">
        <v>0</v>
      </c>
      <c r="J95" t="n">
        <v>0</v>
      </c>
      <c r="K95" t="n">
        <v>0</v>
      </c>
      <c r="L95" t="n">
        <v>0</v>
      </c>
      <c r="M95" t="n">
        <v>0</v>
      </c>
      <c r="N95" t="n">
        <v>0</v>
      </c>
      <c r="O95" t="n">
        <v>0</v>
      </c>
      <c r="P95" t="n">
        <v>0</v>
      </c>
      <c r="Q95" t="n">
        <v>0</v>
      </c>
      <c r="R95" s="2" t="inlineStr"/>
    </row>
    <row r="96" ht="15" customHeight="1">
      <c r="A96" t="inlineStr">
        <is>
          <t>A 32975-2021</t>
        </is>
      </c>
      <c r="B96" s="1" t="n">
        <v>44376</v>
      </c>
      <c r="C96" s="1" t="n">
        <v>46103</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11847-2023</t>
        </is>
      </c>
      <c r="B97" s="1" t="n">
        <v>44995.33957175926</v>
      </c>
      <c r="C97" s="1" t="n">
        <v>46103</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33976-2025</t>
        </is>
      </c>
      <c r="B98" s="1" t="n">
        <v>45843</v>
      </c>
      <c r="C98" s="1" t="n">
        <v>46103</v>
      </c>
      <c r="D98" t="inlineStr">
        <is>
          <t>UPPSALA LÄN</t>
        </is>
      </c>
      <c r="E98" t="inlineStr">
        <is>
          <t>KNIVSTA</t>
        </is>
      </c>
      <c r="G98" t="n">
        <v>6.1</v>
      </c>
      <c r="H98" t="n">
        <v>0</v>
      </c>
      <c r="I98" t="n">
        <v>0</v>
      </c>
      <c r="J98" t="n">
        <v>0</v>
      </c>
      <c r="K98" t="n">
        <v>0</v>
      </c>
      <c r="L98" t="n">
        <v>0</v>
      </c>
      <c r="M98" t="n">
        <v>0</v>
      </c>
      <c r="N98" t="n">
        <v>0</v>
      </c>
      <c r="O98" t="n">
        <v>0</v>
      </c>
      <c r="P98" t="n">
        <v>0</v>
      </c>
      <c r="Q98" t="n">
        <v>0</v>
      </c>
      <c r="R98" s="2" t="inlineStr"/>
    </row>
    <row r="99" ht="15" customHeight="1">
      <c r="A99" t="inlineStr">
        <is>
          <t>A 33974-2025</t>
        </is>
      </c>
      <c r="B99" s="1" t="n">
        <v>45843.305625</v>
      </c>
      <c r="C99" s="1" t="n">
        <v>46103</v>
      </c>
      <c r="D99" t="inlineStr">
        <is>
          <t>UPPSALA LÄN</t>
        </is>
      </c>
      <c r="E99" t="inlineStr">
        <is>
          <t>KNIVSTA</t>
        </is>
      </c>
      <c r="G99" t="n">
        <v>2.6</v>
      </c>
      <c r="H99" t="n">
        <v>0</v>
      </c>
      <c r="I99" t="n">
        <v>0</v>
      </c>
      <c r="J99" t="n">
        <v>0</v>
      </c>
      <c r="K99" t="n">
        <v>0</v>
      </c>
      <c r="L99" t="n">
        <v>0</v>
      </c>
      <c r="M99" t="n">
        <v>0</v>
      </c>
      <c r="N99" t="n">
        <v>0</v>
      </c>
      <c r="O99" t="n">
        <v>0</v>
      </c>
      <c r="P99" t="n">
        <v>0</v>
      </c>
      <c r="Q99" t="n">
        <v>0</v>
      </c>
      <c r="R99" s="2" t="inlineStr"/>
    </row>
    <row r="100" ht="15" customHeight="1">
      <c r="A100" t="inlineStr">
        <is>
          <t>A 33975-2025</t>
        </is>
      </c>
      <c r="B100" s="1" t="n">
        <v>45843.30805555556</v>
      </c>
      <c r="C100" s="1" t="n">
        <v>46103</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34859-2025</t>
        </is>
      </c>
      <c r="B101" s="1" t="n">
        <v>45849.43511574074</v>
      </c>
      <c r="C101" s="1" t="n">
        <v>46103</v>
      </c>
      <c r="D101" t="inlineStr">
        <is>
          <t>UPPSALA LÄN</t>
        </is>
      </c>
      <c r="E101" t="inlineStr">
        <is>
          <t>KNIVSTA</t>
        </is>
      </c>
      <c r="F101" t="inlineStr">
        <is>
          <t>Holmen skog AB</t>
        </is>
      </c>
      <c r="G101" t="n">
        <v>6.1</v>
      </c>
      <c r="H101" t="n">
        <v>0</v>
      </c>
      <c r="I101" t="n">
        <v>0</v>
      </c>
      <c r="J101" t="n">
        <v>0</v>
      </c>
      <c r="K101" t="n">
        <v>0</v>
      </c>
      <c r="L101" t="n">
        <v>0</v>
      </c>
      <c r="M101" t="n">
        <v>0</v>
      </c>
      <c r="N101" t="n">
        <v>0</v>
      </c>
      <c r="O101" t="n">
        <v>0</v>
      </c>
      <c r="P101" t="n">
        <v>0</v>
      </c>
      <c r="Q101" t="n">
        <v>0</v>
      </c>
      <c r="R101" s="2" t="inlineStr"/>
    </row>
    <row r="102" ht="15" customHeight="1">
      <c r="A102" t="inlineStr">
        <is>
          <t>A 34864-2025</t>
        </is>
      </c>
      <c r="B102" s="1" t="n">
        <v>45849.44028935185</v>
      </c>
      <c r="C102" s="1" t="n">
        <v>46103</v>
      </c>
      <c r="D102" t="inlineStr">
        <is>
          <t>UPPSALA LÄN</t>
        </is>
      </c>
      <c r="E102" t="inlineStr">
        <is>
          <t>KNIVSTA</t>
        </is>
      </c>
      <c r="F102" t="inlineStr">
        <is>
          <t>Holmen skog AB</t>
        </is>
      </c>
      <c r="G102" t="n">
        <v>1.3</v>
      </c>
      <c r="H102" t="n">
        <v>0</v>
      </c>
      <c r="I102" t="n">
        <v>0</v>
      </c>
      <c r="J102" t="n">
        <v>0</v>
      </c>
      <c r="K102" t="n">
        <v>0</v>
      </c>
      <c r="L102" t="n">
        <v>0</v>
      </c>
      <c r="M102" t="n">
        <v>0</v>
      </c>
      <c r="N102" t="n">
        <v>0</v>
      </c>
      <c r="O102" t="n">
        <v>0</v>
      </c>
      <c r="P102" t="n">
        <v>0</v>
      </c>
      <c r="Q102" t="n">
        <v>0</v>
      </c>
      <c r="R102" s="2" t="inlineStr"/>
    </row>
    <row r="103" ht="15" customHeight="1">
      <c r="A103" t="inlineStr">
        <is>
          <t>A 35318-2025</t>
        </is>
      </c>
      <c r="B103" s="1" t="n">
        <v>45854.47917824074</v>
      </c>
      <c r="C103" s="1" t="n">
        <v>46103</v>
      </c>
      <c r="D103" t="inlineStr">
        <is>
          <t>UPPSALA LÄN</t>
        </is>
      </c>
      <c r="E103" t="inlineStr">
        <is>
          <t>KNIVSTA</t>
        </is>
      </c>
      <c r="F103" t="inlineStr">
        <is>
          <t>Holmen skog AB</t>
        </is>
      </c>
      <c r="G103" t="n">
        <v>2.2</v>
      </c>
      <c r="H103" t="n">
        <v>0</v>
      </c>
      <c r="I103" t="n">
        <v>0</v>
      </c>
      <c r="J103" t="n">
        <v>0</v>
      </c>
      <c r="K103" t="n">
        <v>0</v>
      </c>
      <c r="L103" t="n">
        <v>0</v>
      </c>
      <c r="M103" t="n">
        <v>0</v>
      </c>
      <c r="N103" t="n">
        <v>0</v>
      </c>
      <c r="O103" t="n">
        <v>0</v>
      </c>
      <c r="P103" t="n">
        <v>0</v>
      </c>
      <c r="Q103" t="n">
        <v>0</v>
      </c>
      <c r="R103" s="2" t="inlineStr"/>
    </row>
    <row r="104" ht="15" customHeight="1">
      <c r="A104" t="inlineStr">
        <is>
          <t>A 36472-2025</t>
        </is>
      </c>
      <c r="B104" s="1" t="n">
        <v>45869.48162037037</v>
      </c>
      <c r="C104" s="1" t="n">
        <v>46103</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36473-2025</t>
        </is>
      </c>
      <c r="B105" s="1" t="n">
        <v>45869.48333333333</v>
      </c>
      <c r="C105" s="1" t="n">
        <v>46103</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36470-2025</t>
        </is>
      </c>
      <c r="B106" s="1" t="n">
        <v>45869.47915509259</v>
      </c>
      <c r="C106" s="1" t="n">
        <v>46103</v>
      </c>
      <c r="D106" t="inlineStr">
        <is>
          <t>UPPSALA LÄN</t>
        </is>
      </c>
      <c r="E106" t="inlineStr">
        <is>
          <t>KNIVSTA</t>
        </is>
      </c>
      <c r="G106" t="n">
        <v>3.6</v>
      </c>
      <c r="H106" t="n">
        <v>0</v>
      </c>
      <c r="I106" t="n">
        <v>0</v>
      </c>
      <c r="J106" t="n">
        <v>0</v>
      </c>
      <c r="K106" t="n">
        <v>0</v>
      </c>
      <c r="L106" t="n">
        <v>0</v>
      </c>
      <c r="M106" t="n">
        <v>0</v>
      </c>
      <c r="N106" t="n">
        <v>0</v>
      </c>
      <c r="O106" t="n">
        <v>0</v>
      </c>
      <c r="P106" t="n">
        <v>0</v>
      </c>
      <c r="Q106" t="n">
        <v>0</v>
      </c>
      <c r="R106" s="2" t="inlineStr"/>
    </row>
    <row r="107" ht="15" customHeight="1">
      <c r="A107" t="inlineStr">
        <is>
          <t>A 30351-2022</t>
        </is>
      </c>
      <c r="B107" s="1" t="n">
        <v>44757</v>
      </c>
      <c r="C107" s="1" t="n">
        <v>46103</v>
      </c>
      <c r="D107" t="inlineStr">
        <is>
          <t>UPPSALA LÄN</t>
        </is>
      </c>
      <c r="E107" t="inlineStr">
        <is>
          <t>KNIVSTA</t>
        </is>
      </c>
      <c r="G107" t="n">
        <v>5.7</v>
      </c>
      <c r="H107" t="n">
        <v>0</v>
      </c>
      <c r="I107" t="n">
        <v>0</v>
      </c>
      <c r="J107" t="n">
        <v>0</v>
      </c>
      <c r="K107" t="n">
        <v>0</v>
      </c>
      <c r="L107" t="n">
        <v>0</v>
      </c>
      <c r="M107" t="n">
        <v>0</v>
      </c>
      <c r="N107" t="n">
        <v>0</v>
      </c>
      <c r="O107" t="n">
        <v>0</v>
      </c>
      <c r="P107" t="n">
        <v>0</v>
      </c>
      <c r="Q107" t="n">
        <v>0</v>
      </c>
      <c r="R107" s="2" t="inlineStr"/>
    </row>
    <row r="108" ht="15" customHeight="1">
      <c r="A108" t="inlineStr">
        <is>
          <t>A 3191-2024</t>
        </is>
      </c>
      <c r="B108" s="1" t="n">
        <v>45316.67186342592</v>
      </c>
      <c r="C108" s="1" t="n">
        <v>46103</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31875-2022</t>
        </is>
      </c>
      <c r="B109" s="1" t="n">
        <v>44777</v>
      </c>
      <c r="C109" s="1" t="n">
        <v>46103</v>
      </c>
      <c r="D109" t="inlineStr">
        <is>
          <t>UPPSALA LÄN</t>
        </is>
      </c>
      <c r="E109" t="inlineStr">
        <is>
          <t>KNIVSTA</t>
        </is>
      </c>
      <c r="G109" t="n">
        <v>0.7</v>
      </c>
      <c r="H109" t="n">
        <v>0</v>
      </c>
      <c r="I109" t="n">
        <v>0</v>
      </c>
      <c r="J109" t="n">
        <v>0</v>
      </c>
      <c r="K109" t="n">
        <v>0</v>
      </c>
      <c r="L109" t="n">
        <v>0</v>
      </c>
      <c r="M109" t="n">
        <v>0</v>
      </c>
      <c r="N109" t="n">
        <v>0</v>
      </c>
      <c r="O109" t="n">
        <v>0</v>
      </c>
      <c r="P109" t="n">
        <v>0</v>
      </c>
      <c r="Q109" t="n">
        <v>0</v>
      </c>
      <c r="R109" s="2" t="inlineStr"/>
    </row>
    <row r="110" ht="15" customHeight="1">
      <c r="A110" t="inlineStr">
        <is>
          <t>A 51849-2023</t>
        </is>
      </c>
      <c r="B110" s="1" t="n">
        <v>45223.34391203704</v>
      </c>
      <c r="C110" s="1" t="n">
        <v>46103</v>
      </c>
      <c r="D110" t="inlineStr">
        <is>
          <t>UPPSALA LÄN</t>
        </is>
      </c>
      <c r="E110" t="inlineStr">
        <is>
          <t>KNIVSTA</t>
        </is>
      </c>
      <c r="G110" t="n">
        <v>16.3</v>
      </c>
      <c r="H110" t="n">
        <v>0</v>
      </c>
      <c r="I110" t="n">
        <v>0</v>
      </c>
      <c r="J110" t="n">
        <v>0</v>
      </c>
      <c r="K110" t="n">
        <v>0</v>
      </c>
      <c r="L110" t="n">
        <v>0</v>
      </c>
      <c r="M110" t="n">
        <v>0</v>
      </c>
      <c r="N110" t="n">
        <v>0</v>
      </c>
      <c r="O110" t="n">
        <v>0</v>
      </c>
      <c r="P110" t="n">
        <v>0</v>
      </c>
      <c r="Q110" t="n">
        <v>0</v>
      </c>
      <c r="R110" s="2" t="inlineStr"/>
    </row>
    <row r="111" ht="15" customHeight="1">
      <c r="A111" t="inlineStr">
        <is>
          <t>A 66293-2021</t>
        </is>
      </c>
      <c r="B111" s="1" t="n">
        <v>44518</v>
      </c>
      <c r="C111" s="1" t="n">
        <v>46103</v>
      </c>
      <c r="D111" t="inlineStr">
        <is>
          <t>UPPSALA LÄN</t>
        </is>
      </c>
      <c r="E111" t="inlineStr">
        <is>
          <t>KNIVSTA</t>
        </is>
      </c>
      <c r="G111" t="n">
        <v>2.6</v>
      </c>
      <c r="H111" t="n">
        <v>0</v>
      </c>
      <c r="I111" t="n">
        <v>0</v>
      </c>
      <c r="J111" t="n">
        <v>0</v>
      </c>
      <c r="K111" t="n">
        <v>0</v>
      </c>
      <c r="L111" t="n">
        <v>0</v>
      </c>
      <c r="M111" t="n">
        <v>0</v>
      </c>
      <c r="N111" t="n">
        <v>0</v>
      </c>
      <c r="O111" t="n">
        <v>0</v>
      </c>
      <c r="P111" t="n">
        <v>0</v>
      </c>
      <c r="Q111" t="n">
        <v>0</v>
      </c>
      <c r="R111" s="2" t="inlineStr"/>
    </row>
    <row r="112" ht="15" customHeight="1">
      <c r="A112" t="inlineStr">
        <is>
          <t>A 45916-2022</t>
        </is>
      </c>
      <c r="B112" s="1" t="n">
        <v>44846</v>
      </c>
      <c r="C112" s="1" t="n">
        <v>46103</v>
      </c>
      <c r="D112" t="inlineStr">
        <is>
          <t>UPPSALA LÄN</t>
        </is>
      </c>
      <c r="E112" t="inlineStr">
        <is>
          <t>KNIVSTA</t>
        </is>
      </c>
      <c r="G112" t="n">
        <v>3.8</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46103</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46103</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46103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30627-2023</t>
        </is>
      </c>
      <c r="B116" s="1" t="n">
        <v>45112</v>
      </c>
      <c r="C116" s="1" t="n">
        <v>46103</v>
      </c>
      <c r="D116" t="inlineStr">
        <is>
          <t>UPPSALA LÄN</t>
        </is>
      </c>
      <c r="E116" t="inlineStr">
        <is>
          <t>KNIVSTA</t>
        </is>
      </c>
      <c r="F116" t="inlineStr">
        <is>
          <t>Holmen skog AB</t>
        </is>
      </c>
      <c r="G116" t="n">
        <v>1.6</v>
      </c>
      <c r="H116" t="n">
        <v>0</v>
      </c>
      <c r="I116" t="n">
        <v>0</v>
      </c>
      <c r="J116" t="n">
        <v>0</v>
      </c>
      <c r="K116" t="n">
        <v>0</v>
      </c>
      <c r="L116" t="n">
        <v>0</v>
      </c>
      <c r="M116" t="n">
        <v>0</v>
      </c>
      <c r="N116" t="n">
        <v>0</v>
      </c>
      <c r="O116" t="n">
        <v>0</v>
      </c>
      <c r="P116" t="n">
        <v>0</v>
      </c>
      <c r="Q116" t="n">
        <v>0</v>
      </c>
      <c r="R116" s="2" t="inlineStr"/>
    </row>
    <row r="117" ht="15" customHeight="1">
      <c r="A117" t="inlineStr">
        <is>
          <t>A 43908-2023</t>
        </is>
      </c>
      <c r="B117" s="1" t="n">
        <v>45187</v>
      </c>
      <c r="C117" s="1" t="n">
        <v>46103</v>
      </c>
      <c r="D117" t="inlineStr">
        <is>
          <t>UPPSALA LÄN</t>
        </is>
      </c>
      <c r="E117" t="inlineStr">
        <is>
          <t>KNIVSTA</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46103</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60885-2021</t>
        </is>
      </c>
      <c r="B119" s="1" t="n">
        <v>44497</v>
      </c>
      <c r="C119" s="1" t="n">
        <v>46103</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19676-2025</t>
        </is>
      </c>
      <c r="B120" s="1" t="n">
        <v>45770</v>
      </c>
      <c r="C120" s="1" t="n">
        <v>46103</v>
      </c>
      <c r="D120" t="inlineStr">
        <is>
          <t>UPPSALA LÄN</t>
        </is>
      </c>
      <c r="E120" t="inlineStr">
        <is>
          <t>KNIVSTA</t>
        </is>
      </c>
      <c r="G120" t="n">
        <v>0.9</v>
      </c>
      <c r="H120" t="n">
        <v>0</v>
      </c>
      <c r="I120" t="n">
        <v>0</v>
      </c>
      <c r="J120" t="n">
        <v>0</v>
      </c>
      <c r="K120" t="n">
        <v>0</v>
      </c>
      <c r="L120" t="n">
        <v>0</v>
      </c>
      <c r="M120" t="n">
        <v>0</v>
      </c>
      <c r="N120" t="n">
        <v>0</v>
      </c>
      <c r="O120" t="n">
        <v>0</v>
      </c>
      <c r="P120" t="n">
        <v>0</v>
      </c>
      <c r="Q120" t="n">
        <v>0</v>
      </c>
      <c r="R120" s="2" t="inlineStr"/>
    </row>
    <row r="121" ht="15" customHeight="1">
      <c r="A121" t="inlineStr">
        <is>
          <t>A 14267-2025</t>
        </is>
      </c>
      <c r="B121" s="1" t="n">
        <v>45740.63686342593</v>
      </c>
      <c r="C121" s="1" t="n">
        <v>46103</v>
      </c>
      <c r="D121" t="inlineStr">
        <is>
          <t>UPPSALA LÄN</t>
        </is>
      </c>
      <c r="E121" t="inlineStr">
        <is>
          <t>KNIVSTA</t>
        </is>
      </c>
      <c r="G121" t="n">
        <v>3.9</v>
      </c>
      <c r="H121" t="n">
        <v>0</v>
      </c>
      <c r="I121" t="n">
        <v>0</v>
      </c>
      <c r="J121" t="n">
        <v>0</v>
      </c>
      <c r="K121" t="n">
        <v>0</v>
      </c>
      <c r="L121" t="n">
        <v>0</v>
      </c>
      <c r="M121" t="n">
        <v>0</v>
      </c>
      <c r="N121" t="n">
        <v>0</v>
      </c>
      <c r="O121" t="n">
        <v>0</v>
      </c>
      <c r="P121" t="n">
        <v>0</v>
      </c>
      <c r="Q121" t="n">
        <v>0</v>
      </c>
      <c r="R121" s="2" t="inlineStr"/>
    </row>
    <row r="122" ht="15" customHeight="1">
      <c r="A122" t="inlineStr">
        <is>
          <t>A 13697-2024</t>
        </is>
      </c>
      <c r="B122" s="1" t="n">
        <v>45390</v>
      </c>
      <c r="C122" s="1" t="n">
        <v>46103</v>
      </c>
      <c r="D122" t="inlineStr">
        <is>
          <t>UPPSALA LÄN</t>
        </is>
      </c>
      <c r="E122" t="inlineStr">
        <is>
          <t>KNIVSTA</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66305-2021</t>
        </is>
      </c>
      <c r="B123" s="1" t="n">
        <v>44518</v>
      </c>
      <c r="C123" s="1" t="n">
        <v>46103</v>
      </c>
      <c r="D123" t="inlineStr">
        <is>
          <t>UPPSALA LÄN</t>
        </is>
      </c>
      <c r="E123" t="inlineStr">
        <is>
          <t>KNIVSTA</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1629-2024</t>
        </is>
      </c>
      <c r="B124" s="1" t="n">
        <v>45306</v>
      </c>
      <c r="C124" s="1" t="n">
        <v>46103</v>
      </c>
      <c r="D124" t="inlineStr">
        <is>
          <t>UPPSALA LÄN</t>
        </is>
      </c>
      <c r="E124" t="inlineStr">
        <is>
          <t>KNIVSTA</t>
        </is>
      </c>
      <c r="F124" t="inlineStr">
        <is>
          <t>Holmen skog AB</t>
        </is>
      </c>
      <c r="G124" t="n">
        <v>3.6</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46103</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2171-2024</t>
        </is>
      </c>
      <c r="B126" s="1" t="n">
        <v>45309</v>
      </c>
      <c r="C126" s="1" t="n">
        <v>46103</v>
      </c>
      <c r="D126" t="inlineStr">
        <is>
          <t>UPPSALA LÄN</t>
        </is>
      </c>
      <c r="E126" t="inlineStr">
        <is>
          <t>KNIVSTA</t>
        </is>
      </c>
      <c r="F126" t="inlineStr">
        <is>
          <t>Holmen skog AB</t>
        </is>
      </c>
      <c r="G126" t="n">
        <v>3.3</v>
      </c>
      <c r="H126" t="n">
        <v>0</v>
      </c>
      <c r="I126" t="n">
        <v>0</v>
      </c>
      <c r="J126" t="n">
        <v>0</v>
      </c>
      <c r="K126" t="n">
        <v>0</v>
      </c>
      <c r="L126" t="n">
        <v>0</v>
      </c>
      <c r="M126" t="n">
        <v>0</v>
      </c>
      <c r="N126" t="n">
        <v>0</v>
      </c>
      <c r="O126" t="n">
        <v>0</v>
      </c>
      <c r="P126" t="n">
        <v>0</v>
      </c>
      <c r="Q126" t="n">
        <v>0</v>
      </c>
      <c r="R126" s="2" t="inlineStr"/>
    </row>
    <row r="127">
      <c r="A127" t="inlineStr">
        <is>
          <t>A 21130-2025</t>
        </is>
      </c>
      <c r="B127" s="1" t="n">
        <v>45778.35857638889</v>
      </c>
      <c r="C127" s="1" t="n">
        <v>46103</v>
      </c>
      <c r="D127" t="inlineStr">
        <is>
          <t>UPPSALA LÄN</t>
        </is>
      </c>
      <c r="E127" t="inlineStr">
        <is>
          <t>KNIVSTA</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2026-03-22T11:34:34Z</dcterms:created>
  <dcterms:modified xmlns:dcterms="http://purl.org/dc/terms/" xmlns:xsi="http://www.w3.org/2001/XMLSchema-instance" xsi:type="dcterms:W3CDTF">2026-03-22T11:34:34Z</dcterms:modified>
</cp:coreProperties>
</file>