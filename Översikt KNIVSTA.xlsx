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46130</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46130</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46130</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46130</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46130</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7444-2023</t>
        </is>
      </c>
      <c r="B7" s="1" t="n">
        <v>44971</v>
      </c>
      <c r="C7" s="1" t="n">
        <v>46130</v>
      </c>
      <c r="D7" t="inlineStr">
        <is>
          <t>UPPSALA LÄN</t>
        </is>
      </c>
      <c r="E7" t="inlineStr">
        <is>
          <t>KNIVSTA</t>
        </is>
      </c>
      <c r="G7" t="n">
        <v>0.7</v>
      </c>
      <c r="H7" t="n">
        <v>0</v>
      </c>
      <c r="I7" t="n">
        <v>4</v>
      </c>
      <c r="J7" t="n">
        <v>2</v>
      </c>
      <c r="K7" t="n">
        <v>3</v>
      </c>
      <c r="L7" t="n">
        <v>0</v>
      </c>
      <c r="M7" t="n">
        <v>0</v>
      </c>
      <c r="N7" t="n">
        <v>0</v>
      </c>
      <c r="O7" t="n">
        <v>5</v>
      </c>
      <c r="P7" t="n">
        <v>3</v>
      </c>
      <c r="Q7" t="n">
        <v>9</v>
      </c>
      <c r="R7" s="2" t="inlineStr">
        <is>
          <t>Apelticka
Blastenia relicta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44867-2023</t>
        </is>
      </c>
      <c r="B8" s="1" t="n">
        <v>45190</v>
      </c>
      <c r="C8" s="1" t="n">
        <v>46130</v>
      </c>
      <c r="D8" t="inlineStr">
        <is>
          <t>UPPSALA LÄN</t>
        </is>
      </c>
      <c r="E8" t="inlineStr">
        <is>
          <t>KNIVSTA</t>
        </is>
      </c>
      <c r="G8" t="n">
        <v>7.8</v>
      </c>
      <c r="H8" t="n">
        <v>4</v>
      </c>
      <c r="I8" t="n">
        <v>3</v>
      </c>
      <c r="J8" t="n">
        <v>2</v>
      </c>
      <c r="K8" t="n">
        <v>1</v>
      </c>
      <c r="L8" t="n">
        <v>0</v>
      </c>
      <c r="M8" t="n">
        <v>0</v>
      </c>
      <c r="N8" t="n">
        <v>0</v>
      </c>
      <c r="O8" t="n">
        <v>3</v>
      </c>
      <c r="P8" t="n">
        <v>1</v>
      </c>
      <c r="Q8" t="n">
        <v>9</v>
      </c>
      <c r="R8" s="2" t="inlineStr">
        <is>
          <t>Bombmurkla
Granticka
Kandelabersvamp
Granbräken
Myskmadra
Stor aspticka
Enkelbeckasin
Trana
Gullviva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c r="Z8">
        <f>HYPERLINK("https://klasma.github.io/Logging_0330/fåglar/A 44867-2023 prioriterade fågelarter.docx", "A 44867-2023")</f>
        <v/>
      </c>
    </row>
    <row r="9" ht="15" customHeight="1">
      <c r="A9" t="inlineStr">
        <is>
          <t>A 12958-2026</t>
        </is>
      </c>
      <c r="B9" s="1" t="n">
        <v>46092.63871527778</v>
      </c>
      <c r="C9" s="1" t="n">
        <v>46130</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46130</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46130</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53813-2025</t>
        </is>
      </c>
      <c r="B12" s="1" t="n">
        <v>45960</v>
      </c>
      <c r="C12" s="1" t="n">
        <v>46130</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11405-2025</t>
        </is>
      </c>
      <c r="B13" s="1" t="n">
        <v>45726</v>
      </c>
      <c r="C13" s="1" t="n">
        <v>46130</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61768-2025</t>
        </is>
      </c>
      <c r="B14" s="1" t="n">
        <v>46002.63940972222</v>
      </c>
      <c r="C14" s="1" t="n">
        <v>46130</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33770-2023</t>
        </is>
      </c>
      <c r="B15" s="1" t="n">
        <v>45133</v>
      </c>
      <c r="C15" s="1" t="n">
        <v>46130</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13002-2026</t>
        </is>
      </c>
      <c r="B16" s="1" t="n">
        <v>46092.68854166667</v>
      </c>
      <c r="C16" s="1" t="n">
        <v>46130</v>
      </c>
      <c r="D16" t="inlineStr">
        <is>
          <t>UPPSALA LÄN</t>
        </is>
      </c>
      <c r="E16" t="inlineStr">
        <is>
          <t>KNIVSTA</t>
        </is>
      </c>
      <c r="F16" t="inlineStr">
        <is>
          <t>Holmen skog AB</t>
        </is>
      </c>
      <c r="G16" t="n">
        <v>0.7</v>
      </c>
      <c r="H16" t="n">
        <v>1</v>
      </c>
      <c r="I16" t="n">
        <v>0</v>
      </c>
      <c r="J16" t="n">
        <v>0</v>
      </c>
      <c r="K16" t="n">
        <v>1</v>
      </c>
      <c r="L16" t="n">
        <v>0</v>
      </c>
      <c r="M16" t="n">
        <v>0</v>
      </c>
      <c r="N16" t="n">
        <v>0</v>
      </c>
      <c r="O16" t="n">
        <v>1</v>
      </c>
      <c r="P16" t="n">
        <v>1</v>
      </c>
      <c r="Q16" t="n">
        <v>1</v>
      </c>
      <c r="R16" s="2" t="inlineStr">
        <is>
          <t>Knärot</t>
        </is>
      </c>
      <c r="S16">
        <f>HYPERLINK("https://klasma.github.io/Logging_0330/artfynd/A 13002-2026 artfynd.xlsx", "A 13002-2026")</f>
        <v/>
      </c>
      <c r="T16">
        <f>HYPERLINK("https://klasma.github.io/Logging_0330/kartor/A 13002-2026 karta.png", "A 13002-2026")</f>
        <v/>
      </c>
      <c r="U16">
        <f>HYPERLINK("https://klasma.github.io/Logging_0330/knärot/A 13002-2026 karta knärot.png", "A 13002-2026")</f>
        <v/>
      </c>
      <c r="V16">
        <f>HYPERLINK("https://klasma.github.io/Logging_0330/klagomål/A 13002-2026 FSC-klagomål.docx", "A 13002-2026")</f>
        <v/>
      </c>
      <c r="W16">
        <f>HYPERLINK("https://klasma.github.io/Logging_0330/klagomålsmail/A 13002-2026 FSC-klagomål mail.docx", "A 13002-2026")</f>
        <v/>
      </c>
      <c r="X16">
        <f>HYPERLINK("https://klasma.github.io/Logging_0330/tillsyn/A 13002-2026 tillsynsbegäran.docx", "A 13002-2026")</f>
        <v/>
      </c>
      <c r="Y16">
        <f>HYPERLINK("https://klasma.github.io/Logging_0330/tillsynsmail/A 13002-2026 tillsynsbegäran mail.docx", "A 13002-2026")</f>
        <v/>
      </c>
    </row>
    <row r="17" ht="15" customHeight="1">
      <c r="A17" t="inlineStr">
        <is>
          <t>A 13004-2026</t>
        </is>
      </c>
      <c r="B17" s="1" t="n">
        <v>46092.68935185186</v>
      </c>
      <c r="C17" s="1" t="n">
        <v>46130</v>
      </c>
      <c r="D17" t="inlineStr">
        <is>
          <t>UPPSALA LÄN</t>
        </is>
      </c>
      <c r="E17" t="inlineStr">
        <is>
          <t>KNIVSTA</t>
        </is>
      </c>
      <c r="F17" t="inlineStr">
        <is>
          <t>Holmen skog AB</t>
        </is>
      </c>
      <c r="G17" t="n">
        <v>7.8</v>
      </c>
      <c r="H17" t="n">
        <v>1</v>
      </c>
      <c r="I17" t="n">
        <v>0</v>
      </c>
      <c r="J17" t="n">
        <v>1</v>
      </c>
      <c r="K17" t="n">
        <v>0</v>
      </c>
      <c r="L17" t="n">
        <v>0</v>
      </c>
      <c r="M17" t="n">
        <v>0</v>
      </c>
      <c r="N17" t="n">
        <v>0</v>
      </c>
      <c r="O17" t="n">
        <v>1</v>
      </c>
      <c r="P17" t="n">
        <v>0</v>
      </c>
      <c r="Q17" t="n">
        <v>1</v>
      </c>
      <c r="R17" s="2" t="inlineStr">
        <is>
          <t>Spillkråka</t>
        </is>
      </c>
      <c r="S17">
        <f>HYPERLINK("https://klasma.github.io/Logging_0330/artfynd/A 13004-2026 artfynd.xlsx", "A 13004-2026")</f>
        <v/>
      </c>
      <c r="T17">
        <f>HYPERLINK("https://klasma.github.io/Logging_0330/kartor/A 13004-2026 karta.png", "A 13004-2026")</f>
        <v/>
      </c>
      <c r="U17">
        <f>HYPERLINK("https://klasma.github.io/Logging_0330/knärot/A 13004-2026 karta knärot.png", "A 13004-2026")</f>
        <v/>
      </c>
      <c r="V17">
        <f>HYPERLINK("https://klasma.github.io/Logging_0330/klagomål/A 13004-2026 FSC-klagomål.docx", "A 13004-2026")</f>
        <v/>
      </c>
      <c r="W17">
        <f>HYPERLINK("https://klasma.github.io/Logging_0330/klagomålsmail/A 13004-2026 FSC-klagomål mail.docx", "A 13004-2026")</f>
        <v/>
      </c>
      <c r="X17">
        <f>HYPERLINK("https://klasma.github.io/Logging_0330/tillsyn/A 13004-2026 tillsynsbegäran.docx", "A 13004-2026")</f>
        <v/>
      </c>
      <c r="Y17">
        <f>HYPERLINK("https://klasma.github.io/Logging_0330/tillsynsmail/A 13004-2026 tillsynsbegäran mail.docx", "A 13004-2026")</f>
        <v/>
      </c>
      <c r="Z17">
        <f>HYPERLINK("https://klasma.github.io/Logging_0330/fåglar/A 13004-2026 prioriterade fågelarter.docx", "A 13004-2026")</f>
        <v/>
      </c>
    </row>
    <row r="18" ht="15" customHeight="1">
      <c r="A18" t="inlineStr">
        <is>
          <t>A 13380-2026</t>
        </is>
      </c>
      <c r="B18" s="1" t="n">
        <v>46094.42555555556</v>
      </c>
      <c r="C18" s="1" t="n">
        <v>46130</v>
      </c>
      <c r="D18" t="inlineStr">
        <is>
          <t>UPPSALA LÄN</t>
        </is>
      </c>
      <c r="E18" t="inlineStr">
        <is>
          <t>KNIVSTA</t>
        </is>
      </c>
      <c r="G18" t="n">
        <v>1.7</v>
      </c>
      <c r="H18" t="n">
        <v>1</v>
      </c>
      <c r="I18" t="n">
        <v>0</v>
      </c>
      <c r="J18" t="n">
        <v>1</v>
      </c>
      <c r="K18" t="n">
        <v>0</v>
      </c>
      <c r="L18" t="n">
        <v>0</v>
      </c>
      <c r="M18" t="n">
        <v>0</v>
      </c>
      <c r="N18" t="n">
        <v>0</v>
      </c>
      <c r="O18" t="n">
        <v>1</v>
      </c>
      <c r="P18" t="n">
        <v>0</v>
      </c>
      <c r="Q18" t="n">
        <v>1</v>
      </c>
      <c r="R18" s="2" t="inlineStr">
        <is>
          <t>Spillkråka</t>
        </is>
      </c>
      <c r="S18">
        <f>HYPERLINK("https://klasma.github.io/Logging_0330/artfynd/A 13380-2026 artfynd.xlsx", "A 13380-2026")</f>
        <v/>
      </c>
      <c r="T18">
        <f>HYPERLINK("https://klasma.github.io/Logging_0330/kartor/A 13380-2026 karta.png", "A 13380-2026")</f>
        <v/>
      </c>
      <c r="V18">
        <f>HYPERLINK("https://klasma.github.io/Logging_0330/klagomål/A 13380-2026 FSC-klagomål.docx", "A 13380-2026")</f>
        <v/>
      </c>
      <c r="W18">
        <f>HYPERLINK("https://klasma.github.io/Logging_0330/klagomålsmail/A 13380-2026 FSC-klagomål mail.docx", "A 13380-2026")</f>
        <v/>
      </c>
      <c r="X18">
        <f>HYPERLINK("https://klasma.github.io/Logging_0330/tillsyn/A 13380-2026 tillsynsbegäran.docx", "A 13380-2026")</f>
        <v/>
      </c>
      <c r="Y18">
        <f>HYPERLINK("https://klasma.github.io/Logging_0330/tillsynsmail/A 13380-2026 tillsynsbegäran mail.docx", "A 13380-2026")</f>
        <v/>
      </c>
      <c r="Z18">
        <f>HYPERLINK("https://klasma.github.io/Logging_0330/fåglar/A 13380-2026 prioriterade fågelarter.docx", "A 13380-2026")</f>
        <v/>
      </c>
    </row>
    <row r="19" ht="15" customHeight="1">
      <c r="A19" t="inlineStr">
        <is>
          <t>A 21831-2024</t>
        </is>
      </c>
      <c r="B19" s="1" t="n">
        <v>45442</v>
      </c>
      <c r="C19" s="1" t="n">
        <v>46130</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9561-2026</t>
        </is>
      </c>
      <c r="B20" s="1" t="n">
        <v>46071.64916666667</v>
      </c>
      <c r="C20" s="1" t="n">
        <v>46130</v>
      </c>
      <c r="D20" t="inlineStr">
        <is>
          <t>UPPSALA LÄN</t>
        </is>
      </c>
      <c r="E20" t="inlineStr">
        <is>
          <t>KNIVSTA</t>
        </is>
      </c>
      <c r="F20" t="inlineStr">
        <is>
          <t>Övriga statliga verk och myndigheter</t>
        </is>
      </c>
      <c r="G20" t="n">
        <v>2.6</v>
      </c>
      <c r="H20" t="n">
        <v>0</v>
      </c>
      <c r="I20" t="n">
        <v>0</v>
      </c>
      <c r="J20" t="n">
        <v>1</v>
      </c>
      <c r="K20" t="n">
        <v>0</v>
      </c>
      <c r="L20" t="n">
        <v>0</v>
      </c>
      <c r="M20" t="n">
        <v>0</v>
      </c>
      <c r="N20" t="n">
        <v>0</v>
      </c>
      <c r="O20" t="n">
        <v>1</v>
      </c>
      <c r="P20" t="n">
        <v>0</v>
      </c>
      <c r="Q20" t="n">
        <v>1</v>
      </c>
      <c r="R20" s="2" t="inlineStr">
        <is>
          <t>Svartöra</t>
        </is>
      </c>
      <c r="S20">
        <f>HYPERLINK("https://klasma.github.io/Logging_0330/artfynd/A 9561-2026 artfynd.xlsx", "A 9561-2026")</f>
        <v/>
      </c>
      <c r="T20">
        <f>HYPERLINK("https://klasma.github.io/Logging_0330/kartor/A 9561-2026 karta.png", "A 9561-2026")</f>
        <v/>
      </c>
      <c r="V20">
        <f>HYPERLINK("https://klasma.github.io/Logging_0330/klagomål/A 9561-2026 FSC-klagomål.docx", "A 9561-2026")</f>
        <v/>
      </c>
      <c r="W20">
        <f>HYPERLINK("https://klasma.github.io/Logging_0330/klagomålsmail/A 9561-2026 FSC-klagomål mail.docx", "A 9561-2026")</f>
        <v/>
      </c>
      <c r="X20">
        <f>HYPERLINK("https://klasma.github.io/Logging_0330/tillsyn/A 9561-2026 tillsynsbegäran.docx", "A 9561-2026")</f>
        <v/>
      </c>
      <c r="Y20">
        <f>HYPERLINK("https://klasma.github.io/Logging_0330/tillsynsmail/A 9561-2026 tillsynsbegäran mail.docx", "A 9561-2026")</f>
        <v/>
      </c>
    </row>
    <row r="21" ht="15" customHeight="1">
      <c r="A21" t="inlineStr">
        <is>
          <t>A 9553-2025</t>
        </is>
      </c>
      <c r="B21" s="1" t="n">
        <v>45715</v>
      </c>
      <c r="C21" s="1" t="n">
        <v>46130</v>
      </c>
      <c r="D21" t="inlineStr">
        <is>
          <t>UPPSALA LÄN</t>
        </is>
      </c>
      <c r="E21" t="inlineStr">
        <is>
          <t>KNIVSTA</t>
        </is>
      </c>
      <c r="G21" t="n">
        <v>3.5</v>
      </c>
      <c r="H21" t="n">
        <v>1</v>
      </c>
      <c r="I21" t="n">
        <v>0</v>
      </c>
      <c r="J21" t="n">
        <v>0</v>
      </c>
      <c r="K21" t="n">
        <v>0</v>
      </c>
      <c r="L21" t="n">
        <v>0</v>
      </c>
      <c r="M21" t="n">
        <v>0</v>
      </c>
      <c r="N21" t="n">
        <v>0</v>
      </c>
      <c r="O21" t="n">
        <v>0</v>
      </c>
      <c r="P21" t="n">
        <v>0</v>
      </c>
      <c r="Q21" t="n">
        <v>1</v>
      </c>
      <c r="R21" s="2" t="inlineStr">
        <is>
          <t>Nattviol</t>
        </is>
      </c>
      <c r="S21">
        <f>HYPERLINK("https://klasma.github.io/Logging_0330/artfynd/A 9553-2025 artfynd.xlsx", "A 9553-2025")</f>
        <v/>
      </c>
      <c r="T21">
        <f>HYPERLINK("https://klasma.github.io/Logging_0330/kartor/A 9553-2025 karta.png", "A 9553-2025")</f>
        <v/>
      </c>
      <c r="V21">
        <f>HYPERLINK("https://klasma.github.io/Logging_0330/klagomål/A 9553-2025 FSC-klagomål.docx", "A 9553-2025")</f>
        <v/>
      </c>
      <c r="W21">
        <f>HYPERLINK("https://klasma.github.io/Logging_0330/klagomålsmail/A 9553-2025 FSC-klagomål mail.docx", "A 9553-2025")</f>
        <v/>
      </c>
      <c r="X21">
        <f>HYPERLINK("https://klasma.github.io/Logging_0330/tillsyn/A 9553-2025 tillsynsbegäran.docx", "A 9553-2025")</f>
        <v/>
      </c>
      <c r="Y21">
        <f>HYPERLINK("https://klasma.github.io/Logging_0330/tillsynsmail/A 9553-2025 tillsynsbegäran mail.docx", "A 9553-2025")</f>
        <v/>
      </c>
    </row>
    <row r="22" ht="15" customHeight="1">
      <c r="A22" t="inlineStr">
        <is>
          <t>A 16407-2025</t>
        </is>
      </c>
      <c r="B22" s="1" t="n">
        <v>45751.45120370371</v>
      </c>
      <c r="C22" s="1" t="n">
        <v>46130</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19796-2021</t>
        </is>
      </c>
      <c r="B23" s="1" t="n">
        <v>44313</v>
      </c>
      <c r="C23" s="1" t="n">
        <v>46130</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46130</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66298-2021</t>
        </is>
      </c>
      <c r="B25" s="1" t="n">
        <v>44518</v>
      </c>
      <c r="C25" s="1" t="n">
        <v>46130</v>
      </c>
      <c r="D25" t="inlineStr">
        <is>
          <t>UPPSALA LÄN</t>
        </is>
      </c>
      <c r="E25" t="inlineStr">
        <is>
          <t>KNIVSTA</t>
        </is>
      </c>
      <c r="G25" t="n">
        <v>0.9</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46130</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46130</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46130</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46130</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46130</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16775-2022</t>
        </is>
      </c>
      <c r="B31" s="1" t="n">
        <v>44673</v>
      </c>
      <c r="C31" s="1" t="n">
        <v>46130</v>
      </c>
      <c r="D31" t="inlineStr">
        <is>
          <t>UPPSALA LÄN</t>
        </is>
      </c>
      <c r="E31" t="inlineStr">
        <is>
          <t>KNIVSTA</t>
        </is>
      </c>
      <c r="G31" t="n">
        <v>0.8</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46130</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62451-2021</t>
        </is>
      </c>
      <c r="B33" s="1" t="n">
        <v>44509</v>
      </c>
      <c r="C33" s="1" t="n">
        <v>46130</v>
      </c>
      <c r="D33" t="inlineStr">
        <is>
          <t>UPPSALA LÄN</t>
        </is>
      </c>
      <c r="E33" t="inlineStr">
        <is>
          <t>KNIVSTA</t>
        </is>
      </c>
      <c r="G33" t="n">
        <v>2.5</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46130</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46130</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46130</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70275-2021</t>
        </is>
      </c>
      <c r="B37" s="1" t="n">
        <v>44536</v>
      </c>
      <c r="C37" s="1" t="n">
        <v>46130</v>
      </c>
      <c r="D37" t="inlineStr">
        <is>
          <t>UPPSALA LÄN</t>
        </is>
      </c>
      <c r="E37" t="inlineStr">
        <is>
          <t>KNIVSTA</t>
        </is>
      </c>
      <c r="F37" t="inlineStr">
        <is>
          <t>Holmen skog AB</t>
        </is>
      </c>
      <c r="G37" t="n">
        <v>0.7</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46130</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46130</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46130</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46130</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46130</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32975-2021</t>
        </is>
      </c>
      <c r="B43" s="1" t="n">
        <v>44376</v>
      </c>
      <c r="C43" s="1" t="n">
        <v>46130</v>
      </c>
      <c r="D43" t="inlineStr">
        <is>
          <t>UPPSALA LÄN</t>
        </is>
      </c>
      <c r="E43" t="inlineStr">
        <is>
          <t>KNIVSTA</t>
        </is>
      </c>
      <c r="G43" t="n">
        <v>6.1</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46130</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46130</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794-2024</t>
        </is>
      </c>
      <c r="B46" s="1" t="n">
        <v>45300.58149305556</v>
      </c>
      <c r="C46" s="1" t="n">
        <v>46130</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52667-2025</t>
        </is>
      </c>
      <c r="B47" s="1" t="n">
        <v>45955.74666666667</v>
      </c>
      <c r="C47" s="1" t="n">
        <v>46130</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52666-2025</t>
        </is>
      </c>
      <c r="B48" s="1" t="n">
        <v>45955.74299768519</v>
      </c>
      <c r="C48" s="1" t="n">
        <v>46130</v>
      </c>
      <c r="D48" t="inlineStr">
        <is>
          <t>UPPSALA LÄN</t>
        </is>
      </c>
      <c r="E48" t="inlineStr">
        <is>
          <t>KNIVSTA</t>
        </is>
      </c>
      <c r="G48" t="n">
        <v>2.1</v>
      </c>
      <c r="H48" t="n">
        <v>0</v>
      </c>
      <c r="I48" t="n">
        <v>0</v>
      </c>
      <c r="J48" t="n">
        <v>0</v>
      </c>
      <c r="K48" t="n">
        <v>0</v>
      </c>
      <c r="L48" t="n">
        <v>0</v>
      </c>
      <c r="M48" t="n">
        <v>0</v>
      </c>
      <c r="N48" t="n">
        <v>0</v>
      </c>
      <c r="O48" t="n">
        <v>0</v>
      </c>
      <c r="P48" t="n">
        <v>0</v>
      </c>
      <c r="Q48" t="n">
        <v>0</v>
      </c>
      <c r="R48" s="2" t="inlineStr"/>
    </row>
    <row r="49" ht="15" customHeight="1">
      <c r="A49" t="inlineStr">
        <is>
          <t>A 20902-2024</t>
        </is>
      </c>
      <c r="B49" s="1" t="n">
        <v>45439.48104166667</v>
      </c>
      <c r="C49" s="1" t="n">
        <v>46130</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46130</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53898-2025</t>
        </is>
      </c>
      <c r="B51" s="1" t="n">
        <v>45961.43056712963</v>
      </c>
      <c r="C51" s="1" t="n">
        <v>46130</v>
      </c>
      <c r="D51" t="inlineStr">
        <is>
          <t>UPPSALA LÄN</t>
        </is>
      </c>
      <c r="E51" t="inlineStr">
        <is>
          <t>KNIVSTA</t>
        </is>
      </c>
      <c r="G51" t="n">
        <v>4.5</v>
      </c>
      <c r="H51" t="n">
        <v>0</v>
      </c>
      <c r="I51" t="n">
        <v>0</v>
      </c>
      <c r="J51" t="n">
        <v>0</v>
      </c>
      <c r="K51" t="n">
        <v>0</v>
      </c>
      <c r="L51" t="n">
        <v>0</v>
      </c>
      <c r="M51" t="n">
        <v>0</v>
      </c>
      <c r="N51" t="n">
        <v>0</v>
      </c>
      <c r="O51" t="n">
        <v>0</v>
      </c>
      <c r="P51" t="n">
        <v>0</v>
      </c>
      <c r="Q51" t="n">
        <v>0</v>
      </c>
      <c r="R51" s="2" t="inlineStr"/>
    </row>
    <row r="52" ht="15" customHeight="1">
      <c r="A52" t="inlineStr">
        <is>
          <t>A 44869-2025</t>
        </is>
      </c>
      <c r="B52" s="1" t="n">
        <v>45918.46758101852</v>
      </c>
      <c r="C52" s="1" t="n">
        <v>46130</v>
      </c>
      <c r="D52" t="inlineStr">
        <is>
          <t>UPPSALA LÄN</t>
        </is>
      </c>
      <c r="E52" t="inlineStr">
        <is>
          <t>KNIVSTA</t>
        </is>
      </c>
      <c r="G52" t="n">
        <v>17.1</v>
      </c>
      <c r="H52" t="n">
        <v>0</v>
      </c>
      <c r="I52" t="n">
        <v>0</v>
      </c>
      <c r="J52" t="n">
        <v>0</v>
      </c>
      <c r="K52" t="n">
        <v>0</v>
      </c>
      <c r="L52" t="n">
        <v>0</v>
      </c>
      <c r="M52" t="n">
        <v>0</v>
      </c>
      <c r="N52" t="n">
        <v>0</v>
      </c>
      <c r="O52" t="n">
        <v>0</v>
      </c>
      <c r="P52" t="n">
        <v>0</v>
      </c>
      <c r="Q52" t="n">
        <v>0</v>
      </c>
      <c r="R52" s="2" t="inlineStr"/>
    </row>
    <row r="53" ht="15" customHeight="1">
      <c r="A53" t="inlineStr">
        <is>
          <t>A 45453-2025</t>
        </is>
      </c>
      <c r="B53" s="1" t="n">
        <v>45922.48702546296</v>
      </c>
      <c r="C53" s="1" t="n">
        <v>46130</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46130</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13040-2025</t>
        </is>
      </c>
      <c r="B55" s="1" t="n">
        <v>45734</v>
      </c>
      <c r="C55" s="1" t="n">
        <v>46130</v>
      </c>
      <c r="D55" t="inlineStr">
        <is>
          <t>UPPSALA LÄN</t>
        </is>
      </c>
      <c r="E55" t="inlineStr">
        <is>
          <t>KNIVSTA</t>
        </is>
      </c>
      <c r="F55" t="inlineStr">
        <is>
          <t>Allmännings- och besparingsskogar</t>
        </is>
      </c>
      <c r="G55" t="n">
        <v>1.6</v>
      </c>
      <c r="H55" t="n">
        <v>0</v>
      </c>
      <c r="I55" t="n">
        <v>0</v>
      </c>
      <c r="J55" t="n">
        <v>0</v>
      </c>
      <c r="K55" t="n">
        <v>0</v>
      </c>
      <c r="L55" t="n">
        <v>0</v>
      </c>
      <c r="M55" t="n">
        <v>0</v>
      </c>
      <c r="N55" t="n">
        <v>0</v>
      </c>
      <c r="O55" t="n">
        <v>0</v>
      </c>
      <c r="P55" t="n">
        <v>0</v>
      </c>
      <c r="Q55" t="n">
        <v>0</v>
      </c>
      <c r="R55" s="2" t="inlineStr"/>
    </row>
    <row r="56" ht="15" customHeight="1">
      <c r="A56" t="inlineStr">
        <is>
          <t>A 28189-2025</t>
        </is>
      </c>
      <c r="B56" s="1" t="n">
        <v>45818.41357638889</v>
      </c>
      <c r="C56" s="1" t="n">
        <v>46130</v>
      </c>
      <c r="D56" t="inlineStr">
        <is>
          <t>UPPSALA LÄN</t>
        </is>
      </c>
      <c r="E56" t="inlineStr">
        <is>
          <t>KNIVSTA</t>
        </is>
      </c>
      <c r="G56" t="n">
        <v>7.6</v>
      </c>
      <c r="H56" t="n">
        <v>0</v>
      </c>
      <c r="I56" t="n">
        <v>0</v>
      </c>
      <c r="J56" t="n">
        <v>0</v>
      </c>
      <c r="K56" t="n">
        <v>0</v>
      </c>
      <c r="L56" t="n">
        <v>0</v>
      </c>
      <c r="M56" t="n">
        <v>0</v>
      </c>
      <c r="N56" t="n">
        <v>0</v>
      </c>
      <c r="O56" t="n">
        <v>0</v>
      </c>
      <c r="P56" t="n">
        <v>0</v>
      </c>
      <c r="Q56" t="n">
        <v>0</v>
      </c>
      <c r="R56" s="2" t="inlineStr"/>
    </row>
    <row r="57" ht="15" customHeight="1">
      <c r="A57" t="inlineStr">
        <is>
          <t>A 11841-2023</t>
        </is>
      </c>
      <c r="B57" s="1" t="n">
        <v>44995.3221412037</v>
      </c>
      <c r="C57" s="1" t="n">
        <v>46130</v>
      </c>
      <c r="D57" t="inlineStr">
        <is>
          <t>UPPSALA LÄN</t>
        </is>
      </c>
      <c r="E57" t="inlineStr">
        <is>
          <t>KNIVSTA</t>
        </is>
      </c>
      <c r="G57" t="n">
        <v>3.9</v>
      </c>
      <c r="H57" t="n">
        <v>0</v>
      </c>
      <c r="I57" t="n">
        <v>0</v>
      </c>
      <c r="J57" t="n">
        <v>0</v>
      </c>
      <c r="K57" t="n">
        <v>0</v>
      </c>
      <c r="L57" t="n">
        <v>0</v>
      </c>
      <c r="M57" t="n">
        <v>0</v>
      </c>
      <c r="N57" t="n">
        <v>0</v>
      </c>
      <c r="O57" t="n">
        <v>0</v>
      </c>
      <c r="P57" t="n">
        <v>0</v>
      </c>
      <c r="Q57" t="n">
        <v>0</v>
      </c>
      <c r="R57" s="2" t="inlineStr"/>
    </row>
    <row r="58" ht="15" customHeight="1">
      <c r="A58" t="inlineStr">
        <is>
          <t>A 47803-2025</t>
        </is>
      </c>
      <c r="B58" s="1" t="n">
        <v>45931</v>
      </c>
      <c r="C58" s="1" t="n">
        <v>46130</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30351-2022</t>
        </is>
      </c>
      <c r="B59" s="1" t="n">
        <v>44757</v>
      </c>
      <c r="C59" s="1" t="n">
        <v>46130</v>
      </c>
      <c r="D59" t="inlineStr">
        <is>
          <t>UPPSALA LÄN</t>
        </is>
      </c>
      <c r="E59" t="inlineStr">
        <is>
          <t>KNIVSTA</t>
        </is>
      </c>
      <c r="G59" t="n">
        <v>5.7</v>
      </c>
      <c r="H59" t="n">
        <v>0</v>
      </c>
      <c r="I59" t="n">
        <v>0</v>
      </c>
      <c r="J59" t="n">
        <v>0</v>
      </c>
      <c r="K59" t="n">
        <v>0</v>
      </c>
      <c r="L59" t="n">
        <v>0</v>
      </c>
      <c r="M59" t="n">
        <v>0</v>
      </c>
      <c r="N59" t="n">
        <v>0</v>
      </c>
      <c r="O59" t="n">
        <v>0</v>
      </c>
      <c r="P59" t="n">
        <v>0</v>
      </c>
      <c r="Q59" t="n">
        <v>0</v>
      </c>
      <c r="R59" s="2" t="inlineStr"/>
    </row>
    <row r="60" ht="15" customHeight="1">
      <c r="A60" t="inlineStr">
        <is>
          <t>A 11847-2023</t>
        </is>
      </c>
      <c r="B60" s="1" t="n">
        <v>44995.33957175926</v>
      </c>
      <c r="C60" s="1" t="n">
        <v>46130</v>
      </c>
      <c r="D60" t="inlineStr">
        <is>
          <t>UPPSALA LÄN</t>
        </is>
      </c>
      <c r="E60" t="inlineStr">
        <is>
          <t>KNIVSTA</t>
        </is>
      </c>
      <c r="G60" t="n">
        <v>2.1</v>
      </c>
      <c r="H60" t="n">
        <v>0</v>
      </c>
      <c r="I60" t="n">
        <v>0</v>
      </c>
      <c r="J60" t="n">
        <v>0</v>
      </c>
      <c r="K60" t="n">
        <v>0</v>
      </c>
      <c r="L60" t="n">
        <v>0</v>
      </c>
      <c r="M60" t="n">
        <v>0</v>
      </c>
      <c r="N60" t="n">
        <v>0</v>
      </c>
      <c r="O60" t="n">
        <v>0</v>
      </c>
      <c r="P60" t="n">
        <v>0</v>
      </c>
      <c r="Q60" t="n">
        <v>0</v>
      </c>
      <c r="R60" s="2" t="inlineStr"/>
    </row>
    <row r="61" ht="15" customHeight="1">
      <c r="A61" t="inlineStr">
        <is>
          <t>A 11450-2023</t>
        </is>
      </c>
      <c r="B61" s="1" t="n">
        <v>44993</v>
      </c>
      <c r="C61" s="1" t="n">
        <v>46130</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31875-2022</t>
        </is>
      </c>
      <c r="B62" s="1" t="n">
        <v>44777</v>
      </c>
      <c r="C62" s="1" t="n">
        <v>46130</v>
      </c>
      <c r="D62" t="inlineStr">
        <is>
          <t>UPPSALA LÄN</t>
        </is>
      </c>
      <c r="E62" t="inlineStr">
        <is>
          <t>KNIVSTA</t>
        </is>
      </c>
      <c r="G62" t="n">
        <v>0.7</v>
      </c>
      <c r="H62" t="n">
        <v>0</v>
      </c>
      <c r="I62" t="n">
        <v>0</v>
      </c>
      <c r="J62" t="n">
        <v>0</v>
      </c>
      <c r="K62" t="n">
        <v>0</v>
      </c>
      <c r="L62" t="n">
        <v>0</v>
      </c>
      <c r="M62" t="n">
        <v>0</v>
      </c>
      <c r="N62" t="n">
        <v>0</v>
      </c>
      <c r="O62" t="n">
        <v>0</v>
      </c>
      <c r="P62" t="n">
        <v>0</v>
      </c>
      <c r="Q62" t="n">
        <v>0</v>
      </c>
      <c r="R62" s="2" t="inlineStr"/>
    </row>
    <row r="63" ht="15" customHeight="1">
      <c r="A63" t="inlineStr">
        <is>
          <t>A 49090-2025</t>
        </is>
      </c>
      <c r="B63" s="1" t="n">
        <v>45937</v>
      </c>
      <c r="C63" s="1" t="n">
        <v>46130</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33975-2025</t>
        </is>
      </c>
      <c r="B64" s="1" t="n">
        <v>45843.30805555556</v>
      </c>
      <c r="C64" s="1" t="n">
        <v>46130</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33974-2025</t>
        </is>
      </c>
      <c r="B65" s="1" t="n">
        <v>45843.305625</v>
      </c>
      <c r="C65" s="1" t="n">
        <v>46130</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33976-2025</t>
        </is>
      </c>
      <c r="B66" s="1" t="n">
        <v>45843</v>
      </c>
      <c r="C66" s="1" t="n">
        <v>46130</v>
      </c>
      <c r="D66" t="inlineStr">
        <is>
          <t>UPPSALA LÄN</t>
        </is>
      </c>
      <c r="E66" t="inlineStr">
        <is>
          <t>KNIVSTA</t>
        </is>
      </c>
      <c r="G66" t="n">
        <v>6.1</v>
      </c>
      <c r="H66" t="n">
        <v>0</v>
      </c>
      <c r="I66" t="n">
        <v>0</v>
      </c>
      <c r="J66" t="n">
        <v>0</v>
      </c>
      <c r="K66" t="n">
        <v>0</v>
      </c>
      <c r="L66" t="n">
        <v>0</v>
      </c>
      <c r="M66" t="n">
        <v>0</v>
      </c>
      <c r="N66" t="n">
        <v>0</v>
      </c>
      <c r="O66" t="n">
        <v>0</v>
      </c>
      <c r="P66" t="n">
        <v>0</v>
      </c>
      <c r="Q66" t="n">
        <v>0</v>
      </c>
      <c r="R66" s="2" t="inlineStr"/>
    </row>
    <row r="67" ht="15" customHeight="1">
      <c r="A67" t="inlineStr">
        <is>
          <t>A 23239-2023</t>
        </is>
      </c>
      <c r="B67" s="1" t="n">
        <v>45075</v>
      </c>
      <c r="C67" s="1" t="n">
        <v>46130</v>
      </c>
      <c r="D67" t="inlineStr">
        <is>
          <t>UPPSALA LÄN</t>
        </is>
      </c>
      <c r="E67" t="inlineStr">
        <is>
          <t>KNIVSTA</t>
        </is>
      </c>
      <c r="G67" t="n">
        <v>1.8</v>
      </c>
      <c r="H67" t="n">
        <v>0</v>
      </c>
      <c r="I67" t="n">
        <v>0</v>
      </c>
      <c r="J67" t="n">
        <v>0</v>
      </c>
      <c r="K67" t="n">
        <v>0</v>
      </c>
      <c r="L67" t="n">
        <v>0</v>
      </c>
      <c r="M67" t="n">
        <v>0</v>
      </c>
      <c r="N67" t="n">
        <v>0</v>
      </c>
      <c r="O67" t="n">
        <v>0</v>
      </c>
      <c r="P67" t="n">
        <v>0</v>
      </c>
      <c r="Q67" t="n">
        <v>0</v>
      </c>
      <c r="R67" s="2" t="inlineStr"/>
    </row>
    <row r="68" ht="15" customHeight="1">
      <c r="A68" t="inlineStr">
        <is>
          <t>A 34859-2025</t>
        </is>
      </c>
      <c r="B68" s="1" t="n">
        <v>45849.43511574074</v>
      </c>
      <c r="C68" s="1" t="n">
        <v>46130</v>
      </c>
      <c r="D68" t="inlineStr">
        <is>
          <t>UPPSALA LÄN</t>
        </is>
      </c>
      <c r="E68" t="inlineStr">
        <is>
          <t>KNIVSTA</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34864-2025</t>
        </is>
      </c>
      <c r="B69" s="1" t="n">
        <v>45849.44028935185</v>
      </c>
      <c r="C69" s="1" t="n">
        <v>46130</v>
      </c>
      <c r="D69" t="inlineStr">
        <is>
          <t>UPPSALA LÄN</t>
        </is>
      </c>
      <c r="E69" t="inlineStr">
        <is>
          <t>KNIVSTA</t>
        </is>
      </c>
      <c r="F69" t="inlineStr">
        <is>
          <t>Holmen skog AB</t>
        </is>
      </c>
      <c r="G69" t="n">
        <v>1.3</v>
      </c>
      <c r="H69" t="n">
        <v>0</v>
      </c>
      <c r="I69" t="n">
        <v>0</v>
      </c>
      <c r="J69" t="n">
        <v>0</v>
      </c>
      <c r="K69" t="n">
        <v>0</v>
      </c>
      <c r="L69" t="n">
        <v>0</v>
      </c>
      <c r="M69" t="n">
        <v>0</v>
      </c>
      <c r="N69" t="n">
        <v>0</v>
      </c>
      <c r="O69" t="n">
        <v>0</v>
      </c>
      <c r="P69" t="n">
        <v>0</v>
      </c>
      <c r="Q69" t="n">
        <v>0</v>
      </c>
      <c r="R69" s="2" t="inlineStr"/>
    </row>
    <row r="70" ht="15" customHeight="1">
      <c r="A70" t="inlineStr">
        <is>
          <t>A 35318-2025</t>
        </is>
      </c>
      <c r="B70" s="1" t="n">
        <v>45854.47917824074</v>
      </c>
      <c r="C70" s="1" t="n">
        <v>46130</v>
      </c>
      <c r="D70" t="inlineStr">
        <is>
          <t>UPPSALA LÄN</t>
        </is>
      </c>
      <c r="E70" t="inlineStr">
        <is>
          <t>KNIVSTA</t>
        </is>
      </c>
      <c r="F70" t="inlineStr">
        <is>
          <t>Holmen skog AB</t>
        </is>
      </c>
      <c r="G70" t="n">
        <v>2.2</v>
      </c>
      <c r="H70" t="n">
        <v>0</v>
      </c>
      <c r="I70" t="n">
        <v>0</v>
      </c>
      <c r="J70" t="n">
        <v>0</v>
      </c>
      <c r="K70" t="n">
        <v>0</v>
      </c>
      <c r="L70" t="n">
        <v>0</v>
      </c>
      <c r="M70" t="n">
        <v>0</v>
      </c>
      <c r="N70" t="n">
        <v>0</v>
      </c>
      <c r="O70" t="n">
        <v>0</v>
      </c>
      <c r="P70" t="n">
        <v>0</v>
      </c>
      <c r="Q70" t="n">
        <v>0</v>
      </c>
      <c r="R70" s="2" t="inlineStr"/>
    </row>
    <row r="71" ht="15" customHeight="1">
      <c r="A71" t="inlineStr">
        <is>
          <t>A 36470-2025</t>
        </is>
      </c>
      <c r="B71" s="1" t="n">
        <v>45869.47915509259</v>
      </c>
      <c r="C71" s="1" t="n">
        <v>46130</v>
      </c>
      <c r="D71" t="inlineStr">
        <is>
          <t>UPPSALA LÄN</t>
        </is>
      </c>
      <c r="E71" t="inlineStr">
        <is>
          <t>KNIVSTA</t>
        </is>
      </c>
      <c r="G71" t="n">
        <v>3.6</v>
      </c>
      <c r="H71" t="n">
        <v>0</v>
      </c>
      <c r="I71" t="n">
        <v>0</v>
      </c>
      <c r="J71" t="n">
        <v>0</v>
      </c>
      <c r="K71" t="n">
        <v>0</v>
      </c>
      <c r="L71" t="n">
        <v>0</v>
      </c>
      <c r="M71" t="n">
        <v>0</v>
      </c>
      <c r="N71" t="n">
        <v>0</v>
      </c>
      <c r="O71" t="n">
        <v>0</v>
      </c>
      <c r="P71" t="n">
        <v>0</v>
      </c>
      <c r="Q71" t="n">
        <v>0</v>
      </c>
      <c r="R71" s="2" t="inlineStr"/>
    </row>
    <row r="72" ht="15" customHeight="1">
      <c r="A72" t="inlineStr">
        <is>
          <t>A 36472-2025</t>
        </is>
      </c>
      <c r="B72" s="1" t="n">
        <v>45869.48162037037</v>
      </c>
      <c r="C72" s="1" t="n">
        <v>46130</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36473-2025</t>
        </is>
      </c>
      <c r="B73" s="1" t="n">
        <v>45869.48333333333</v>
      </c>
      <c r="C73" s="1" t="n">
        <v>46130</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57631-2025</t>
        </is>
      </c>
      <c r="B74" s="1" t="n">
        <v>45981.34748842593</v>
      </c>
      <c r="C74" s="1" t="n">
        <v>46130</v>
      </c>
      <c r="D74" t="inlineStr">
        <is>
          <t>UPPSALA LÄN</t>
        </is>
      </c>
      <c r="E74" t="inlineStr">
        <is>
          <t>KNIVSTA</t>
        </is>
      </c>
      <c r="G74" t="n">
        <v>3.4</v>
      </c>
      <c r="H74" t="n">
        <v>0</v>
      </c>
      <c r="I74" t="n">
        <v>0</v>
      </c>
      <c r="J74" t="n">
        <v>0</v>
      </c>
      <c r="K74" t="n">
        <v>0</v>
      </c>
      <c r="L74" t="n">
        <v>0</v>
      </c>
      <c r="M74" t="n">
        <v>0</v>
      </c>
      <c r="N74" t="n">
        <v>0</v>
      </c>
      <c r="O74" t="n">
        <v>0</v>
      </c>
      <c r="P74" t="n">
        <v>0</v>
      </c>
      <c r="Q74" t="n">
        <v>0</v>
      </c>
      <c r="R74" s="2" t="inlineStr"/>
    </row>
    <row r="75" ht="15" customHeight="1">
      <c r="A75" t="inlineStr">
        <is>
          <t>A 53812-2025</t>
        </is>
      </c>
      <c r="B75" s="1" t="n">
        <v>45960</v>
      </c>
      <c r="C75" s="1" t="n">
        <v>46130</v>
      </c>
      <c r="D75" t="inlineStr">
        <is>
          <t>UPPSALA LÄN</t>
        </is>
      </c>
      <c r="E75" t="inlineStr">
        <is>
          <t>KNIVSTA</t>
        </is>
      </c>
      <c r="G75" t="n">
        <v>5.8</v>
      </c>
      <c r="H75" t="n">
        <v>0</v>
      </c>
      <c r="I75" t="n">
        <v>0</v>
      </c>
      <c r="J75" t="n">
        <v>0</v>
      </c>
      <c r="K75" t="n">
        <v>0</v>
      </c>
      <c r="L75" t="n">
        <v>0</v>
      </c>
      <c r="M75" t="n">
        <v>0</v>
      </c>
      <c r="N75" t="n">
        <v>0</v>
      </c>
      <c r="O75" t="n">
        <v>0</v>
      </c>
      <c r="P75" t="n">
        <v>0</v>
      </c>
      <c r="Q75" t="n">
        <v>0</v>
      </c>
      <c r="R75" s="2" t="inlineStr"/>
    </row>
    <row r="76" ht="15" customHeight="1">
      <c r="A76" t="inlineStr">
        <is>
          <t>A 60243-2025</t>
        </is>
      </c>
      <c r="B76" s="1" t="n">
        <v>45994.58650462963</v>
      </c>
      <c r="C76" s="1" t="n">
        <v>46130</v>
      </c>
      <c r="D76" t="inlineStr">
        <is>
          <t>UPPSALA LÄN</t>
        </is>
      </c>
      <c r="E76" t="inlineStr">
        <is>
          <t>KNIVSTA</t>
        </is>
      </c>
      <c r="F76" t="inlineStr">
        <is>
          <t>Holmen skog AB</t>
        </is>
      </c>
      <c r="G76" t="n">
        <v>2.4</v>
      </c>
      <c r="H76" t="n">
        <v>0</v>
      </c>
      <c r="I76" t="n">
        <v>0</v>
      </c>
      <c r="J76" t="n">
        <v>0</v>
      </c>
      <c r="K76" t="n">
        <v>0</v>
      </c>
      <c r="L76" t="n">
        <v>0</v>
      </c>
      <c r="M76" t="n">
        <v>0</v>
      </c>
      <c r="N76" t="n">
        <v>0</v>
      </c>
      <c r="O76" t="n">
        <v>0</v>
      </c>
      <c r="P76" t="n">
        <v>0</v>
      </c>
      <c r="Q76" t="n">
        <v>0</v>
      </c>
      <c r="R76" s="2" t="inlineStr"/>
    </row>
    <row r="77" ht="15" customHeight="1">
      <c r="A77" t="inlineStr">
        <is>
          <t>A 66293-2021</t>
        </is>
      </c>
      <c r="B77" s="1" t="n">
        <v>44518</v>
      </c>
      <c r="C77" s="1" t="n">
        <v>46130</v>
      </c>
      <c r="D77" t="inlineStr">
        <is>
          <t>UPPSALA LÄN</t>
        </is>
      </c>
      <c r="E77" t="inlineStr">
        <is>
          <t>KNIVSTA</t>
        </is>
      </c>
      <c r="G77" t="n">
        <v>2.6</v>
      </c>
      <c r="H77" t="n">
        <v>0</v>
      </c>
      <c r="I77" t="n">
        <v>0</v>
      </c>
      <c r="J77" t="n">
        <v>0</v>
      </c>
      <c r="K77" t="n">
        <v>0</v>
      </c>
      <c r="L77" t="n">
        <v>0</v>
      </c>
      <c r="M77" t="n">
        <v>0</v>
      </c>
      <c r="N77" t="n">
        <v>0</v>
      </c>
      <c r="O77" t="n">
        <v>0</v>
      </c>
      <c r="P77" t="n">
        <v>0</v>
      </c>
      <c r="Q77" t="n">
        <v>0</v>
      </c>
      <c r="R77" s="2" t="inlineStr"/>
    </row>
    <row r="78" ht="15" customHeight="1">
      <c r="A78" t="inlineStr">
        <is>
          <t>A 5402-2023</t>
        </is>
      </c>
      <c r="B78" s="1" t="n">
        <v>44959</v>
      </c>
      <c r="C78" s="1" t="n">
        <v>46130</v>
      </c>
      <c r="D78" t="inlineStr">
        <is>
          <t>UPPSALA LÄN</t>
        </is>
      </c>
      <c r="E78" t="inlineStr">
        <is>
          <t>KNIVSTA</t>
        </is>
      </c>
      <c r="G78" t="n">
        <v>4.3</v>
      </c>
      <c r="H78" t="n">
        <v>0</v>
      </c>
      <c r="I78" t="n">
        <v>0</v>
      </c>
      <c r="J78" t="n">
        <v>0</v>
      </c>
      <c r="K78" t="n">
        <v>0</v>
      </c>
      <c r="L78" t="n">
        <v>0</v>
      </c>
      <c r="M78" t="n">
        <v>0</v>
      </c>
      <c r="N78" t="n">
        <v>0</v>
      </c>
      <c r="O78" t="n">
        <v>0</v>
      </c>
      <c r="P78" t="n">
        <v>0</v>
      </c>
      <c r="Q78" t="n">
        <v>0</v>
      </c>
      <c r="R78" s="2" t="inlineStr"/>
    </row>
    <row r="79" ht="15" customHeight="1">
      <c r="A79" t="inlineStr">
        <is>
          <t>A 662-2026</t>
        </is>
      </c>
      <c r="B79" s="1" t="n">
        <v>46029.58549768518</v>
      </c>
      <c r="C79" s="1" t="n">
        <v>46130</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666-2026</t>
        </is>
      </c>
      <c r="B80" s="1" t="n">
        <v>46029.58832175926</v>
      </c>
      <c r="C80" s="1" t="n">
        <v>46130</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46130</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19676-2025</t>
        </is>
      </c>
      <c r="B82" s="1" t="n">
        <v>45770</v>
      </c>
      <c r="C82" s="1" t="n">
        <v>46130</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8343-2024</t>
        </is>
      </c>
      <c r="B83" s="1" t="n">
        <v>45352</v>
      </c>
      <c r="C83" s="1" t="n">
        <v>46130</v>
      </c>
      <c r="D83" t="inlineStr">
        <is>
          <t>UPPSALA LÄN</t>
        </is>
      </c>
      <c r="E83" t="inlineStr">
        <is>
          <t>KNIVSTA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2952-2026</t>
        </is>
      </c>
      <c r="B84" s="1" t="n">
        <v>46037</v>
      </c>
      <c r="C84" s="1" t="n">
        <v>46130</v>
      </c>
      <c r="D84" t="inlineStr">
        <is>
          <t>UPPSALA LÄN</t>
        </is>
      </c>
      <c r="E84" t="inlineStr">
        <is>
          <t>KNIVSTA</t>
        </is>
      </c>
      <c r="G84" t="n">
        <v>2</v>
      </c>
      <c r="H84" t="n">
        <v>0</v>
      </c>
      <c r="I84" t="n">
        <v>0</v>
      </c>
      <c r="J84" t="n">
        <v>0</v>
      </c>
      <c r="K84" t="n">
        <v>0</v>
      </c>
      <c r="L84" t="n">
        <v>0</v>
      </c>
      <c r="M84" t="n">
        <v>0</v>
      </c>
      <c r="N84" t="n">
        <v>0</v>
      </c>
      <c r="O84" t="n">
        <v>0</v>
      </c>
      <c r="P84" t="n">
        <v>0</v>
      </c>
      <c r="Q84" t="n">
        <v>0</v>
      </c>
      <c r="R84" s="2" t="inlineStr"/>
    </row>
    <row r="85" ht="15" customHeight="1">
      <c r="A85" t="inlineStr">
        <is>
          <t>A 3016-2026</t>
        </is>
      </c>
      <c r="B85" s="1" t="n">
        <v>46038</v>
      </c>
      <c r="C85" s="1" t="n">
        <v>46130</v>
      </c>
      <c r="D85" t="inlineStr">
        <is>
          <t>UPPSALA LÄN</t>
        </is>
      </c>
      <c r="E85" t="inlineStr">
        <is>
          <t>KNIVSTA</t>
        </is>
      </c>
      <c r="G85" t="n">
        <v>0.9</v>
      </c>
      <c r="H85" t="n">
        <v>0</v>
      </c>
      <c r="I85" t="n">
        <v>0</v>
      </c>
      <c r="J85" t="n">
        <v>0</v>
      </c>
      <c r="K85" t="n">
        <v>0</v>
      </c>
      <c r="L85" t="n">
        <v>0</v>
      </c>
      <c r="M85" t="n">
        <v>0</v>
      </c>
      <c r="N85" t="n">
        <v>0</v>
      </c>
      <c r="O85" t="n">
        <v>0</v>
      </c>
      <c r="P85" t="n">
        <v>0</v>
      </c>
      <c r="Q85" t="n">
        <v>0</v>
      </c>
      <c r="R85" s="2" t="inlineStr"/>
    </row>
    <row r="86" ht="15" customHeight="1">
      <c r="A86" t="inlineStr">
        <is>
          <t>A 5276-2026</t>
        </is>
      </c>
      <c r="B86" s="1" t="n">
        <v>46037</v>
      </c>
      <c r="C86" s="1" t="n">
        <v>46130</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30627-2023</t>
        </is>
      </c>
      <c r="B87" s="1" t="n">
        <v>45112</v>
      </c>
      <c r="C87" s="1" t="n">
        <v>46130</v>
      </c>
      <c r="D87" t="inlineStr">
        <is>
          <t>UPPSALA LÄN</t>
        </is>
      </c>
      <c r="E87" t="inlineStr">
        <is>
          <t>KNIVSTA</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3015-2026</t>
        </is>
      </c>
      <c r="B88" s="1" t="n">
        <v>46038</v>
      </c>
      <c r="C88" s="1" t="n">
        <v>46130</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2944-2026</t>
        </is>
      </c>
      <c r="B89" s="1" t="n">
        <v>46037</v>
      </c>
      <c r="C89" s="1" t="n">
        <v>46130</v>
      </c>
      <c r="D89" t="inlineStr">
        <is>
          <t>UPPSALA LÄN</t>
        </is>
      </c>
      <c r="E89" t="inlineStr">
        <is>
          <t>KNIVSTA</t>
        </is>
      </c>
      <c r="G89" t="n">
        <v>4.7</v>
      </c>
      <c r="H89" t="n">
        <v>0</v>
      </c>
      <c r="I89" t="n">
        <v>0</v>
      </c>
      <c r="J89" t="n">
        <v>0</v>
      </c>
      <c r="K89" t="n">
        <v>0</v>
      </c>
      <c r="L89" t="n">
        <v>0</v>
      </c>
      <c r="M89" t="n">
        <v>0</v>
      </c>
      <c r="N89" t="n">
        <v>0</v>
      </c>
      <c r="O89" t="n">
        <v>0</v>
      </c>
      <c r="P89" t="n">
        <v>0</v>
      </c>
      <c r="Q89" t="n">
        <v>0</v>
      </c>
      <c r="R89" s="2" t="inlineStr"/>
    </row>
    <row r="90" ht="15" customHeight="1">
      <c r="A90" t="inlineStr">
        <is>
          <t>A 3375-2026</t>
        </is>
      </c>
      <c r="B90" s="1" t="n">
        <v>46042</v>
      </c>
      <c r="C90" s="1" t="n">
        <v>46130</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1629-2024</t>
        </is>
      </c>
      <c r="B91" s="1" t="n">
        <v>45306</v>
      </c>
      <c r="C91" s="1" t="n">
        <v>46130</v>
      </c>
      <c r="D91" t="inlineStr">
        <is>
          <t>UPPSALA LÄN</t>
        </is>
      </c>
      <c r="E91" t="inlineStr">
        <is>
          <t>KNIVSTA</t>
        </is>
      </c>
      <c r="F91" t="inlineStr">
        <is>
          <t>Holmen skog AB</t>
        </is>
      </c>
      <c r="G91" t="n">
        <v>3.6</v>
      </c>
      <c r="H91" t="n">
        <v>0</v>
      </c>
      <c r="I91" t="n">
        <v>0</v>
      </c>
      <c r="J91" t="n">
        <v>0</v>
      </c>
      <c r="K91" t="n">
        <v>0</v>
      </c>
      <c r="L91" t="n">
        <v>0</v>
      </c>
      <c r="M91" t="n">
        <v>0</v>
      </c>
      <c r="N91" t="n">
        <v>0</v>
      </c>
      <c r="O91" t="n">
        <v>0</v>
      </c>
      <c r="P91" t="n">
        <v>0</v>
      </c>
      <c r="Q91" t="n">
        <v>0</v>
      </c>
      <c r="R91" s="2" t="inlineStr"/>
    </row>
    <row r="92" ht="15" customHeight="1">
      <c r="A92" t="inlineStr">
        <is>
          <t>A 3824-2026</t>
        </is>
      </c>
      <c r="B92" s="1" t="n">
        <v>46043.58570601852</v>
      </c>
      <c r="C92" s="1" t="n">
        <v>46130</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3836-2026</t>
        </is>
      </c>
      <c r="B93" s="1" t="n">
        <v>46043.5925</v>
      </c>
      <c r="C93" s="1" t="n">
        <v>46130</v>
      </c>
      <c r="D93" t="inlineStr">
        <is>
          <t>UPPSALA LÄN</t>
        </is>
      </c>
      <c r="E93" t="inlineStr">
        <is>
          <t>KNIVSTA</t>
        </is>
      </c>
      <c r="G93" t="n">
        <v>3.7</v>
      </c>
      <c r="H93" t="n">
        <v>0</v>
      </c>
      <c r="I93" t="n">
        <v>0</v>
      </c>
      <c r="J93" t="n">
        <v>0</v>
      </c>
      <c r="K93" t="n">
        <v>0</v>
      </c>
      <c r="L93" t="n">
        <v>0</v>
      </c>
      <c r="M93" t="n">
        <v>0</v>
      </c>
      <c r="N93" t="n">
        <v>0</v>
      </c>
      <c r="O93" t="n">
        <v>0</v>
      </c>
      <c r="P93" t="n">
        <v>0</v>
      </c>
      <c r="Q93" t="n">
        <v>0</v>
      </c>
      <c r="R93" s="2" t="inlineStr"/>
    </row>
    <row r="94" ht="15" customHeight="1">
      <c r="A94" t="inlineStr">
        <is>
          <t>A 13011-2026</t>
        </is>
      </c>
      <c r="B94" s="1" t="n">
        <v>46092.71887731482</v>
      </c>
      <c r="C94" s="1" t="n">
        <v>46130</v>
      </c>
      <c r="D94" t="inlineStr">
        <is>
          <t>UPPSALA LÄN</t>
        </is>
      </c>
      <c r="E94" t="inlineStr">
        <is>
          <t>KNIVSTA</t>
        </is>
      </c>
      <c r="F94" t="inlineStr">
        <is>
          <t>Holmen skog AB</t>
        </is>
      </c>
      <c r="G94" t="n">
        <v>1.9</v>
      </c>
      <c r="H94" t="n">
        <v>0</v>
      </c>
      <c r="I94" t="n">
        <v>0</v>
      </c>
      <c r="J94" t="n">
        <v>0</v>
      </c>
      <c r="K94" t="n">
        <v>0</v>
      </c>
      <c r="L94" t="n">
        <v>0</v>
      </c>
      <c r="M94" t="n">
        <v>0</v>
      </c>
      <c r="N94" t="n">
        <v>0</v>
      </c>
      <c r="O94" t="n">
        <v>0</v>
      </c>
      <c r="P94" t="n">
        <v>0</v>
      </c>
      <c r="Q94" t="n">
        <v>0</v>
      </c>
      <c r="R94" s="2" t="inlineStr"/>
      <c r="U94">
        <f>HYPERLINK("https://klasma.github.io/Logging_0330/knärot/A 13011-2026 karta knärot.png", "A 13011-2026")</f>
        <v/>
      </c>
      <c r="V94">
        <f>HYPERLINK("https://klasma.github.io/Logging_0330/klagomål/A 13011-2026 FSC-klagomål.docx", "A 13011-2026")</f>
        <v/>
      </c>
      <c r="W94">
        <f>HYPERLINK("https://klasma.github.io/Logging_0330/klagomålsmail/A 13011-2026 FSC-klagomål mail.docx", "A 13011-2026")</f>
        <v/>
      </c>
      <c r="X94">
        <f>HYPERLINK("https://klasma.github.io/Logging_0330/tillsyn/A 13011-2026 tillsynsbegäran.docx", "A 13011-2026")</f>
        <v/>
      </c>
      <c r="Y94">
        <f>HYPERLINK("https://klasma.github.io/Logging_0330/tillsynsmail/A 13011-2026 tillsynsbegäran mail.docx", "A 13011-2026")</f>
        <v/>
      </c>
    </row>
    <row r="95" ht="15" customHeight="1">
      <c r="A95" t="inlineStr">
        <is>
          <t>A 13013-2026</t>
        </is>
      </c>
      <c r="B95" s="1" t="n">
        <v>46092.7271412037</v>
      </c>
      <c r="C95" s="1" t="n">
        <v>46130</v>
      </c>
      <c r="D95" t="inlineStr">
        <is>
          <t>UPPSALA LÄN</t>
        </is>
      </c>
      <c r="E95" t="inlineStr">
        <is>
          <t>KNIVSTA</t>
        </is>
      </c>
      <c r="F95" t="inlineStr">
        <is>
          <t>Holmen skog AB</t>
        </is>
      </c>
      <c r="G95" t="n">
        <v>4.6</v>
      </c>
      <c r="H95" t="n">
        <v>0</v>
      </c>
      <c r="I95" t="n">
        <v>0</v>
      </c>
      <c r="J95" t="n">
        <v>0</v>
      </c>
      <c r="K95" t="n">
        <v>0</v>
      </c>
      <c r="L95" t="n">
        <v>0</v>
      </c>
      <c r="M95" t="n">
        <v>0</v>
      </c>
      <c r="N95" t="n">
        <v>0</v>
      </c>
      <c r="O95" t="n">
        <v>0</v>
      </c>
      <c r="P95" t="n">
        <v>0</v>
      </c>
      <c r="Q95" t="n">
        <v>0</v>
      </c>
      <c r="R95" s="2" t="inlineStr"/>
    </row>
    <row r="96" ht="15" customHeight="1">
      <c r="A96" t="inlineStr">
        <is>
          <t>A 12991-2026</t>
        </is>
      </c>
      <c r="B96" s="1" t="n">
        <v>46092.66820601852</v>
      </c>
      <c r="C96" s="1" t="n">
        <v>46130</v>
      </c>
      <c r="D96" t="inlineStr">
        <is>
          <t>UPPSALA LÄN</t>
        </is>
      </c>
      <c r="E96" t="inlineStr">
        <is>
          <t>KNIVSTA</t>
        </is>
      </c>
      <c r="F96" t="inlineStr">
        <is>
          <t>Holmen skog AB</t>
        </is>
      </c>
      <c r="G96" t="n">
        <v>4.6</v>
      </c>
      <c r="H96" t="n">
        <v>0</v>
      </c>
      <c r="I96" t="n">
        <v>0</v>
      </c>
      <c r="J96" t="n">
        <v>0</v>
      </c>
      <c r="K96" t="n">
        <v>0</v>
      </c>
      <c r="L96" t="n">
        <v>0</v>
      </c>
      <c r="M96" t="n">
        <v>0</v>
      </c>
      <c r="N96" t="n">
        <v>0</v>
      </c>
      <c r="O96" t="n">
        <v>0</v>
      </c>
      <c r="P96" t="n">
        <v>0</v>
      </c>
      <c r="Q96" t="n">
        <v>0</v>
      </c>
      <c r="R96" s="2" t="inlineStr"/>
    </row>
    <row r="97" ht="15" customHeight="1">
      <c r="A97" t="inlineStr">
        <is>
          <t>A 13005-2026</t>
        </is>
      </c>
      <c r="B97" s="1" t="n">
        <v>46092.69429398148</v>
      </c>
      <c r="C97" s="1" t="n">
        <v>46130</v>
      </c>
      <c r="D97" t="inlineStr">
        <is>
          <t>UPPSALA LÄN</t>
        </is>
      </c>
      <c r="E97" t="inlineStr">
        <is>
          <t>KNIVSTA</t>
        </is>
      </c>
      <c r="F97" t="inlineStr">
        <is>
          <t>Holmen skog AB</t>
        </is>
      </c>
      <c r="G97" t="n">
        <v>3</v>
      </c>
      <c r="H97" t="n">
        <v>0</v>
      </c>
      <c r="I97" t="n">
        <v>0</v>
      </c>
      <c r="J97" t="n">
        <v>0</v>
      </c>
      <c r="K97" t="n">
        <v>0</v>
      </c>
      <c r="L97" t="n">
        <v>0</v>
      </c>
      <c r="M97" t="n">
        <v>0</v>
      </c>
      <c r="N97" t="n">
        <v>0</v>
      </c>
      <c r="O97" t="n">
        <v>0</v>
      </c>
      <c r="P97" t="n">
        <v>0</v>
      </c>
      <c r="Q97" t="n">
        <v>0</v>
      </c>
      <c r="R97" s="2" t="inlineStr"/>
    </row>
    <row r="98" ht="15" customHeight="1">
      <c r="A98" t="inlineStr">
        <is>
          <t>A 13016-2026</t>
        </is>
      </c>
      <c r="B98" s="1" t="n">
        <v>46092.73381944445</v>
      </c>
      <c r="C98" s="1" t="n">
        <v>46130</v>
      </c>
      <c r="D98" t="inlineStr">
        <is>
          <t>UPPSALA LÄN</t>
        </is>
      </c>
      <c r="E98" t="inlineStr">
        <is>
          <t>KNIVSTA</t>
        </is>
      </c>
      <c r="F98" t="inlineStr">
        <is>
          <t>Holmen skog AB</t>
        </is>
      </c>
      <c r="G98" t="n">
        <v>1.5</v>
      </c>
      <c r="H98" t="n">
        <v>0</v>
      </c>
      <c r="I98" t="n">
        <v>0</v>
      </c>
      <c r="J98" t="n">
        <v>0</v>
      </c>
      <c r="K98" t="n">
        <v>0</v>
      </c>
      <c r="L98" t="n">
        <v>0</v>
      </c>
      <c r="M98" t="n">
        <v>0</v>
      </c>
      <c r="N98" t="n">
        <v>0</v>
      </c>
      <c r="O98" t="n">
        <v>0</v>
      </c>
      <c r="P98" t="n">
        <v>0</v>
      </c>
      <c r="Q98" t="n">
        <v>0</v>
      </c>
      <c r="R98" s="2" t="inlineStr"/>
    </row>
    <row r="99" ht="15" customHeight="1">
      <c r="A99" t="inlineStr">
        <is>
          <t>A 12774-2026</t>
        </is>
      </c>
      <c r="B99" s="1" t="n">
        <v>46091.70140046296</v>
      </c>
      <c r="C99" s="1" t="n">
        <v>46130</v>
      </c>
      <c r="D99" t="inlineStr">
        <is>
          <t>UPPSALA LÄN</t>
        </is>
      </c>
      <c r="E99" t="inlineStr">
        <is>
          <t>KNIVSTA</t>
        </is>
      </c>
      <c r="F99" t="inlineStr">
        <is>
          <t>Holmen skog AB</t>
        </is>
      </c>
      <c r="G99" t="n">
        <v>3.3</v>
      </c>
      <c r="H99" t="n">
        <v>0</v>
      </c>
      <c r="I99" t="n">
        <v>0</v>
      </c>
      <c r="J99" t="n">
        <v>0</v>
      </c>
      <c r="K99" t="n">
        <v>0</v>
      </c>
      <c r="L99" t="n">
        <v>0</v>
      </c>
      <c r="M99" t="n">
        <v>0</v>
      </c>
      <c r="N99" t="n">
        <v>0</v>
      </c>
      <c r="O99" t="n">
        <v>0</v>
      </c>
      <c r="P99" t="n">
        <v>0</v>
      </c>
      <c r="Q99" t="n">
        <v>0</v>
      </c>
      <c r="R99" s="2" t="inlineStr"/>
    </row>
    <row r="100" ht="15" customHeight="1">
      <c r="A100" t="inlineStr">
        <is>
          <t>A 13001-2026</t>
        </is>
      </c>
      <c r="B100" s="1" t="n">
        <v>46092.68502314815</v>
      </c>
      <c r="C100" s="1" t="n">
        <v>46130</v>
      </c>
      <c r="D100" t="inlineStr">
        <is>
          <t>UPPSALA LÄN</t>
        </is>
      </c>
      <c r="E100" t="inlineStr">
        <is>
          <t>KNIVSTA</t>
        </is>
      </c>
      <c r="F100" t="inlineStr">
        <is>
          <t>Holmen skog AB</t>
        </is>
      </c>
      <c r="G100" t="n">
        <v>2.9</v>
      </c>
      <c r="H100" t="n">
        <v>0</v>
      </c>
      <c r="I100" t="n">
        <v>0</v>
      </c>
      <c r="J100" t="n">
        <v>0</v>
      </c>
      <c r="K100" t="n">
        <v>0</v>
      </c>
      <c r="L100" t="n">
        <v>0</v>
      </c>
      <c r="M100" t="n">
        <v>0</v>
      </c>
      <c r="N100" t="n">
        <v>0</v>
      </c>
      <c r="O100" t="n">
        <v>0</v>
      </c>
      <c r="P100" t="n">
        <v>0</v>
      </c>
      <c r="Q100" t="n">
        <v>0</v>
      </c>
      <c r="R100" s="2" t="inlineStr"/>
    </row>
    <row r="101" ht="15" customHeight="1">
      <c r="A101" t="inlineStr">
        <is>
          <t>A 60885-2021</t>
        </is>
      </c>
      <c r="B101" s="1" t="n">
        <v>44497</v>
      </c>
      <c r="C101" s="1" t="n">
        <v>46130</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5908-2026</t>
        </is>
      </c>
      <c r="B102" s="1" t="n">
        <v>46052.44399305555</v>
      </c>
      <c r="C102" s="1" t="n">
        <v>46130</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5910-2026</t>
        </is>
      </c>
      <c r="B103" s="1" t="n">
        <v>46052.44677083333</v>
      </c>
      <c r="C103" s="1" t="n">
        <v>46130</v>
      </c>
      <c r="D103" t="inlineStr">
        <is>
          <t>UPPSALA LÄN</t>
        </is>
      </c>
      <c r="E103" t="inlineStr">
        <is>
          <t>KNIVSTA</t>
        </is>
      </c>
      <c r="G103" t="n">
        <v>0.6</v>
      </c>
      <c r="H103" t="n">
        <v>0</v>
      </c>
      <c r="I103" t="n">
        <v>0</v>
      </c>
      <c r="J103" t="n">
        <v>0</v>
      </c>
      <c r="K103" t="n">
        <v>0</v>
      </c>
      <c r="L103" t="n">
        <v>0</v>
      </c>
      <c r="M103" t="n">
        <v>0</v>
      </c>
      <c r="N103" t="n">
        <v>0</v>
      </c>
      <c r="O103" t="n">
        <v>0</v>
      </c>
      <c r="P103" t="n">
        <v>0</v>
      </c>
      <c r="Q103" t="n">
        <v>0</v>
      </c>
      <c r="R103" s="2" t="inlineStr"/>
    </row>
    <row r="104" ht="15" customHeight="1">
      <c r="A104" t="inlineStr">
        <is>
          <t>A 3191-2024</t>
        </is>
      </c>
      <c r="B104" s="1" t="n">
        <v>45316.67186342592</v>
      </c>
      <c r="C104" s="1" t="n">
        <v>46130</v>
      </c>
      <c r="D104" t="inlineStr">
        <is>
          <t>UPPSALA LÄN</t>
        </is>
      </c>
      <c r="E104" t="inlineStr">
        <is>
          <t>KNIVSTA</t>
        </is>
      </c>
      <c r="G104" t="n">
        <v>0.6</v>
      </c>
      <c r="H104" t="n">
        <v>0</v>
      </c>
      <c r="I104" t="n">
        <v>0</v>
      </c>
      <c r="J104" t="n">
        <v>0</v>
      </c>
      <c r="K104" t="n">
        <v>0</v>
      </c>
      <c r="L104" t="n">
        <v>0</v>
      </c>
      <c r="M104" t="n">
        <v>0</v>
      </c>
      <c r="N104" t="n">
        <v>0</v>
      </c>
      <c r="O104" t="n">
        <v>0</v>
      </c>
      <c r="P104" t="n">
        <v>0</v>
      </c>
      <c r="Q104" t="n">
        <v>0</v>
      </c>
      <c r="R104" s="2" t="inlineStr"/>
    </row>
    <row r="105" ht="15" customHeight="1">
      <c r="A105" t="inlineStr">
        <is>
          <t>A 45525-2023</t>
        </is>
      </c>
      <c r="B105" s="1" t="n">
        <v>45194</v>
      </c>
      <c r="C105" s="1" t="n">
        <v>46130</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16773-2022</t>
        </is>
      </c>
      <c r="B106" s="1" t="n">
        <v>44673</v>
      </c>
      <c r="C106" s="1" t="n">
        <v>46130</v>
      </c>
      <c r="D106" t="inlineStr">
        <is>
          <t>UPPSALA LÄN</t>
        </is>
      </c>
      <c r="E106" t="inlineStr">
        <is>
          <t>KNIVSTA</t>
        </is>
      </c>
      <c r="G106" t="n">
        <v>1.9</v>
      </c>
      <c r="H106" t="n">
        <v>0</v>
      </c>
      <c r="I106" t="n">
        <v>0</v>
      </c>
      <c r="J106" t="n">
        <v>0</v>
      </c>
      <c r="K106" t="n">
        <v>0</v>
      </c>
      <c r="L106" t="n">
        <v>0</v>
      </c>
      <c r="M106" t="n">
        <v>0</v>
      </c>
      <c r="N106" t="n">
        <v>0</v>
      </c>
      <c r="O106" t="n">
        <v>0</v>
      </c>
      <c r="P106" t="n">
        <v>0</v>
      </c>
      <c r="Q106" t="n">
        <v>0</v>
      </c>
      <c r="R106" s="2" t="inlineStr"/>
    </row>
    <row r="107" ht="15" customHeight="1">
      <c r="A107" t="inlineStr">
        <is>
          <t>A 30764-2023</t>
        </is>
      </c>
      <c r="B107" s="1" t="n">
        <v>45112</v>
      </c>
      <c r="C107" s="1" t="n">
        <v>46130</v>
      </c>
      <c r="D107" t="inlineStr">
        <is>
          <t>UPPSALA LÄN</t>
        </is>
      </c>
      <c r="E107" t="inlineStr">
        <is>
          <t>KNIVSTA</t>
        </is>
      </c>
      <c r="F107" t="inlineStr">
        <is>
          <t>Holmen skog AB</t>
        </is>
      </c>
      <c r="G107" t="n">
        <v>0.9</v>
      </c>
      <c r="H107" t="n">
        <v>0</v>
      </c>
      <c r="I107" t="n">
        <v>0</v>
      </c>
      <c r="J107" t="n">
        <v>0</v>
      </c>
      <c r="K107" t="n">
        <v>0</v>
      </c>
      <c r="L107" t="n">
        <v>0</v>
      </c>
      <c r="M107" t="n">
        <v>0</v>
      </c>
      <c r="N107" t="n">
        <v>0</v>
      </c>
      <c r="O107" t="n">
        <v>0</v>
      </c>
      <c r="P107" t="n">
        <v>0</v>
      </c>
      <c r="Q107" t="n">
        <v>0</v>
      </c>
      <c r="R107" s="2" t="inlineStr"/>
    </row>
    <row r="108" ht="15" customHeight="1">
      <c r="A108" t="inlineStr">
        <is>
          <t>A 51849-2023</t>
        </is>
      </c>
      <c r="B108" s="1" t="n">
        <v>45223.34391203704</v>
      </c>
      <c r="C108" s="1" t="n">
        <v>46130</v>
      </c>
      <c r="D108" t="inlineStr">
        <is>
          <t>UPPSALA LÄN</t>
        </is>
      </c>
      <c r="E108" t="inlineStr">
        <is>
          <t>KNIVSTA</t>
        </is>
      </c>
      <c r="G108" t="n">
        <v>16.3</v>
      </c>
      <c r="H108" t="n">
        <v>0</v>
      </c>
      <c r="I108" t="n">
        <v>0</v>
      </c>
      <c r="J108" t="n">
        <v>0</v>
      </c>
      <c r="K108" t="n">
        <v>0</v>
      </c>
      <c r="L108" t="n">
        <v>0</v>
      </c>
      <c r="M108" t="n">
        <v>0</v>
      </c>
      <c r="N108" t="n">
        <v>0</v>
      </c>
      <c r="O108" t="n">
        <v>0</v>
      </c>
      <c r="P108" t="n">
        <v>0</v>
      </c>
      <c r="Q108" t="n">
        <v>0</v>
      </c>
      <c r="R108" s="2" t="inlineStr"/>
    </row>
    <row r="109" ht="15" customHeight="1">
      <c r="A109" t="inlineStr">
        <is>
          <t>A 60018-2024</t>
        </is>
      </c>
      <c r="B109" s="1" t="n">
        <v>45642</v>
      </c>
      <c r="C109" s="1" t="n">
        <v>46130</v>
      </c>
      <c r="D109" t="inlineStr">
        <is>
          <t>UPPSALA LÄN</t>
        </is>
      </c>
      <c r="E109" t="inlineStr">
        <is>
          <t>KNIVSTA</t>
        </is>
      </c>
      <c r="G109" t="n">
        <v>4.1</v>
      </c>
      <c r="H109" t="n">
        <v>0</v>
      </c>
      <c r="I109" t="n">
        <v>0</v>
      </c>
      <c r="J109" t="n">
        <v>0</v>
      </c>
      <c r="K109" t="n">
        <v>0</v>
      </c>
      <c r="L109" t="n">
        <v>0</v>
      </c>
      <c r="M109" t="n">
        <v>0</v>
      </c>
      <c r="N109" t="n">
        <v>0</v>
      </c>
      <c r="O109" t="n">
        <v>0</v>
      </c>
      <c r="P109" t="n">
        <v>0</v>
      </c>
      <c r="Q109" t="n">
        <v>0</v>
      </c>
      <c r="R109" s="2" t="inlineStr"/>
    </row>
    <row r="110" ht="15" customHeight="1">
      <c r="A110" t="inlineStr">
        <is>
          <t>A 9744-2026</t>
        </is>
      </c>
      <c r="B110" s="1" t="n">
        <v>46072.51857638889</v>
      </c>
      <c r="C110" s="1" t="n">
        <v>46130</v>
      </c>
      <c r="D110" t="inlineStr">
        <is>
          <t>UPPSALA LÄN</t>
        </is>
      </c>
      <c r="E110" t="inlineStr">
        <is>
          <t>KNIVSTA</t>
        </is>
      </c>
      <c r="G110" t="n">
        <v>2.4</v>
      </c>
      <c r="H110" t="n">
        <v>0</v>
      </c>
      <c r="I110" t="n">
        <v>0</v>
      </c>
      <c r="J110" t="n">
        <v>0</v>
      </c>
      <c r="K110" t="n">
        <v>0</v>
      </c>
      <c r="L110" t="n">
        <v>0</v>
      </c>
      <c r="M110" t="n">
        <v>0</v>
      </c>
      <c r="N110" t="n">
        <v>0</v>
      </c>
      <c r="O110" t="n">
        <v>0</v>
      </c>
      <c r="P110" t="n">
        <v>0</v>
      </c>
      <c r="Q110" t="n">
        <v>0</v>
      </c>
      <c r="R110" s="2" t="inlineStr"/>
    </row>
    <row r="111" ht="15" customHeight="1">
      <c r="A111" t="inlineStr">
        <is>
          <t>A 17333-2024</t>
        </is>
      </c>
      <c r="B111" s="1" t="n">
        <v>45414.5625462963</v>
      </c>
      <c r="C111" s="1" t="n">
        <v>46130</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1791-2024</t>
        </is>
      </c>
      <c r="B112" s="1" t="n">
        <v>45307.574375</v>
      </c>
      <c r="C112" s="1" t="n">
        <v>46130</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18576-2026</t>
        </is>
      </c>
      <c r="B113" s="1" t="n">
        <v>46127.60626157407</v>
      </c>
      <c r="C113" s="1" t="n">
        <v>46130</v>
      </c>
      <c r="D113" t="inlineStr">
        <is>
          <t>UPPSALA LÄN</t>
        </is>
      </c>
      <c r="E113" t="inlineStr">
        <is>
          <t>KNIVSTA</t>
        </is>
      </c>
      <c r="G113" t="n">
        <v>4.8</v>
      </c>
      <c r="H113" t="n">
        <v>0</v>
      </c>
      <c r="I113" t="n">
        <v>0</v>
      </c>
      <c r="J113" t="n">
        <v>0</v>
      </c>
      <c r="K113" t="n">
        <v>0</v>
      </c>
      <c r="L113" t="n">
        <v>0</v>
      </c>
      <c r="M113" t="n">
        <v>0</v>
      </c>
      <c r="N113" t="n">
        <v>0</v>
      </c>
      <c r="O113" t="n">
        <v>0</v>
      </c>
      <c r="P113" t="n">
        <v>0</v>
      </c>
      <c r="Q113" t="n">
        <v>0</v>
      </c>
      <c r="R113" s="2" t="inlineStr"/>
    </row>
    <row r="114" ht="15" customHeight="1">
      <c r="A114" t="inlineStr">
        <is>
          <t>A 66305-2021</t>
        </is>
      </c>
      <c r="B114" s="1" t="n">
        <v>44518</v>
      </c>
      <c r="C114" s="1" t="n">
        <v>46130</v>
      </c>
      <c r="D114" t="inlineStr">
        <is>
          <t>UPPSALA LÄN</t>
        </is>
      </c>
      <c r="E114" t="inlineStr">
        <is>
          <t>KNIVSTA</t>
        </is>
      </c>
      <c r="G114" t="n">
        <v>8.300000000000001</v>
      </c>
      <c r="H114" t="n">
        <v>0</v>
      </c>
      <c r="I114" t="n">
        <v>0</v>
      </c>
      <c r="J114" t="n">
        <v>0</v>
      </c>
      <c r="K114" t="n">
        <v>0</v>
      </c>
      <c r="L114" t="n">
        <v>0</v>
      </c>
      <c r="M114" t="n">
        <v>0</v>
      </c>
      <c r="N114" t="n">
        <v>0</v>
      </c>
      <c r="O114" t="n">
        <v>0</v>
      </c>
      <c r="P114" t="n">
        <v>0</v>
      </c>
      <c r="Q114" t="n">
        <v>0</v>
      </c>
      <c r="R114" s="2" t="inlineStr"/>
    </row>
    <row r="115" ht="15" customHeight="1">
      <c r="A115" t="inlineStr">
        <is>
          <t>A 12027-2026</t>
        </is>
      </c>
      <c r="B115" s="1" t="n">
        <v>46085.84549768519</v>
      </c>
      <c r="C115" s="1" t="n">
        <v>46130</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2628-2025</t>
        </is>
      </c>
      <c r="B116" s="1" t="n">
        <v>45675.68435185185</v>
      </c>
      <c r="C116" s="1" t="n">
        <v>46130</v>
      </c>
      <c r="D116" t="inlineStr">
        <is>
          <t>UPPSALA LÄN</t>
        </is>
      </c>
      <c r="E116" t="inlineStr">
        <is>
          <t>KNIVSTA</t>
        </is>
      </c>
      <c r="G116" t="n">
        <v>2.9</v>
      </c>
      <c r="H116" t="n">
        <v>0</v>
      </c>
      <c r="I116" t="n">
        <v>0</v>
      </c>
      <c r="J116" t="n">
        <v>0</v>
      </c>
      <c r="K116" t="n">
        <v>0</v>
      </c>
      <c r="L116" t="n">
        <v>0</v>
      </c>
      <c r="M116" t="n">
        <v>0</v>
      </c>
      <c r="N116" t="n">
        <v>0</v>
      </c>
      <c r="O116" t="n">
        <v>0</v>
      </c>
      <c r="P116" t="n">
        <v>0</v>
      </c>
      <c r="Q116" t="n">
        <v>0</v>
      </c>
      <c r="R116" s="2" t="inlineStr"/>
    </row>
    <row r="117" ht="15" customHeight="1">
      <c r="A117" t="inlineStr">
        <is>
          <t>A 11452-2023</t>
        </is>
      </c>
      <c r="B117" s="1" t="n">
        <v>44993</v>
      </c>
      <c r="C117" s="1" t="n">
        <v>46130</v>
      </c>
      <c r="D117" t="inlineStr">
        <is>
          <t>UPPSALA LÄN</t>
        </is>
      </c>
      <c r="E117" t="inlineStr">
        <is>
          <t>KNIVSTA</t>
        </is>
      </c>
      <c r="G117" t="n">
        <v>2.5</v>
      </c>
      <c r="H117" t="n">
        <v>0</v>
      </c>
      <c r="I117" t="n">
        <v>0</v>
      </c>
      <c r="J117" t="n">
        <v>0</v>
      </c>
      <c r="K117" t="n">
        <v>0</v>
      </c>
      <c r="L117" t="n">
        <v>0</v>
      </c>
      <c r="M117" t="n">
        <v>0</v>
      </c>
      <c r="N117" t="n">
        <v>0</v>
      </c>
      <c r="O117" t="n">
        <v>0</v>
      </c>
      <c r="P117" t="n">
        <v>0</v>
      </c>
      <c r="Q117" t="n">
        <v>0</v>
      </c>
      <c r="R117" s="2" t="inlineStr"/>
    </row>
    <row r="118" ht="15" customHeight="1">
      <c r="A118" t="inlineStr">
        <is>
          <t>A 43908-2023</t>
        </is>
      </c>
      <c r="B118" s="1" t="n">
        <v>45187</v>
      </c>
      <c r="C118" s="1" t="n">
        <v>46130</v>
      </c>
      <c r="D118" t="inlineStr">
        <is>
          <t>UPPSALA LÄN</t>
        </is>
      </c>
      <c r="E118" t="inlineStr">
        <is>
          <t>KNIVSTA</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34078-2022</t>
        </is>
      </c>
      <c r="B119" s="1" t="n">
        <v>44791</v>
      </c>
      <c r="C119" s="1" t="n">
        <v>46130</v>
      </c>
      <c r="D119" t="inlineStr">
        <is>
          <t>UPPSALA LÄN</t>
        </is>
      </c>
      <c r="E119" t="inlineStr">
        <is>
          <t>KNIVSTA</t>
        </is>
      </c>
      <c r="F119" t="inlineStr">
        <is>
          <t>Övriga statliga verk och myndigheter</t>
        </is>
      </c>
      <c r="G119" t="n">
        <v>1.8</v>
      </c>
      <c r="H119" t="n">
        <v>0</v>
      </c>
      <c r="I119" t="n">
        <v>0</v>
      </c>
      <c r="J119" t="n">
        <v>0</v>
      </c>
      <c r="K119" t="n">
        <v>0</v>
      </c>
      <c r="L119" t="n">
        <v>0</v>
      </c>
      <c r="M119" t="n">
        <v>0</v>
      </c>
      <c r="N119" t="n">
        <v>0</v>
      </c>
      <c r="O119" t="n">
        <v>0</v>
      </c>
      <c r="P119" t="n">
        <v>0</v>
      </c>
      <c r="Q119" t="n">
        <v>0</v>
      </c>
      <c r="R119" s="2" t="inlineStr"/>
    </row>
    <row r="120" ht="15" customHeight="1">
      <c r="A120" t="inlineStr">
        <is>
          <t>A 26182-2022</t>
        </is>
      </c>
      <c r="B120" s="1" t="n">
        <v>44735</v>
      </c>
      <c r="C120" s="1" t="n">
        <v>46130</v>
      </c>
      <c r="D120" t="inlineStr">
        <is>
          <t>UPPSALA LÄN</t>
        </is>
      </c>
      <c r="E120" t="inlineStr">
        <is>
          <t>KNIVSTA</t>
        </is>
      </c>
      <c r="G120" t="n">
        <v>3.8</v>
      </c>
      <c r="H120" t="n">
        <v>0</v>
      </c>
      <c r="I120" t="n">
        <v>0</v>
      </c>
      <c r="J120" t="n">
        <v>0</v>
      </c>
      <c r="K120" t="n">
        <v>0</v>
      </c>
      <c r="L120" t="n">
        <v>0</v>
      </c>
      <c r="M120" t="n">
        <v>0</v>
      </c>
      <c r="N120" t="n">
        <v>0</v>
      </c>
      <c r="O120" t="n">
        <v>0</v>
      </c>
      <c r="P120" t="n">
        <v>0</v>
      </c>
      <c r="Q120" t="n">
        <v>0</v>
      </c>
      <c r="R120" s="2" t="inlineStr"/>
    </row>
    <row r="121" ht="15" customHeight="1">
      <c r="A121" t="inlineStr">
        <is>
          <t>A 20505-2021</t>
        </is>
      </c>
      <c r="B121" s="1" t="n">
        <v>44313</v>
      </c>
      <c r="C121" s="1" t="n">
        <v>46130</v>
      </c>
      <c r="D121" t="inlineStr">
        <is>
          <t>UPPSALA LÄN</t>
        </is>
      </c>
      <c r="E121" t="inlineStr">
        <is>
          <t>KNIVSTA</t>
        </is>
      </c>
      <c r="G121" t="n">
        <v>2.9</v>
      </c>
      <c r="H121" t="n">
        <v>0</v>
      </c>
      <c r="I121" t="n">
        <v>0</v>
      </c>
      <c r="J121" t="n">
        <v>0</v>
      </c>
      <c r="K121" t="n">
        <v>0</v>
      </c>
      <c r="L121" t="n">
        <v>0</v>
      </c>
      <c r="M121" t="n">
        <v>0</v>
      </c>
      <c r="N121" t="n">
        <v>0</v>
      </c>
      <c r="O121" t="n">
        <v>0</v>
      </c>
      <c r="P121" t="n">
        <v>0</v>
      </c>
      <c r="Q121" t="n">
        <v>0</v>
      </c>
      <c r="R121" s="2" t="inlineStr"/>
    </row>
    <row r="122" ht="15" customHeight="1">
      <c r="A122" t="inlineStr">
        <is>
          <t>A 2629-2025</t>
        </is>
      </c>
      <c r="B122" s="1" t="n">
        <v>45675.6953587963</v>
      </c>
      <c r="C122" s="1" t="n">
        <v>46130</v>
      </c>
      <c r="D122" t="inlineStr">
        <is>
          <t>UPPSALA LÄN</t>
        </is>
      </c>
      <c r="E122" t="inlineStr">
        <is>
          <t>KNIVSTA</t>
        </is>
      </c>
      <c r="G122" t="n">
        <v>1.1</v>
      </c>
      <c r="H122" t="n">
        <v>0</v>
      </c>
      <c r="I122" t="n">
        <v>0</v>
      </c>
      <c r="J122" t="n">
        <v>0</v>
      </c>
      <c r="K122" t="n">
        <v>0</v>
      </c>
      <c r="L122" t="n">
        <v>0</v>
      </c>
      <c r="M122" t="n">
        <v>0</v>
      </c>
      <c r="N122" t="n">
        <v>0</v>
      </c>
      <c r="O122" t="n">
        <v>0</v>
      </c>
      <c r="P122" t="n">
        <v>0</v>
      </c>
      <c r="Q122" t="n">
        <v>0</v>
      </c>
      <c r="R122" s="2" t="inlineStr"/>
    </row>
    <row r="123" ht="15" customHeight="1">
      <c r="A123" t="inlineStr">
        <is>
          <t>A 5320-2023</t>
        </is>
      </c>
      <c r="B123" s="1" t="n">
        <v>44959</v>
      </c>
      <c r="C123" s="1" t="n">
        <v>46130</v>
      </c>
      <c r="D123" t="inlineStr">
        <is>
          <t>UPPSALA LÄN</t>
        </is>
      </c>
      <c r="E123" t="inlineStr">
        <is>
          <t>KNIVSTA</t>
        </is>
      </c>
      <c r="G123" t="n">
        <v>1.5</v>
      </c>
      <c r="H123" t="n">
        <v>0</v>
      </c>
      <c r="I123" t="n">
        <v>0</v>
      </c>
      <c r="J123" t="n">
        <v>0</v>
      </c>
      <c r="K123" t="n">
        <v>0</v>
      </c>
      <c r="L123" t="n">
        <v>0</v>
      </c>
      <c r="M123" t="n">
        <v>0</v>
      </c>
      <c r="N123" t="n">
        <v>0</v>
      </c>
      <c r="O123" t="n">
        <v>0</v>
      </c>
      <c r="P123" t="n">
        <v>0</v>
      </c>
      <c r="Q123" t="n">
        <v>0</v>
      </c>
      <c r="R123" s="2" t="inlineStr"/>
    </row>
    <row r="124" ht="15" customHeight="1">
      <c r="A124" t="inlineStr">
        <is>
          <t>A 45916-2022</t>
        </is>
      </c>
      <c r="B124" s="1" t="n">
        <v>44846</v>
      </c>
      <c r="C124" s="1" t="n">
        <v>46130</v>
      </c>
      <c r="D124" t="inlineStr">
        <is>
          <t>UPPSALA LÄN</t>
        </is>
      </c>
      <c r="E124" t="inlineStr">
        <is>
          <t>KNIVSTA</t>
        </is>
      </c>
      <c r="G124" t="n">
        <v>3.8</v>
      </c>
      <c r="H124" t="n">
        <v>0</v>
      </c>
      <c r="I124" t="n">
        <v>0</v>
      </c>
      <c r="J124" t="n">
        <v>0</v>
      </c>
      <c r="K124" t="n">
        <v>0</v>
      </c>
      <c r="L124" t="n">
        <v>0</v>
      </c>
      <c r="M124" t="n">
        <v>0</v>
      </c>
      <c r="N124" t="n">
        <v>0</v>
      </c>
      <c r="O124" t="n">
        <v>0</v>
      </c>
      <c r="P124" t="n">
        <v>0</v>
      </c>
      <c r="Q124" t="n">
        <v>0</v>
      </c>
      <c r="R124" s="2" t="inlineStr"/>
    </row>
    <row r="125" ht="15" customHeight="1">
      <c r="A125" t="inlineStr">
        <is>
          <t>A 16396-2025</t>
        </is>
      </c>
      <c r="B125" s="1" t="n">
        <v>45751.44219907407</v>
      </c>
      <c r="C125" s="1" t="n">
        <v>46130</v>
      </c>
      <c r="D125" t="inlineStr">
        <is>
          <t>UPPSALA LÄN</t>
        </is>
      </c>
      <c r="E125" t="inlineStr">
        <is>
          <t>KNIVSTA</t>
        </is>
      </c>
      <c r="G125" t="n">
        <v>5.1</v>
      </c>
      <c r="H125" t="n">
        <v>0</v>
      </c>
      <c r="I125" t="n">
        <v>0</v>
      </c>
      <c r="J125" t="n">
        <v>0</v>
      </c>
      <c r="K125" t="n">
        <v>0</v>
      </c>
      <c r="L125" t="n">
        <v>0</v>
      </c>
      <c r="M125" t="n">
        <v>0</v>
      </c>
      <c r="N125" t="n">
        <v>0</v>
      </c>
      <c r="O125" t="n">
        <v>0</v>
      </c>
      <c r="P125" t="n">
        <v>0</v>
      </c>
      <c r="Q125" t="n">
        <v>0</v>
      </c>
      <c r="R125" s="2" t="inlineStr"/>
    </row>
    <row r="126" ht="15" customHeight="1">
      <c r="A126" t="inlineStr">
        <is>
          <t>A 17091-2023</t>
        </is>
      </c>
      <c r="B126" s="1" t="n">
        <v>45034.53554398148</v>
      </c>
      <c r="C126" s="1" t="n">
        <v>46130</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c r="A127" t="inlineStr">
        <is>
          <t>A 2171-2024</t>
        </is>
      </c>
      <c r="B127" s="1" t="n">
        <v>45309</v>
      </c>
      <c r="C127" s="1" t="n">
        <v>46130</v>
      </c>
      <c r="D127" t="inlineStr">
        <is>
          <t>UPPSALA LÄN</t>
        </is>
      </c>
      <c r="E127" t="inlineStr">
        <is>
          <t>KNIVSTA</t>
        </is>
      </c>
      <c r="F127" t="inlineStr">
        <is>
          <t>Holmen skog AB</t>
        </is>
      </c>
      <c r="G127" t="n">
        <v>3.3</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2026-04-18T10:23:25Z</dcterms:created>
  <dcterms:modified xmlns:dcterms="http://purl.org/dc/terms/" xmlns:xsi="http://www.w3.org/2001/XMLSchema-instance" xsi:type="dcterms:W3CDTF">2026-04-18T10:23:25Z</dcterms:modified>
</cp:coreProperties>
</file>