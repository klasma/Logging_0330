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46226</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46226</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46226</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46226</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46226</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34859-2025</t>
        </is>
      </c>
      <c r="B18" t="inlineStr">
        <is>
          <t>avverkningsanmälan</t>
        </is>
      </c>
      <c r="C18" t="inlineStr">
        <is>
          <t>Föryngringsavverkning</t>
        </is>
      </c>
      <c r="D18" s="1" t="n">
        <v>45849</v>
      </c>
      <c r="E18" s="1" t="n">
        <v>46226</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61768-2025</t>
        </is>
      </c>
      <c r="B19" t="inlineStr">
        <is>
          <t>avverkningsanmälan</t>
        </is>
      </c>
      <c r="C19" t="inlineStr">
        <is>
          <t>Föryngringsavverkning</t>
        </is>
      </c>
      <c r="D19" s="1" t="n">
        <v>46002</v>
      </c>
      <c r="E19" s="1" t="n">
        <v>46226</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46226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9561-2026</t>
        </is>
      </c>
      <c r="B21" t="inlineStr">
        <is>
          <t>avverkningsanmälan</t>
        </is>
      </c>
      <c r="C21" t="inlineStr">
        <is>
          <t>Föryngringsavverkning</t>
        </is>
      </c>
      <c r="D21" s="1" t="n">
        <v>46071</v>
      </c>
      <c r="E21" s="1" t="n">
        <v>46226</v>
      </c>
      <c r="F21" t="inlineStr">
        <is>
          <t>UPPSALA LÄN</t>
        </is>
      </c>
      <c r="G21" t="inlineStr">
        <is>
          <t>KNIVSTA</t>
        </is>
      </c>
      <c r="H21" t="inlineStr">
        <is>
          <t>Övriga statliga verk och myndigheter</t>
        </is>
      </c>
      <c r="I21" t="n">
        <v>2.6</v>
      </c>
      <c r="J21" t="n">
        <v>0</v>
      </c>
      <c r="K21" t="n">
        <v>0</v>
      </c>
      <c r="L21" t="n">
        <v>1</v>
      </c>
      <c r="M21" t="n">
        <v>0</v>
      </c>
      <c r="N21" t="n">
        <v>0</v>
      </c>
      <c r="O21" t="n">
        <v>0</v>
      </c>
      <c r="P21" t="n">
        <v>0</v>
      </c>
      <c r="Q21" t="n">
        <v>1</v>
      </c>
      <c r="R21" t="n">
        <v>0</v>
      </c>
      <c r="S21" t="n">
        <v>1</v>
      </c>
      <c r="T21" t="n">
        <v>1</v>
      </c>
      <c r="U21" t="n">
        <v>0</v>
      </c>
      <c r="V21" s="2" t="inlineStr">
        <is>
          <t>Svartöra</t>
        </is>
      </c>
      <c r="W21">
        <f>HYPERLINK("https://klasma.github.io/Logging_0330/artfynd/A 9561-2026 artfynd.xlsx", "A 9561-2026")</f>
        <v/>
      </c>
      <c r="X21">
        <f>HYPERLINK("https://klasma.github.io/Logging_0330/kartor/A 9561-2026 karta.png", "A 9561-2026")</f>
        <v/>
      </c>
      <c r="Y21">
        <f>HYPERLINK("https://klasma.github.io/Logging_0330/kartor_geotiff/A 9561-2026 georefererad karta.tif", "A 9561-2026")</f>
        <v/>
      </c>
      <c r="AA21">
        <f>HYPERLINK("https://klasma.github.io/Logging_0330/klagomål/A 9561-2026 FSC-klagomål.docx", "A 9561-2026")</f>
        <v/>
      </c>
      <c r="AB21">
        <f>HYPERLINK("https://klasma.github.io/Logging_0330/klagomålsmail/A 9561-2026 FSC-klagomål mail.docx", "A 9561-2026")</f>
        <v/>
      </c>
      <c r="AC21">
        <f>HYPERLINK("https://klasma.github.io/Logging_0330/tillsyn/A 9561-2026 tillsynsbegäran.docx", "A 9561-2026")</f>
        <v/>
      </c>
      <c r="AD21">
        <f>HYPERLINK("https://klasma.github.io/Logging_0330/tillsynsmail/A 9561-2026 tillsynsbegäran mail.docx", "A 9561-2026")</f>
        <v/>
      </c>
    </row>
    <row r="22" ht="15" customHeight="1">
      <c r="A22" t="inlineStr">
        <is>
          <t>A 13002-2026</t>
        </is>
      </c>
      <c r="B22" t="inlineStr">
        <is>
          <t>avverkningsanmälan</t>
        </is>
      </c>
      <c r="C22" t="inlineStr">
        <is>
          <t>Föryngringsavverkning</t>
        </is>
      </c>
      <c r="D22" s="1" t="n">
        <v>46092</v>
      </c>
      <c r="E22" s="1" t="n">
        <v>46226</v>
      </c>
      <c r="F22" t="inlineStr">
        <is>
          <t>UPPSALA LÄN</t>
        </is>
      </c>
      <c r="G22" t="inlineStr">
        <is>
          <t>KNIVSTA</t>
        </is>
      </c>
      <c r="H22" t="inlineStr">
        <is>
          <t>Holmen skog AB</t>
        </is>
      </c>
      <c r="I22" t="n">
        <v>0.7</v>
      </c>
      <c r="J22" t="n">
        <v>1</v>
      </c>
      <c r="K22" t="n">
        <v>0</v>
      </c>
      <c r="L22" t="n">
        <v>0</v>
      </c>
      <c r="M22" t="n">
        <v>1</v>
      </c>
      <c r="N22" t="n">
        <v>0</v>
      </c>
      <c r="O22" t="n">
        <v>0</v>
      </c>
      <c r="P22" t="n">
        <v>0</v>
      </c>
      <c r="Q22" t="n">
        <v>1</v>
      </c>
      <c r="R22" t="n">
        <v>1</v>
      </c>
      <c r="S22" t="n">
        <v>1</v>
      </c>
      <c r="T22" t="n">
        <v>1</v>
      </c>
      <c r="U22" t="n">
        <v>1</v>
      </c>
      <c r="V22" s="2" t="inlineStr">
        <is>
          <t>Knärot</t>
        </is>
      </c>
      <c r="W22">
        <f>HYPERLINK("https://klasma.github.io/Logging_0330/artfynd/A 13002-2026 artfynd.xlsx", "A 13002-2026")</f>
        <v/>
      </c>
      <c r="X22">
        <f>HYPERLINK("https://klasma.github.io/Logging_0330/kartor/A 13002-2026 karta.png", "A 13002-2026")</f>
        <v/>
      </c>
      <c r="Y22">
        <f>HYPERLINK("https://klasma.github.io/Logging_0330/kartor_geotiff/A 13002-2026 georefererad karta.tif", "A 13002-2026")</f>
        <v/>
      </c>
      <c r="Z22">
        <f>HYPERLINK("https://klasma.github.io/Logging_0330/knärot/A 13002-2026 karta knärot.png", "A 13002-2026")</f>
        <v/>
      </c>
      <c r="AA22">
        <f>HYPERLINK("https://klasma.github.io/Logging_0330/klagomål/A 13002-2026 FSC-klagomål.docx", "A 13002-2026")</f>
        <v/>
      </c>
      <c r="AB22">
        <f>HYPERLINK("https://klasma.github.io/Logging_0330/klagomålsmail/A 13002-2026 FSC-klagomål mail.docx", "A 13002-2026")</f>
        <v/>
      </c>
      <c r="AC22">
        <f>HYPERLINK("https://klasma.github.io/Logging_0330/tillsyn/A 13002-2026 tillsynsbegäran.docx", "A 13002-2026")</f>
        <v/>
      </c>
      <c r="AD22">
        <f>HYPERLINK("https://klasma.github.io/Logging_0330/tillsynsmail/A 13002-2026 tillsynsbegäran mail.docx", "A 13002-2026")</f>
        <v/>
      </c>
    </row>
    <row r="23" ht="15" customHeight="1">
      <c r="A23" t="inlineStr">
        <is>
          <t>A 12991-2026</t>
        </is>
      </c>
      <c r="B23" t="inlineStr">
        <is>
          <t>avverkningsanmälan</t>
        </is>
      </c>
      <c r="C23" t="inlineStr">
        <is>
          <t>Föryngringsavverkning</t>
        </is>
      </c>
      <c r="D23" s="1" t="n">
        <v>46092</v>
      </c>
      <c r="E23" s="1" t="n">
        <v>46226</v>
      </c>
      <c r="F23" t="inlineStr">
        <is>
          <t>UPPSALA LÄN</t>
        </is>
      </c>
      <c r="G23" t="inlineStr">
        <is>
          <t>KNIVSTA</t>
        </is>
      </c>
      <c r="H23" t="inlineStr">
        <is>
          <t>Holmen skog AB</t>
        </is>
      </c>
      <c r="I23" t="n">
        <v>4.6</v>
      </c>
      <c r="J23" t="n">
        <v>1</v>
      </c>
      <c r="K23" t="n">
        <v>0</v>
      </c>
      <c r="L23" t="n">
        <v>0</v>
      </c>
      <c r="M23" t="n">
        <v>0</v>
      </c>
      <c r="N23" t="n">
        <v>0</v>
      </c>
      <c r="O23" t="n">
        <v>0</v>
      </c>
      <c r="P23" t="n">
        <v>0</v>
      </c>
      <c r="Q23" t="n">
        <v>0</v>
      </c>
      <c r="R23" t="n">
        <v>0</v>
      </c>
      <c r="S23" t="n">
        <v>1</v>
      </c>
      <c r="T23" t="n">
        <v>1</v>
      </c>
      <c r="U23" t="n">
        <v>1</v>
      </c>
      <c r="V23" s="2" t="inlineStr">
        <is>
          <t>Tjäder</t>
        </is>
      </c>
      <c r="W23">
        <f>HYPERLINK("https://klasma.github.io/Logging_0330/artfynd/A 12991-2026 artfynd.xlsx", "A 12991-2026")</f>
        <v/>
      </c>
      <c r="X23">
        <f>HYPERLINK("https://klasma.github.io/Logging_0330/kartor/A 12991-2026 karta.png", "A 12991-2026")</f>
        <v/>
      </c>
      <c r="Y23">
        <f>HYPERLINK("https://klasma.github.io/Logging_0330/kartor_geotiff/A 12991-2026 georefererad karta.tif", "A 12991-2026")</f>
        <v/>
      </c>
      <c r="AA23">
        <f>HYPERLINK("https://klasma.github.io/Logging_0330/klagomål/A 12991-2026 FSC-klagomål.docx", "A 12991-2026")</f>
        <v/>
      </c>
      <c r="AB23">
        <f>HYPERLINK("https://klasma.github.io/Logging_0330/klagomålsmail/A 12991-2026 FSC-klagomål mail.docx", "A 12991-2026")</f>
        <v/>
      </c>
      <c r="AC23">
        <f>HYPERLINK("https://klasma.github.io/Logging_0330/tillsyn/A 12991-2026 tillsynsbegäran.docx", "A 12991-2026")</f>
        <v/>
      </c>
      <c r="AD23">
        <f>HYPERLINK("https://klasma.github.io/Logging_0330/tillsynsmail/A 12991-2026 tillsynsbegäran mail.docx", "A 12991-2026")</f>
        <v/>
      </c>
      <c r="AE23">
        <f>HYPERLINK("https://klasma.github.io/Logging_0330/fåglar/A 12991-2026 prioriterade fågelarter.docx", "A 12991-2026")</f>
        <v/>
      </c>
    </row>
    <row r="24" ht="15" customHeight="1">
      <c r="A24" t="inlineStr">
        <is>
          <t>A 13380-2026</t>
        </is>
      </c>
      <c r="B24" t="inlineStr">
        <is>
          <t>avverkningsanmälan</t>
        </is>
      </c>
      <c r="C24" t="inlineStr">
        <is>
          <t>Föryngringsavverkning</t>
        </is>
      </c>
      <c r="D24" s="1" t="n">
        <v>46094</v>
      </c>
      <c r="E24" s="1" t="n">
        <v>46226</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5402-2023</t>
        </is>
      </c>
      <c r="B25" t="inlineStr">
        <is>
          <t>avverkningsanmälan</t>
        </is>
      </c>
      <c r="C25" t="inlineStr">
        <is>
          <t>Föryngringsavverkning</t>
        </is>
      </c>
      <c r="D25" s="1" t="n">
        <v>44959</v>
      </c>
      <c r="E25" s="1" t="n">
        <v>46226</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t="n">
        <v>0</v>
      </c>
      <c r="V25" s="2" t="inlineStr">
        <is>
          <t>Askfingersvamp</t>
        </is>
      </c>
      <c r="W25">
        <f>HYPERLINK("https://klasma.github.io/Logging_0330/artfynd/A 5402-2023 artfynd.xlsx", "A 5402-2023")</f>
        <v/>
      </c>
      <c r="X25">
        <f>HYPERLINK("https://klasma.github.io/Logging_0330/kartor/A 5402-2023 karta.png", "A 5402-2023")</f>
        <v/>
      </c>
      <c r="Y25">
        <f>HYPERLINK("https://klasma.github.io/Logging_0330/kartor_geotiff/A 5402-2023 georefererad karta.tif", "A 5402-2023")</f>
        <v/>
      </c>
      <c r="AA25">
        <f>HYPERLINK("https://klasma.github.io/Logging_0330/klagomål/A 5402-2023 FSC-klagomål.docx", "A 5402-2023")</f>
        <v/>
      </c>
      <c r="AB25">
        <f>HYPERLINK("https://klasma.github.io/Logging_0330/klagomålsmail/A 5402-2023 FSC-klagomål mail.docx", "A 5402-2023")</f>
        <v/>
      </c>
      <c r="AC25">
        <f>HYPERLINK("https://klasma.github.io/Logging_0330/tillsyn/A 5402-2023 tillsynsbegäran.docx", "A 5402-2023")</f>
        <v/>
      </c>
      <c r="AD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46226</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HYPERLINK("https://klasma.github.io/Logging_0330/artfynd/A 666-2026 artfynd.xlsx", "A 666-2026")</f>
        <v/>
      </c>
      <c r="X26">
        <f>HYPERLINK("https://klasma.github.io/Logging_0330/kartor/A 666-2026 karta.png", "A 666-2026")</f>
        <v/>
      </c>
      <c r="Y26">
        <f>HYPERLINK("https://klasma.github.io/Logging_0330/kartor_geotiff/A 666-2026 georefererad karta.tif", "A 666-2026")</f>
        <v/>
      </c>
      <c r="AA26">
        <f>HYPERLINK("https://klasma.github.io/Logging_0330/klagomål/A 666-2026 FSC-klagomål.docx", "A 666-2026")</f>
        <v/>
      </c>
      <c r="AB26">
        <f>HYPERLINK("https://klasma.github.io/Logging_0330/klagomålsmail/A 666-2026 FSC-klagomål mail.docx", "A 666-2026")</f>
        <v/>
      </c>
      <c r="AC26">
        <f>HYPERLINK("https://klasma.github.io/Logging_0330/tillsyn/A 666-2026 tillsynsbegäran.docx", "A 666-2026")</f>
        <v/>
      </c>
      <c r="AD26">
        <f>HYPERLINK("https://klasma.github.io/Logging_0330/tillsynsmail/A 666-2026 tillsynsbegäran mail.docx", "A 666-2026")</f>
        <v/>
      </c>
      <c r="AE26">
        <f>HYPERLINK("https://klasma.github.io/Logging_0330/fåglar/A 666-2026 prioriterade fågelarter.docx", "A 666-2026")</f>
        <v/>
      </c>
    </row>
    <row r="27" ht="15" customHeight="1">
      <c r="A27" t="inlineStr">
        <is>
          <t>A 3836-2026</t>
        </is>
      </c>
      <c r="B27" t="inlineStr">
        <is>
          <t>avverkningsanmälan</t>
        </is>
      </c>
      <c r="C27" t="inlineStr">
        <is>
          <t>Föryngringsavverkning</t>
        </is>
      </c>
      <c r="D27" s="1" t="n">
        <v>46043</v>
      </c>
      <c r="E27" s="1" t="n">
        <v>46226</v>
      </c>
      <c r="F27" t="inlineStr">
        <is>
          <t>UPPSALA LÄN</t>
        </is>
      </c>
      <c r="G27" t="inlineStr">
        <is>
          <t>KNIVSTA</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3836-2026 artfynd.xlsx", "A 3836-2026")</f>
        <v/>
      </c>
      <c r="X27">
        <f>HYPERLINK("https://klasma.github.io/Logging_0330/kartor/A 3836-2026 karta.png", "A 3836-2026")</f>
        <v/>
      </c>
      <c r="Y27">
        <f>HYPERLINK("https://klasma.github.io/Logging_0330/kartor_geotiff/A 3836-2026 georefererad karta.tif", "A 3836-2026")</f>
        <v/>
      </c>
      <c r="AA27">
        <f>HYPERLINK("https://klasma.github.io/Logging_0330/klagomål/A 3836-2026 FSC-klagomål.docx", "A 3836-2026")</f>
        <v/>
      </c>
      <c r="AB27">
        <f>HYPERLINK("https://klasma.github.io/Logging_0330/klagomålsmail/A 3836-2026 FSC-klagomål mail.docx", "A 3836-2026")</f>
        <v/>
      </c>
      <c r="AC27">
        <f>HYPERLINK("https://klasma.github.io/Logging_0330/tillsyn/A 3836-2026 tillsynsbegäran.docx", "A 3836-2026")</f>
        <v/>
      </c>
      <c r="AD27">
        <f>HYPERLINK("https://klasma.github.io/Logging_0330/tillsynsmail/A 3836-2026 tillsynsbegäran mail.docx", "A 3836-2026")</f>
        <v/>
      </c>
      <c r="AE27">
        <f>HYPERLINK("https://klasma.github.io/Logging_0330/fåglar/A 3836-2026 prioriterade fågelarter.docx", "A 3836-2026")</f>
        <v/>
      </c>
    </row>
    <row r="28" ht="15" customHeight="1">
      <c r="A28" t="inlineStr">
        <is>
          <t>A 33770-2023</t>
        </is>
      </c>
      <c r="B28" t="inlineStr">
        <is>
          <t>avverkningsanmälan</t>
        </is>
      </c>
      <c r="C28" t="inlineStr">
        <is>
          <t>Föryngringsavverkning</t>
        </is>
      </c>
      <c r="D28" s="1" t="n">
        <v>45133</v>
      </c>
      <c r="E28" s="1" t="n">
        <v>46226</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46226</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46226</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46226</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46226</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46226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46226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46226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46226</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46226</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46226</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46226</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46226</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46226</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46226</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46226</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46226</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46226</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46226</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46226</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17333-2024</t>
        </is>
      </c>
      <c r="B50" t="inlineStr">
        <is>
          <t>avverkningsanmälan</t>
        </is>
      </c>
      <c r="C50" t="inlineStr">
        <is>
          <t>Föryngringsavverkning</t>
        </is>
      </c>
      <c r="D50" s="1" t="n">
        <v>45414</v>
      </c>
      <c r="E50" s="1" t="n">
        <v>46226</v>
      </c>
      <c r="F50" t="inlineStr">
        <is>
          <t>UPPSALA LÄN</t>
        </is>
      </c>
      <c r="G50" t="inlineStr">
        <is>
          <t>KNIVSTA</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46226</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46226</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45525-2023</t>
        </is>
      </c>
      <c r="B53" t="inlineStr">
        <is>
          <t>avverkningsanmälan</t>
        </is>
      </c>
      <c r="C53" t="inlineStr">
        <is>
          <t>Avverkning för annat ändamål</t>
        </is>
      </c>
      <c r="D53" s="1" t="n">
        <v>45194</v>
      </c>
      <c r="E53" s="1" t="n">
        <v>46226</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46226</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46226</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9744-2026</t>
        </is>
      </c>
      <c r="B56" t="inlineStr">
        <is>
          <t>avverkningsanmälan</t>
        </is>
      </c>
      <c r="C56" t="inlineStr">
        <is>
          <t>Föryngringsavverkning</t>
        </is>
      </c>
      <c r="D56" s="1" t="n">
        <v>46072</v>
      </c>
      <c r="E56" s="1" t="n">
        <v>46226</v>
      </c>
      <c r="F56" t="inlineStr">
        <is>
          <t>UPPSALA LÄN</t>
        </is>
      </c>
      <c r="G56" t="inlineStr">
        <is>
          <t>KNIVSTA</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60018-2024</t>
        </is>
      </c>
      <c r="B57" t="inlineStr">
        <is>
          <t>avverkningsanmälan</t>
        </is>
      </c>
      <c r="C57" t="inlineStr">
        <is>
          <t>Föryngringsavverkning</t>
        </is>
      </c>
      <c r="D57" s="1" t="n">
        <v>45642</v>
      </c>
      <c r="E57" s="1" t="n">
        <v>46226</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12027-2026</t>
        </is>
      </c>
      <c r="B58" t="inlineStr">
        <is>
          <t>avverkningsanmälan</t>
        </is>
      </c>
      <c r="C58" t="inlineStr">
        <is>
          <t>Avverkning för annat ändamål</t>
        </is>
      </c>
      <c r="D58" s="1" t="n">
        <v>46085</v>
      </c>
      <c r="E58" s="1" t="n">
        <v>46226</v>
      </c>
      <c r="F58" t="inlineStr">
        <is>
          <t>UPPSALA LÄN</t>
        </is>
      </c>
      <c r="G58" t="inlineStr">
        <is>
          <t>KNIVSTA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12774-2026</t>
        </is>
      </c>
      <c r="B59" t="inlineStr">
        <is>
          <t>avverkningsanmälan</t>
        </is>
      </c>
      <c r="C59" t="inlineStr">
        <is>
          <t>Föryngringsavverkning</t>
        </is>
      </c>
      <c r="D59" s="1" t="n">
        <v>46091</v>
      </c>
      <c r="E59" s="1" t="n">
        <v>46226</v>
      </c>
      <c r="F59" t="inlineStr">
        <is>
          <t>UPPSALA LÄN</t>
        </is>
      </c>
      <c r="G59" t="inlineStr">
        <is>
          <t>KNIVSTA</t>
        </is>
      </c>
      <c r="H59" t="inlineStr">
        <is>
          <t>Holmen skog AB</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13011-2026</t>
        </is>
      </c>
      <c r="B60" t="inlineStr">
        <is>
          <t>avverkningsanmälan</t>
        </is>
      </c>
      <c r="C60" t="inlineStr">
        <is>
          <t>Föryngringsavverkning</t>
        </is>
      </c>
      <c r="D60" s="1" t="n">
        <v>46092</v>
      </c>
      <c r="E60" s="1" t="n">
        <v>46226</v>
      </c>
      <c r="F60" t="inlineStr">
        <is>
          <t>UPPSALA LÄN</t>
        </is>
      </c>
      <c r="G60" t="inlineStr">
        <is>
          <t>KNIVSTA</t>
        </is>
      </c>
      <c r="H60" t="inlineStr">
        <is>
          <t>Holmen skog AB</t>
        </is>
      </c>
      <c r="I60" t="n">
        <v>1.9</v>
      </c>
      <c r="J60" t="n">
        <v>0</v>
      </c>
      <c r="K60" t="n">
        <v>0</v>
      </c>
      <c r="L60" t="n">
        <v>0</v>
      </c>
      <c r="M60" t="n">
        <v>0</v>
      </c>
      <c r="N60" t="n">
        <v>0</v>
      </c>
      <c r="O60" t="n">
        <v>0</v>
      </c>
      <c r="P60" t="n">
        <v>0</v>
      </c>
      <c r="Q60" t="n">
        <v>0</v>
      </c>
      <c r="R60" t="n">
        <v>0</v>
      </c>
      <c r="S60" t="n">
        <v>0</v>
      </c>
      <c r="T60" t="n">
        <v>0</v>
      </c>
      <c r="U60" t="n">
        <v>0</v>
      </c>
      <c r="V60" s="2" t="inlineStr"/>
      <c r="Z60">
        <f>HYPERLINK("https://klasma.github.io/Logging_0330/knärot/A 13011-2026 karta knärot.png", "A 13011-2026")</f>
        <v/>
      </c>
      <c r="AA60">
        <f>HYPERLINK("https://klasma.github.io/Logging_0330/klagomål/A 13011-2026 FSC-klagomål.docx", "A 13011-2026")</f>
        <v/>
      </c>
      <c r="AB60">
        <f>HYPERLINK("https://klasma.github.io/Logging_0330/klagomålsmail/A 13011-2026 FSC-klagomål mail.docx", "A 13011-2026")</f>
        <v/>
      </c>
      <c r="AC60">
        <f>HYPERLINK("https://klasma.github.io/Logging_0330/tillsyn/A 13011-2026 tillsynsbegäran.docx", "A 13011-2026")</f>
        <v/>
      </c>
      <c r="AD60">
        <f>HYPERLINK("https://klasma.github.io/Logging_0330/tillsynsmail/A 13011-2026 tillsynsbegäran mail.docx", "A 13011-2026")</f>
        <v/>
      </c>
    </row>
    <row r="61" ht="15" customHeight="1">
      <c r="A61" t="inlineStr">
        <is>
          <t>A 13013-2026</t>
        </is>
      </c>
      <c r="B61" t="inlineStr">
        <is>
          <t>avverkningsanmälan</t>
        </is>
      </c>
      <c r="C61" t="inlineStr">
        <is>
          <t>Föryngringsavverkning</t>
        </is>
      </c>
      <c r="D61" s="1" t="n">
        <v>46092</v>
      </c>
      <c r="E61" s="1" t="n">
        <v>46226</v>
      </c>
      <c r="F61" t="inlineStr">
        <is>
          <t>UPPSALA LÄN</t>
        </is>
      </c>
      <c r="G61" t="inlineStr">
        <is>
          <t>KNIVSTA</t>
        </is>
      </c>
      <c r="H61" t="inlineStr">
        <is>
          <t>Holmen skog AB</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13001-2026</t>
        </is>
      </c>
      <c r="B62" t="inlineStr">
        <is>
          <t>avverkningsanmälan</t>
        </is>
      </c>
      <c r="C62" t="inlineStr">
        <is>
          <t>Föryngringsavverkning</t>
        </is>
      </c>
      <c r="D62" s="1" t="n">
        <v>46092</v>
      </c>
      <c r="E62" s="1" t="n">
        <v>46226</v>
      </c>
      <c r="F62" t="inlineStr">
        <is>
          <t>UPPSALA LÄN</t>
        </is>
      </c>
      <c r="G62" t="inlineStr">
        <is>
          <t>KNIVSTA</t>
        </is>
      </c>
      <c r="H62" t="inlineStr">
        <is>
          <t>Holmen skog AB</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13005-2026</t>
        </is>
      </c>
      <c r="B63" t="inlineStr">
        <is>
          <t>avverkningsanmälan</t>
        </is>
      </c>
      <c r="C63" t="inlineStr">
        <is>
          <t>Föryngringsavverkning</t>
        </is>
      </c>
      <c r="D63" s="1" t="n">
        <v>46092</v>
      </c>
      <c r="E63" s="1" t="n">
        <v>46226</v>
      </c>
      <c r="F63" t="inlineStr">
        <is>
          <t>UPPSALA LÄN</t>
        </is>
      </c>
      <c r="G63" t="inlineStr">
        <is>
          <t>KNIVSTA</t>
        </is>
      </c>
      <c r="H63" t="inlineStr">
        <is>
          <t>Holmen skog AB</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13016-2026</t>
        </is>
      </c>
      <c r="B64" t="inlineStr">
        <is>
          <t>avverkningsanmälan</t>
        </is>
      </c>
      <c r="C64" t="inlineStr">
        <is>
          <t>Föryngringsavverkning</t>
        </is>
      </c>
      <c r="D64" s="1" t="n">
        <v>46092</v>
      </c>
      <c r="E64" s="1" t="n">
        <v>46226</v>
      </c>
      <c r="F64" t="inlineStr">
        <is>
          <t>UPPSALA LÄN</t>
        </is>
      </c>
      <c r="G64" t="inlineStr">
        <is>
          <t>KNIVSTA</t>
        </is>
      </c>
      <c r="H64" t="inlineStr">
        <is>
          <t>Holmen skog AB</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45453-2025</t>
        </is>
      </c>
      <c r="B65" t="inlineStr">
        <is>
          <t>avverkningsanmälan</t>
        </is>
      </c>
      <c r="C65" t="inlineStr">
        <is>
          <t>Föryngringsavverkning</t>
        </is>
      </c>
      <c r="D65" s="1" t="n">
        <v>45922</v>
      </c>
      <c r="E65" s="1" t="n">
        <v>46226</v>
      </c>
      <c r="F65" t="inlineStr">
        <is>
          <t>UPPSALA LÄN</t>
        </is>
      </c>
      <c r="G65" t="inlineStr">
        <is>
          <t>KNIVSTA</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1791-2024</t>
        </is>
      </c>
      <c r="B66" t="inlineStr">
        <is>
          <t>avverkningsanmälan</t>
        </is>
      </c>
      <c r="C66" t="inlineStr">
        <is>
          <t>Föryngringsavverkning</t>
        </is>
      </c>
      <c r="D66" s="1" t="n">
        <v>45307</v>
      </c>
      <c r="E66" s="1" t="n">
        <v>46226</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47803-2025</t>
        </is>
      </c>
      <c r="B67" t="inlineStr">
        <is>
          <t>avverkningsanmälan</t>
        </is>
      </c>
      <c r="C67" t="inlineStr">
        <is>
          <t>Avverkning för annat ändamål</t>
        </is>
      </c>
      <c r="D67" s="1" t="n">
        <v>45931</v>
      </c>
      <c r="E67" s="1" t="n">
        <v>46226</v>
      </c>
      <c r="F67" t="inlineStr">
        <is>
          <t>UPPSALA LÄN</t>
        </is>
      </c>
      <c r="G67" t="inlineStr">
        <is>
          <t>KNIVSTA</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49090-2025</t>
        </is>
      </c>
      <c r="B68" t="inlineStr">
        <is>
          <t>avverkningsanmälan</t>
        </is>
      </c>
      <c r="C68" t="inlineStr">
        <is>
          <t>Föryngringsavverkning</t>
        </is>
      </c>
      <c r="D68" s="1" t="n">
        <v>45937</v>
      </c>
      <c r="E68" s="1" t="n">
        <v>46226</v>
      </c>
      <c r="F68" t="inlineStr">
        <is>
          <t>UPPSALA LÄN</t>
        </is>
      </c>
      <c r="G68" t="inlineStr">
        <is>
          <t>KNIVSTA</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19774-2026</t>
        </is>
      </c>
      <c r="B69" t="inlineStr">
        <is>
          <t>avverkningsanmälan</t>
        </is>
      </c>
      <c r="C69" t="inlineStr">
        <is>
          <t>Föryngringsavverkning</t>
        </is>
      </c>
      <c r="D69" s="1" t="n">
        <v>46135</v>
      </c>
      <c r="E69" s="1" t="n">
        <v>46226</v>
      </c>
      <c r="F69" t="inlineStr">
        <is>
          <t>UPPSALA LÄN</t>
        </is>
      </c>
      <c r="G69" t="inlineStr">
        <is>
          <t>KNIVSTA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34864-2025</t>
        </is>
      </c>
      <c r="B70" t="inlineStr">
        <is>
          <t>avverkningsanmälan</t>
        </is>
      </c>
      <c r="C70" t="inlineStr">
        <is>
          <t>Föryngringsavverkning</t>
        </is>
      </c>
      <c r="D70" s="1" t="n">
        <v>45849</v>
      </c>
      <c r="E70" s="1" t="n">
        <v>46226</v>
      </c>
      <c r="F70" t="inlineStr">
        <is>
          <t>UPPSALA LÄN</t>
        </is>
      </c>
      <c r="G70" t="inlineStr">
        <is>
          <t>KNIVSTA</t>
        </is>
      </c>
      <c r="H70" t="inlineStr">
        <is>
          <t>Holmen skog AB</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46226</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35318-2025</t>
        </is>
      </c>
      <c r="B72" t="inlineStr">
        <is>
          <t>avverkningsanmälan</t>
        </is>
      </c>
      <c r="C72" t="inlineStr">
        <is>
          <t>Föryngringsavverkning</t>
        </is>
      </c>
      <c r="D72" s="1" t="n">
        <v>45854</v>
      </c>
      <c r="E72" s="1" t="n">
        <v>46226</v>
      </c>
      <c r="F72" t="inlineStr">
        <is>
          <t>UPPSALA LÄN</t>
        </is>
      </c>
      <c r="G72" t="inlineStr">
        <is>
          <t>KNIVSTA</t>
        </is>
      </c>
      <c r="H72" t="inlineStr">
        <is>
          <t>Holmen skog AB</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23239-2023</t>
        </is>
      </c>
      <c r="B73" t="inlineStr">
        <is>
          <t>avverkningsanmälan</t>
        </is>
      </c>
      <c r="C73" t="inlineStr">
        <is>
          <t>Föryngringsavverkning</t>
        </is>
      </c>
      <c r="D73" s="1" t="n">
        <v>45075</v>
      </c>
      <c r="E73" s="1" t="n">
        <v>46226</v>
      </c>
      <c r="F73" t="inlineStr">
        <is>
          <t>UPPSALA LÄN</t>
        </is>
      </c>
      <c r="G73" t="inlineStr">
        <is>
          <t>KNIVSTA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33974-2025</t>
        </is>
      </c>
      <c r="B74" t="inlineStr">
        <is>
          <t>avverkningsanmälan</t>
        </is>
      </c>
      <c r="C74" t="inlineStr">
        <is>
          <t>Föryngringsavverkning</t>
        </is>
      </c>
      <c r="D74" s="1" t="n">
        <v>45843</v>
      </c>
      <c r="E74" s="1" t="n">
        <v>46226</v>
      </c>
      <c r="F74" t="inlineStr">
        <is>
          <t>UPPSALA LÄN</t>
        </is>
      </c>
      <c r="G74" t="inlineStr">
        <is>
          <t>KNIVSTA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36473-2025</t>
        </is>
      </c>
      <c r="B75" t="inlineStr">
        <is>
          <t>avverkningsanmälan</t>
        </is>
      </c>
      <c r="C75" t="inlineStr">
        <is>
          <t>Föryngringsavverkning</t>
        </is>
      </c>
      <c r="D75" s="1" t="n">
        <v>45869</v>
      </c>
      <c r="E75" s="1" t="n">
        <v>46226</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20528-2026</t>
        </is>
      </c>
      <c r="B76" t="inlineStr">
        <is>
          <t>avverkningsanmälan</t>
        </is>
      </c>
      <c r="C76" t="inlineStr">
        <is>
          <t>Föryngringsavverkning</t>
        </is>
      </c>
      <c r="D76" s="1" t="n">
        <v>46140</v>
      </c>
      <c r="E76" s="1" t="n">
        <v>46226</v>
      </c>
      <c r="F76" t="inlineStr">
        <is>
          <t>UPPSALA LÄN</t>
        </is>
      </c>
      <c r="G76" t="inlineStr">
        <is>
          <t>KNIVSTA</t>
        </is>
      </c>
      <c r="I76" t="n">
        <v>5.7</v>
      </c>
      <c r="J76" t="n">
        <v>0</v>
      </c>
      <c r="K76" t="n">
        <v>0</v>
      </c>
      <c r="L76" t="n">
        <v>0</v>
      </c>
      <c r="M76" t="n">
        <v>0</v>
      </c>
      <c r="N76" t="n">
        <v>0</v>
      </c>
      <c r="O76" t="n">
        <v>0</v>
      </c>
      <c r="P76" t="n">
        <v>0</v>
      </c>
      <c r="Q76" t="n">
        <v>0</v>
      </c>
      <c r="R76" t="n">
        <v>0</v>
      </c>
      <c r="S76" t="n">
        <v>0</v>
      </c>
      <c r="T76" t="n">
        <v>0</v>
      </c>
      <c r="U76" t="n">
        <v>0</v>
      </c>
      <c r="V76" s="2" t="inlineStr"/>
    </row>
    <row r="77" ht="15" customHeight="1">
      <c r="A77" t="inlineStr">
        <is>
          <t>A 60243-2025</t>
        </is>
      </c>
      <c r="B77" t="inlineStr">
        <is>
          <t>avverkningsanmälan</t>
        </is>
      </c>
      <c r="C77" t="inlineStr">
        <is>
          <t>Föryngringsavverkning</t>
        </is>
      </c>
      <c r="D77" s="1" t="n">
        <v>45994</v>
      </c>
      <c r="E77" s="1" t="n">
        <v>46226</v>
      </c>
      <c r="F77" t="inlineStr">
        <is>
          <t>UPPSALA LÄN</t>
        </is>
      </c>
      <c r="G77" t="inlineStr">
        <is>
          <t>KNIVSTA</t>
        </is>
      </c>
      <c r="H77" t="inlineStr">
        <is>
          <t>Holmen skog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66284-2021</t>
        </is>
      </c>
      <c r="B78" t="inlineStr">
        <is>
          <t>avverkningsanmälan</t>
        </is>
      </c>
      <c r="C78" t="inlineStr">
        <is>
          <t>Föryngringsavverkning</t>
        </is>
      </c>
      <c r="D78" s="1" t="n">
        <v>44518</v>
      </c>
      <c r="E78" s="1" t="n">
        <v>46226</v>
      </c>
      <c r="F78" t="inlineStr">
        <is>
          <t>UPPSALA LÄN</t>
        </is>
      </c>
      <c r="G78" t="inlineStr">
        <is>
          <t>KNIVSTA</t>
        </is>
      </c>
      <c r="I78" t="n">
        <v>6.9</v>
      </c>
      <c r="J78" t="n">
        <v>0</v>
      </c>
      <c r="K78" t="n">
        <v>0</v>
      </c>
      <c r="L78" t="n">
        <v>0</v>
      </c>
      <c r="M78" t="n">
        <v>0</v>
      </c>
      <c r="N78" t="n">
        <v>0</v>
      </c>
      <c r="O78" t="n">
        <v>0</v>
      </c>
      <c r="P78" t="n">
        <v>0</v>
      </c>
      <c r="Q78" t="n">
        <v>0</v>
      </c>
      <c r="R78" t="n">
        <v>0</v>
      </c>
      <c r="S78" t="n">
        <v>0</v>
      </c>
      <c r="T78" t="n">
        <v>0</v>
      </c>
      <c r="U78" t="n">
        <v>0</v>
      </c>
      <c r="V78" s="2" t="inlineStr"/>
    </row>
    <row r="79" ht="15" customHeight="1">
      <c r="A79" t="inlineStr">
        <is>
          <t>A 19777-2026</t>
        </is>
      </c>
      <c r="B79" t="inlineStr">
        <is>
          <t>avverkningsanmälan</t>
        </is>
      </c>
      <c r="C79" t="inlineStr">
        <is>
          <t>Föryngringsavverkning</t>
        </is>
      </c>
      <c r="D79" s="1" t="n">
        <v>46135</v>
      </c>
      <c r="E79" s="1" t="n">
        <v>46226</v>
      </c>
      <c r="F79" t="inlineStr">
        <is>
          <t>UPPSALA LÄN</t>
        </is>
      </c>
      <c r="G79" t="inlineStr">
        <is>
          <t>KNIVSTA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662-2026</t>
        </is>
      </c>
      <c r="B80" t="inlineStr">
        <is>
          <t>avverkningsanmälan</t>
        </is>
      </c>
      <c r="C80" t="inlineStr">
        <is>
          <t>Föryngringsavverkning</t>
        </is>
      </c>
      <c r="D80" s="1" t="n">
        <v>46029</v>
      </c>
      <c r="E80" s="1" t="n">
        <v>46226</v>
      </c>
      <c r="F80" t="inlineStr">
        <is>
          <t>UPPSALA LÄN</t>
        </is>
      </c>
      <c r="G80" t="inlineStr">
        <is>
          <t>KNIVSTA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5276-2026</t>
        </is>
      </c>
      <c r="B81" t="inlineStr">
        <is>
          <t>avverkningsanmälan</t>
        </is>
      </c>
      <c r="C81" t="inlineStr">
        <is>
          <t>Föryngringsavverkning</t>
        </is>
      </c>
      <c r="D81" s="1" t="n">
        <v>46037</v>
      </c>
      <c r="E81" s="1" t="n">
        <v>46226</v>
      </c>
      <c r="F81" t="inlineStr">
        <is>
          <t>UPPSALA LÄN</t>
        </is>
      </c>
      <c r="G81" t="inlineStr">
        <is>
          <t>KNIVSTA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3824-2026</t>
        </is>
      </c>
      <c r="B82" t="inlineStr">
        <is>
          <t>avverkningsanmälan</t>
        </is>
      </c>
      <c r="C82" t="inlineStr">
        <is>
          <t>Föryngringsavverkning</t>
        </is>
      </c>
      <c r="D82" s="1" t="n">
        <v>46043</v>
      </c>
      <c r="E82" s="1" t="n">
        <v>46226</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3375-2026</t>
        </is>
      </c>
      <c r="B83" t="inlineStr">
        <is>
          <t>avverkningsanmälan</t>
        </is>
      </c>
      <c r="C83" t="inlineStr">
        <is>
          <t>Föryngringsavverkning</t>
        </is>
      </c>
      <c r="D83" s="1" t="n">
        <v>46042</v>
      </c>
      <c r="E83" s="1" t="n">
        <v>46226</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11847-2023</t>
        </is>
      </c>
      <c r="B84" t="inlineStr">
        <is>
          <t>avverkningsanmälan</t>
        </is>
      </c>
      <c r="C84" t="inlineStr">
        <is>
          <t>Föryngringsavverkning</t>
        </is>
      </c>
      <c r="D84" s="1" t="n">
        <v>44995</v>
      </c>
      <c r="E84" s="1" t="n">
        <v>46226</v>
      </c>
      <c r="F84" t="inlineStr">
        <is>
          <t>UPPSALA LÄN</t>
        </is>
      </c>
      <c r="G84" t="inlineStr">
        <is>
          <t>KNIVSTA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5908-2026</t>
        </is>
      </c>
      <c r="B85" t="inlineStr">
        <is>
          <t>avverkningsanmälan</t>
        </is>
      </c>
      <c r="C85" t="inlineStr">
        <is>
          <t>Föryngringsavverkning</t>
        </is>
      </c>
      <c r="D85" s="1" t="n">
        <v>46052</v>
      </c>
      <c r="E85" s="1" t="n">
        <v>46226</v>
      </c>
      <c r="F85" t="inlineStr">
        <is>
          <t>UPPSALA LÄN</t>
        </is>
      </c>
      <c r="G85" t="inlineStr">
        <is>
          <t>KNIVSTA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5910-2026</t>
        </is>
      </c>
      <c r="B86" t="inlineStr">
        <is>
          <t>avverkningsanmälan</t>
        </is>
      </c>
      <c r="C86" t="inlineStr">
        <is>
          <t>Föryngringsavverkning</t>
        </is>
      </c>
      <c r="D86" s="1" t="n">
        <v>46052</v>
      </c>
      <c r="E86" s="1" t="n">
        <v>46226</v>
      </c>
      <c r="F86" t="inlineStr">
        <is>
          <t>UPPSALA LÄN</t>
        </is>
      </c>
      <c r="G86" t="inlineStr">
        <is>
          <t>KNIVSTA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28668-2026</t>
        </is>
      </c>
      <c r="B87" t="inlineStr">
        <is>
          <t>avverkningsanmälan</t>
        </is>
      </c>
      <c r="C87" t="inlineStr">
        <is>
          <t>Avverkning för annat ändamål</t>
        </is>
      </c>
      <c r="D87" s="1" t="n">
        <v>46193</v>
      </c>
      <c r="E87" s="1" t="n">
        <v>46226</v>
      </c>
      <c r="F87" t="inlineStr">
        <is>
          <t>UPPSALA LÄN</t>
        </is>
      </c>
      <c r="G87" t="inlineStr">
        <is>
          <t>KNIVSTA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23969-2026</t>
        </is>
      </c>
      <c r="B88" t="inlineStr">
        <is>
          <t>avverkningsanmälan</t>
        </is>
      </c>
      <c r="C88" t="inlineStr">
        <is>
          <t>Föryngringsavverkning</t>
        </is>
      </c>
      <c r="D88" s="1" t="n">
        <v>46167</v>
      </c>
      <c r="E88" s="1" t="n">
        <v>46226</v>
      </c>
      <c r="F88" t="inlineStr">
        <is>
          <t>UPPSALA LÄN</t>
        </is>
      </c>
      <c r="G88" t="inlineStr">
        <is>
          <t>KNIVSTA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30351-2022</t>
        </is>
      </c>
      <c r="B89" t="inlineStr">
        <is>
          <t>avverkningsanmälan</t>
        </is>
      </c>
      <c r="C89" t="inlineStr">
        <is>
          <t>Föryngringsavverkning</t>
        </is>
      </c>
      <c r="D89" s="1" t="n">
        <v>44757</v>
      </c>
      <c r="E89" s="1" t="n">
        <v>46226</v>
      </c>
      <c r="F89" t="inlineStr">
        <is>
          <t>UPPSALA LÄN</t>
        </is>
      </c>
      <c r="G89" t="inlineStr">
        <is>
          <t>KNIVSTA</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31875-2022</t>
        </is>
      </c>
      <c r="B90" t="inlineStr">
        <is>
          <t>avverkningsanmälan</t>
        </is>
      </c>
      <c r="C90" t="inlineStr">
        <is>
          <t>Föryngringsavverkning</t>
        </is>
      </c>
      <c r="D90" s="1" t="n">
        <v>44777</v>
      </c>
      <c r="E90" s="1" t="n">
        <v>46226</v>
      </c>
      <c r="F90" t="inlineStr">
        <is>
          <t>UPPSALA LÄN</t>
        </is>
      </c>
      <c r="G90" t="inlineStr">
        <is>
          <t>KNIVSTA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51849-2023</t>
        </is>
      </c>
      <c r="B91" t="inlineStr">
        <is>
          <t>avverkningsanmälan</t>
        </is>
      </c>
      <c r="C91" t="inlineStr">
        <is>
          <t>Föryngringsavverkning</t>
        </is>
      </c>
      <c r="D91" s="1" t="n">
        <v>45223</v>
      </c>
      <c r="E91" s="1" t="n">
        <v>46226</v>
      </c>
      <c r="F91" t="inlineStr">
        <is>
          <t>UPPSALA LÄN</t>
        </is>
      </c>
      <c r="G91" t="inlineStr">
        <is>
          <t>KNIVSTA</t>
        </is>
      </c>
      <c r="I91" t="n">
        <v>16.3</v>
      </c>
      <c r="J91" t="n">
        <v>0</v>
      </c>
      <c r="K91" t="n">
        <v>0</v>
      </c>
      <c r="L91" t="n">
        <v>0</v>
      </c>
      <c r="M91" t="n">
        <v>0</v>
      </c>
      <c r="N91" t="n">
        <v>0</v>
      </c>
      <c r="O91" t="n">
        <v>0</v>
      </c>
      <c r="P91" t="n">
        <v>0</v>
      </c>
      <c r="Q91" t="n">
        <v>0</v>
      </c>
      <c r="R91" t="n">
        <v>0</v>
      </c>
      <c r="S91" t="n">
        <v>0</v>
      </c>
      <c r="T91" t="n">
        <v>0</v>
      </c>
      <c r="U91" t="n">
        <v>0</v>
      </c>
      <c r="V91" s="2" t="inlineStr"/>
    </row>
    <row r="92" ht="15" customHeight="1">
      <c r="A92" t="inlineStr">
        <is>
          <t>A 66293-2021</t>
        </is>
      </c>
      <c r="B92" t="inlineStr">
        <is>
          <t>avverkningsanmälan</t>
        </is>
      </c>
      <c r="C92" t="inlineStr">
        <is>
          <t>Föryngringsavverkning</t>
        </is>
      </c>
      <c r="D92" s="1" t="n">
        <v>44518</v>
      </c>
      <c r="E92" s="1" t="n">
        <v>46226</v>
      </c>
      <c r="F92" t="inlineStr">
        <is>
          <t>UPPSALA LÄN</t>
        </is>
      </c>
      <c r="G92" t="inlineStr">
        <is>
          <t>KNIVSTA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45916-2022</t>
        </is>
      </c>
      <c r="B93" t="inlineStr">
        <is>
          <t>avverkningsanmälan</t>
        </is>
      </c>
      <c r="C93" t="inlineStr">
        <is>
          <t>Föryngringsavverkning</t>
        </is>
      </c>
      <c r="D93" s="1" t="n">
        <v>44846</v>
      </c>
      <c r="E93" s="1" t="n">
        <v>46226</v>
      </c>
      <c r="F93" t="inlineStr">
        <is>
          <t>UPPSALA LÄN</t>
        </is>
      </c>
      <c r="G93" t="inlineStr">
        <is>
          <t>KNIVSTA</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2629-2025</t>
        </is>
      </c>
      <c r="B94" t="inlineStr">
        <is>
          <t>avverkningsanmälan</t>
        </is>
      </c>
      <c r="C94" t="inlineStr">
        <is>
          <t>Föryngringsavverkning</t>
        </is>
      </c>
      <c r="D94" s="1" t="n">
        <v>45675</v>
      </c>
      <c r="E94" s="1" t="n">
        <v>46226</v>
      </c>
      <c r="F94" t="inlineStr">
        <is>
          <t>UPPSALA LÄN</t>
        </is>
      </c>
      <c r="G94" t="inlineStr">
        <is>
          <t>KNIVSTA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5320-2023</t>
        </is>
      </c>
      <c r="B95" t="inlineStr">
        <is>
          <t>avverkningsanmälan</t>
        </is>
      </c>
      <c r="C95" t="inlineStr">
        <is>
          <t>Föryngringsavverkning</t>
        </is>
      </c>
      <c r="D95" s="1" t="n">
        <v>44959</v>
      </c>
      <c r="E95" s="1" t="n">
        <v>46226</v>
      </c>
      <c r="F95" t="inlineStr">
        <is>
          <t>UPPSALA LÄN</t>
        </is>
      </c>
      <c r="G95" t="inlineStr">
        <is>
          <t>KNIVSTA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11452-2023</t>
        </is>
      </c>
      <c r="B96" t="inlineStr">
        <is>
          <t>avverkningsanmälan</t>
        </is>
      </c>
      <c r="C96" t="inlineStr">
        <is>
          <t>Föryngringsavverkning</t>
        </is>
      </c>
      <c r="D96" s="1" t="n">
        <v>44993</v>
      </c>
      <c r="E96" s="1" t="n">
        <v>46226</v>
      </c>
      <c r="F96" t="inlineStr">
        <is>
          <t>UPPSALA LÄN</t>
        </is>
      </c>
      <c r="G96" t="inlineStr">
        <is>
          <t>KNIVSTA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30627-2023</t>
        </is>
      </c>
      <c r="B97" t="inlineStr">
        <is>
          <t>avverkningsanmälan</t>
        </is>
      </c>
      <c r="C97" t="inlineStr">
        <is>
          <t>Föryngringsavverkning</t>
        </is>
      </c>
      <c r="D97" s="1" t="n">
        <v>45112</v>
      </c>
      <c r="E97" s="1" t="n">
        <v>46226</v>
      </c>
      <c r="F97" t="inlineStr">
        <is>
          <t>UPPSALA LÄN</t>
        </is>
      </c>
      <c r="G97" t="inlineStr">
        <is>
          <t>KNIVSTA</t>
        </is>
      </c>
      <c r="H97" t="inlineStr">
        <is>
          <t>Holmen skog AB</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46226</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8343-2024</t>
        </is>
      </c>
      <c r="B99" t="inlineStr">
        <is>
          <t>avverkningsanmälan</t>
        </is>
      </c>
      <c r="C99" t="inlineStr">
        <is>
          <t>Föryngringsavverkning</t>
        </is>
      </c>
      <c r="D99" s="1" t="n">
        <v>45352</v>
      </c>
      <c r="E99" s="1" t="n">
        <v>46226</v>
      </c>
      <c r="F99" t="inlineStr">
        <is>
          <t>UPPSALA LÄN</t>
        </is>
      </c>
      <c r="G99" t="inlineStr">
        <is>
          <t>KNIVSTA</t>
        </is>
      </c>
      <c r="H99" t="inlineStr">
        <is>
          <t>Holmen skog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19676-2025</t>
        </is>
      </c>
      <c r="B100" t="inlineStr">
        <is>
          <t>avverkningsanmälan</t>
        </is>
      </c>
      <c r="C100" t="inlineStr">
        <is>
          <t>Föryngringsavverkning</t>
        </is>
      </c>
      <c r="D100" s="1" t="n">
        <v>45770</v>
      </c>
      <c r="E100" s="1" t="n">
        <v>46226</v>
      </c>
      <c r="F100" t="inlineStr">
        <is>
          <t>UPPSALA LÄN</t>
        </is>
      </c>
      <c r="G100" t="inlineStr">
        <is>
          <t>KNIVSTA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13697-2024</t>
        </is>
      </c>
      <c r="B101" t="inlineStr">
        <is>
          <t>avverkningsanmälan</t>
        </is>
      </c>
      <c r="C101" t="inlineStr">
        <is>
          <t>Föryngringsavverkning</t>
        </is>
      </c>
      <c r="D101" s="1" t="n">
        <v>45390</v>
      </c>
      <c r="E101" s="1" t="n">
        <v>46226</v>
      </c>
      <c r="F101" t="inlineStr">
        <is>
          <t>UPPSALA LÄN</t>
        </is>
      </c>
      <c r="G101" t="inlineStr">
        <is>
          <t>KNIVSTA</t>
        </is>
      </c>
      <c r="H101" t="inlineStr">
        <is>
          <t>Holmen skog AB</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1629-2024</t>
        </is>
      </c>
      <c r="B102" t="inlineStr">
        <is>
          <t>avverkningsanmälan</t>
        </is>
      </c>
      <c r="C102" t="inlineStr">
        <is>
          <t>Föryngringsavverkning</t>
        </is>
      </c>
      <c r="D102" s="1" t="n">
        <v>45306</v>
      </c>
      <c r="E102" s="1" t="n">
        <v>46226</v>
      </c>
      <c r="F102" t="inlineStr">
        <is>
          <t>UPPSALA LÄN</t>
        </is>
      </c>
      <c r="G102" t="inlineStr">
        <is>
          <t>KNIVSTA</t>
        </is>
      </c>
      <c r="H102" t="inlineStr">
        <is>
          <t>Holmen skog AB</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30764-2023</t>
        </is>
      </c>
      <c r="B103" t="inlineStr">
        <is>
          <t>avverkningsanmälan</t>
        </is>
      </c>
      <c r="C103" t="inlineStr">
        <is>
          <t>Föryngringsavverkning</t>
        </is>
      </c>
      <c r="D103" s="1" t="n">
        <v>45112</v>
      </c>
      <c r="E103" s="1" t="n">
        <v>46226</v>
      </c>
      <c r="F103" t="inlineStr">
        <is>
          <t>UPPSALA LÄN</t>
        </is>
      </c>
      <c r="G103" t="inlineStr">
        <is>
          <t>KNIVSTA</t>
        </is>
      </c>
      <c r="H103" t="inlineStr">
        <is>
          <t>Holmen skog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46226</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46226</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46226</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2026-07-23T01:45:14Z</dcterms:created>
  <dcterms:modified xmlns:dcterms="http://purl.org/dc/terms/" xmlns:xsi="http://www.w3.org/2001/XMLSchema-instance" xsi:type="dcterms:W3CDTF">2026-07-23T01:45:14Z</dcterms:modified>
</cp:coreProperties>
</file>