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46228</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46228</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46228</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46228</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46228</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46228</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46228</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46228</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46228</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46228</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46228</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46228</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46228</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46228</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46228</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46228</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46228</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46228</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46228</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46228</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46228</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33770-2023</t>
        </is>
      </c>
      <c r="B23" t="inlineStr">
        <is>
          <t>avverkningsanmälan</t>
        </is>
      </c>
      <c r="C23" t="inlineStr">
        <is>
          <t>Föryngringsavverkning</t>
        </is>
      </c>
      <c r="D23" s="1" t="n">
        <v>45133</v>
      </c>
      <c r="E23" s="1" t="n">
        <v>46228</v>
      </c>
      <c r="F23" t="inlineStr">
        <is>
          <t>UPPSALA LÄN</t>
        </is>
      </c>
      <c r="G23" t="inlineStr">
        <is>
          <t>KNIVSTA</t>
        </is>
      </c>
      <c r="H23" t="inlineStr">
        <is>
          <t>Holmen skog AB</t>
        </is>
      </c>
      <c r="I23" t="n">
        <v>4</v>
      </c>
      <c r="J23" t="n">
        <v>1</v>
      </c>
      <c r="K23" t="n">
        <v>0</v>
      </c>
      <c r="L23" t="n">
        <v>0</v>
      </c>
      <c r="M23" t="n">
        <v>0</v>
      </c>
      <c r="N23" t="n">
        <v>0</v>
      </c>
      <c r="O23" t="n">
        <v>0</v>
      </c>
      <c r="P23" t="n">
        <v>0</v>
      </c>
      <c r="Q23" t="n">
        <v>0</v>
      </c>
      <c r="R23" t="n">
        <v>0</v>
      </c>
      <c r="S23" t="n">
        <v>1</v>
      </c>
      <c r="T23" t="n">
        <v>1</v>
      </c>
      <c r="U23" t="n">
        <v>0</v>
      </c>
      <c r="V23" s="2" t="inlineStr">
        <is>
          <t>Slaguggla</t>
        </is>
      </c>
      <c r="W23">
        <f>HYPERLINK("https://klasma.github.io/Logging_0330/artfynd/A 33770-2023 artfynd.xlsx", "A 33770-2023")</f>
        <v/>
      </c>
      <c r="X23">
        <f>HYPERLINK("https://klasma.github.io/Logging_0330/kartor/A 33770-2023 karta.png", "A 33770-2023")</f>
        <v/>
      </c>
      <c r="Y23">
        <f>HYPERLINK("https://klasma.github.io/Logging_0330/kartor_geotiff/A 33770-2023 georefererad karta.tif", "A 33770-2023")</f>
        <v/>
      </c>
      <c r="AA23">
        <f>HYPERLINK("https://klasma.github.io/Logging_0330/klagomål/A 33770-2023 FSC-klagomål.docx", "A 33770-2023")</f>
        <v/>
      </c>
      <c r="AB23">
        <f>HYPERLINK("https://klasma.github.io/Logging_0330/klagomålsmail/A 33770-2023 FSC-klagomål mail.docx", "A 33770-2023")</f>
        <v/>
      </c>
      <c r="AC23">
        <f>HYPERLINK("https://klasma.github.io/Logging_0330/tillsyn/A 33770-2023 tillsynsbegäran.docx", "A 33770-2023")</f>
        <v/>
      </c>
      <c r="AD23">
        <f>HYPERLINK("https://klasma.github.io/Logging_0330/tillsynsmail/A 33770-2023 tillsynsbegäran mail.docx", "A 33770-2023")</f>
        <v/>
      </c>
      <c r="AE23">
        <f>HYPERLINK("https://klasma.github.io/Logging_0330/fåglar/A 33770-2023 prioriterade fågelarter.docx", "A 33770-2023")</f>
        <v/>
      </c>
    </row>
    <row r="24" ht="15" customHeight="1">
      <c r="A24" t="inlineStr">
        <is>
          <t>A 3836-2026</t>
        </is>
      </c>
      <c r="B24" t="inlineStr">
        <is>
          <t>avverkningsanmälan</t>
        </is>
      </c>
      <c r="C24" t="inlineStr">
        <is>
          <t>Föryngringsavverkning</t>
        </is>
      </c>
      <c r="D24" s="1" t="n">
        <v>46043</v>
      </c>
      <c r="E24" s="1" t="n">
        <v>46228</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9561-2026</t>
        </is>
      </c>
      <c r="B25" t="inlineStr">
        <is>
          <t>avverkningsanmälan</t>
        </is>
      </c>
      <c r="C25" t="inlineStr">
        <is>
          <t>Föryngringsavverkning</t>
        </is>
      </c>
      <c r="D25" s="1" t="n">
        <v>46071</v>
      </c>
      <c r="E25" s="1" t="n">
        <v>46228</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13002-2026</t>
        </is>
      </c>
      <c r="B26" t="inlineStr">
        <is>
          <t>avverkningsanmälan</t>
        </is>
      </c>
      <c r="C26" t="inlineStr">
        <is>
          <t>Föryngringsavverkning</t>
        </is>
      </c>
      <c r="D26" s="1" t="n">
        <v>46092</v>
      </c>
      <c r="E26" s="1" t="n">
        <v>46228</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12991-2026</t>
        </is>
      </c>
      <c r="B27" t="inlineStr">
        <is>
          <t>avverkningsanmälan</t>
        </is>
      </c>
      <c r="C27" t="inlineStr">
        <is>
          <t>Föryngringsavverkning</t>
        </is>
      </c>
      <c r="D27" s="1" t="n">
        <v>46092</v>
      </c>
      <c r="E27" s="1" t="n">
        <v>46228</v>
      </c>
      <c r="F27" t="inlineStr">
        <is>
          <t>UPPSALA LÄN</t>
        </is>
      </c>
      <c r="G27" t="inlineStr">
        <is>
          <t>KNIVSTA</t>
        </is>
      </c>
      <c r="H27" t="inlineStr">
        <is>
          <t>Holmen skog AB</t>
        </is>
      </c>
      <c r="I27" t="n">
        <v>4.6</v>
      </c>
      <c r="J27" t="n">
        <v>1</v>
      </c>
      <c r="K27" t="n">
        <v>0</v>
      </c>
      <c r="L27" t="n">
        <v>0</v>
      </c>
      <c r="M27" t="n">
        <v>0</v>
      </c>
      <c r="N27" t="n">
        <v>0</v>
      </c>
      <c r="O27" t="n">
        <v>0</v>
      </c>
      <c r="P27" t="n">
        <v>0</v>
      </c>
      <c r="Q27" t="n">
        <v>0</v>
      </c>
      <c r="R27" t="n">
        <v>0</v>
      </c>
      <c r="S27" t="n">
        <v>1</v>
      </c>
      <c r="T27" t="n">
        <v>1</v>
      </c>
      <c r="U27" t="n">
        <v>1</v>
      </c>
      <c r="V27" s="2" t="inlineStr">
        <is>
          <t>Tjäder</t>
        </is>
      </c>
      <c r="W27">
        <f>HYPERLINK("https://klasma.github.io/Logging_0330/artfynd/A 12991-2026 artfynd.xlsx", "A 12991-2026")</f>
        <v/>
      </c>
      <c r="X27">
        <f>HYPERLINK("https://klasma.github.io/Logging_0330/kartor/A 12991-2026 karta.png", "A 12991-2026")</f>
        <v/>
      </c>
      <c r="Y27">
        <f>HYPERLINK("https://klasma.github.io/Logging_0330/kartor_geotiff/A 12991-2026 georefererad karta.tif", "A 12991-2026")</f>
        <v/>
      </c>
      <c r="AA27">
        <f>HYPERLINK("https://klasma.github.io/Logging_0330/klagomål/A 12991-2026 FSC-klagomål.docx", "A 12991-2026")</f>
        <v/>
      </c>
      <c r="AB27">
        <f>HYPERLINK("https://klasma.github.io/Logging_0330/klagomålsmail/A 12991-2026 FSC-klagomål mail.docx", "A 12991-2026")</f>
        <v/>
      </c>
      <c r="AC27">
        <f>HYPERLINK("https://klasma.github.io/Logging_0330/tillsyn/A 12991-2026 tillsynsbegäran.docx", "A 12991-2026")</f>
        <v/>
      </c>
      <c r="AD27">
        <f>HYPERLINK("https://klasma.github.io/Logging_0330/tillsynsmail/A 12991-2026 tillsynsbegäran mail.docx", "A 12991-2026")</f>
        <v/>
      </c>
      <c r="AE27">
        <f>HYPERLINK("https://klasma.github.io/Logging_0330/fåglar/A 12991-2026 prioriterade fågelarter.docx", "A 12991-2026")</f>
        <v/>
      </c>
    </row>
    <row r="28" ht="15" customHeight="1">
      <c r="A28" t="inlineStr">
        <is>
          <t>A 13380-2026</t>
        </is>
      </c>
      <c r="B28" t="inlineStr">
        <is>
          <t>avverkningsanmälan</t>
        </is>
      </c>
      <c r="C28" t="inlineStr">
        <is>
          <t>Föryngringsavverkning</t>
        </is>
      </c>
      <c r="D28" s="1" t="n">
        <v>46094</v>
      </c>
      <c r="E28" s="1" t="n">
        <v>46228</v>
      </c>
      <c r="F28" t="inlineStr">
        <is>
          <t>UPPSALA LÄN</t>
        </is>
      </c>
      <c r="G28" t="inlineStr">
        <is>
          <t>KNIVSTA</t>
        </is>
      </c>
      <c r="I28" t="n">
        <v>1.7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13380-2026 artfynd.xlsx", "A 13380-2026")</f>
        <v/>
      </c>
      <c r="X28">
        <f>HYPERLINK("https://klasma.github.io/Logging_0330/kartor/A 13380-2026 karta.png", "A 13380-2026")</f>
        <v/>
      </c>
      <c r="Y28">
        <f>HYPERLINK("https://klasma.github.io/Logging_0330/kartor_geotiff/A 13380-2026 georefererad karta.tif", "A 13380-2026")</f>
        <v/>
      </c>
      <c r="AA28">
        <f>HYPERLINK("https://klasma.github.io/Logging_0330/klagomål/A 13380-2026 FSC-klagomål.docx", "A 13380-2026")</f>
        <v/>
      </c>
      <c r="AB28">
        <f>HYPERLINK("https://klasma.github.io/Logging_0330/klagomålsmail/A 13380-2026 FSC-klagomål mail.docx", "A 13380-2026")</f>
        <v/>
      </c>
      <c r="AC28">
        <f>HYPERLINK("https://klasma.github.io/Logging_0330/tillsyn/A 13380-2026 tillsynsbegäran.docx", "A 13380-2026")</f>
        <v/>
      </c>
      <c r="AD28">
        <f>HYPERLINK("https://klasma.github.io/Logging_0330/tillsynsmail/A 13380-2026 tillsynsbegäran mail.docx", "A 13380-2026")</f>
        <v/>
      </c>
      <c r="AE28">
        <f>HYPERLINK("https://klasma.github.io/Logging_0330/fåglar/A 13380-2026 prioriterade fågelarter.docx", "A 13380-2026")</f>
        <v/>
      </c>
    </row>
    <row r="29" ht="15" customHeight="1">
      <c r="A29" t="inlineStr">
        <is>
          <t>A 11405-2025</t>
        </is>
      </c>
      <c r="B29" t="inlineStr">
        <is>
          <t>avverkningsanmälan</t>
        </is>
      </c>
      <c r="C29" t="inlineStr">
        <is>
          <t>Föryngringsavverkning</t>
        </is>
      </c>
      <c r="D29" s="1" t="n">
        <v>45726</v>
      </c>
      <c r="E29" s="1" t="n">
        <v>46228</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46228</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46228</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46228</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46228</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46228</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46228</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46228</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46228</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46228</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46228</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46228</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46228</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46228</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46228</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46228</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46228</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46228</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46228</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46228</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46228</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46228</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46228</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46228</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46228</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45525-2023</t>
        </is>
      </c>
      <c r="B54" t="inlineStr">
        <is>
          <t>avverkningsanmälan</t>
        </is>
      </c>
      <c r="C54" t="inlineStr">
        <is>
          <t>Avverkning för annat ändamål</t>
        </is>
      </c>
      <c r="D54" s="1" t="n">
        <v>45194</v>
      </c>
      <c r="E54" s="1" t="n">
        <v>46228</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16773-2022</t>
        </is>
      </c>
      <c r="B55" t="inlineStr">
        <is>
          <t>avverkningsanmälan</t>
        </is>
      </c>
      <c r="C55" t="inlineStr">
        <is>
          <t>Avverkning för annat ändamål</t>
        </is>
      </c>
      <c r="D55" s="1" t="n">
        <v>44673</v>
      </c>
      <c r="E55" s="1" t="n">
        <v>46228</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60018-2024</t>
        </is>
      </c>
      <c r="B56" t="inlineStr">
        <is>
          <t>avverkningsanmälan</t>
        </is>
      </c>
      <c r="C56" t="inlineStr">
        <is>
          <t>Föryngringsavverkning</t>
        </is>
      </c>
      <c r="D56" s="1" t="n">
        <v>45642</v>
      </c>
      <c r="E56" s="1" t="n">
        <v>46228</v>
      </c>
      <c r="F56" t="inlineStr">
        <is>
          <t>UPPSALA LÄN</t>
        </is>
      </c>
      <c r="G56" t="inlineStr">
        <is>
          <t>KNIVSTA</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1791-2024</t>
        </is>
      </c>
      <c r="B57" t="inlineStr">
        <is>
          <t>avverkningsanmälan</t>
        </is>
      </c>
      <c r="C57" t="inlineStr">
        <is>
          <t>Föryngringsavverkning</t>
        </is>
      </c>
      <c r="D57" s="1" t="n">
        <v>45307</v>
      </c>
      <c r="E57" s="1" t="n">
        <v>46228</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52666-2025</t>
        </is>
      </c>
      <c r="B58" t="inlineStr">
        <is>
          <t>avverkningsanmälan</t>
        </is>
      </c>
      <c r="C58" t="inlineStr">
        <is>
          <t>Föryngringsavverkning</t>
        </is>
      </c>
      <c r="D58" s="1" t="n">
        <v>45955</v>
      </c>
      <c r="E58" s="1" t="n">
        <v>46228</v>
      </c>
      <c r="F58" t="inlineStr">
        <is>
          <t>UPPSALA LÄN</t>
        </is>
      </c>
      <c r="G58" t="inlineStr">
        <is>
          <t>KNIVSTA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45453-2025</t>
        </is>
      </c>
      <c r="B59" t="inlineStr">
        <is>
          <t>avverkningsanmälan</t>
        </is>
      </c>
      <c r="C59" t="inlineStr">
        <is>
          <t>Föryngringsavverkning</t>
        </is>
      </c>
      <c r="D59" s="1" t="n">
        <v>45922</v>
      </c>
      <c r="E59" s="1" t="n">
        <v>46228</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23239-2023</t>
        </is>
      </c>
      <c r="B60" t="inlineStr">
        <is>
          <t>avverkningsanmälan</t>
        </is>
      </c>
      <c r="C60" t="inlineStr">
        <is>
          <t>Föryngringsavverkning</t>
        </is>
      </c>
      <c r="D60" s="1" t="n">
        <v>45075</v>
      </c>
      <c r="E60" s="1" t="n">
        <v>46228</v>
      </c>
      <c r="F60" t="inlineStr">
        <is>
          <t>UPPSALA LÄN</t>
        </is>
      </c>
      <c r="G60" t="inlineStr">
        <is>
          <t>KNIVSTA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33974-2025</t>
        </is>
      </c>
      <c r="B61" t="inlineStr">
        <is>
          <t>avverkningsanmälan</t>
        </is>
      </c>
      <c r="C61" t="inlineStr">
        <is>
          <t>Föryngringsavverkning</t>
        </is>
      </c>
      <c r="D61" s="1" t="n">
        <v>45843</v>
      </c>
      <c r="E61" s="1" t="n">
        <v>46228</v>
      </c>
      <c r="F61" t="inlineStr">
        <is>
          <t>UPPSALA LÄN</t>
        </is>
      </c>
      <c r="G61" t="inlineStr">
        <is>
          <t>KNIVSTA</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20528-2026</t>
        </is>
      </c>
      <c r="B62" t="inlineStr">
        <is>
          <t>avverkningsanmälan</t>
        </is>
      </c>
      <c r="C62" t="inlineStr">
        <is>
          <t>Föryngringsavverkning</t>
        </is>
      </c>
      <c r="D62" s="1" t="n">
        <v>46140</v>
      </c>
      <c r="E62" s="1" t="n">
        <v>46228</v>
      </c>
      <c r="F62" t="inlineStr">
        <is>
          <t>UPPSALA LÄN</t>
        </is>
      </c>
      <c r="G62" t="inlineStr">
        <is>
          <t>KNIVSTA</t>
        </is>
      </c>
      <c r="I62" t="n">
        <v>5.7</v>
      </c>
      <c r="J62" t="n">
        <v>0</v>
      </c>
      <c r="K62" t="n">
        <v>0</v>
      </c>
      <c r="L62" t="n">
        <v>0</v>
      </c>
      <c r="M62" t="n">
        <v>0</v>
      </c>
      <c r="N62" t="n">
        <v>0</v>
      </c>
      <c r="O62" t="n">
        <v>0</v>
      </c>
      <c r="P62" t="n">
        <v>0</v>
      </c>
      <c r="Q62" t="n">
        <v>0</v>
      </c>
      <c r="R62" t="n">
        <v>0</v>
      </c>
      <c r="S62" t="n">
        <v>0</v>
      </c>
      <c r="T62" t="n">
        <v>0</v>
      </c>
      <c r="U62" t="n">
        <v>0</v>
      </c>
      <c r="V62" s="2" t="inlineStr"/>
    </row>
    <row r="63" ht="15" customHeight="1">
      <c r="A63" t="inlineStr">
        <is>
          <t>A 47803-2025</t>
        </is>
      </c>
      <c r="B63" t="inlineStr">
        <is>
          <t>avverkningsanmälan</t>
        </is>
      </c>
      <c r="C63" t="inlineStr">
        <is>
          <t>Avverkning för annat ändamål</t>
        </is>
      </c>
      <c r="D63" s="1" t="n">
        <v>45931</v>
      </c>
      <c r="E63" s="1" t="n">
        <v>46228</v>
      </c>
      <c r="F63" t="inlineStr">
        <is>
          <t>UPPSALA LÄN</t>
        </is>
      </c>
      <c r="G63" t="inlineStr">
        <is>
          <t>KNIVSTA</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19777-2026</t>
        </is>
      </c>
      <c r="B64" t="inlineStr">
        <is>
          <t>avverkningsanmälan</t>
        </is>
      </c>
      <c r="C64" t="inlineStr">
        <is>
          <t>Föryngringsavverkning</t>
        </is>
      </c>
      <c r="D64" s="1" t="n">
        <v>46135</v>
      </c>
      <c r="E64" s="1" t="n">
        <v>46228</v>
      </c>
      <c r="F64" t="inlineStr">
        <is>
          <t>UPPSALA LÄN</t>
        </is>
      </c>
      <c r="G64" t="inlineStr">
        <is>
          <t>KNIVSTA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49090-2025</t>
        </is>
      </c>
      <c r="B65" t="inlineStr">
        <is>
          <t>avverkningsanmälan</t>
        </is>
      </c>
      <c r="C65" t="inlineStr">
        <is>
          <t>Föryngringsavverkning</t>
        </is>
      </c>
      <c r="D65" s="1" t="n">
        <v>45937</v>
      </c>
      <c r="E65" s="1" t="n">
        <v>46228</v>
      </c>
      <c r="F65" t="inlineStr">
        <is>
          <t>UPPSALA LÄN</t>
        </is>
      </c>
      <c r="G65" t="inlineStr">
        <is>
          <t>KNIVSTA</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66284-2021</t>
        </is>
      </c>
      <c r="B66" t="inlineStr">
        <is>
          <t>avverkningsanmälan</t>
        </is>
      </c>
      <c r="C66" t="inlineStr">
        <is>
          <t>Föryngringsavverkning</t>
        </is>
      </c>
      <c r="D66" s="1" t="n">
        <v>44518</v>
      </c>
      <c r="E66" s="1" t="n">
        <v>46228</v>
      </c>
      <c r="F66" t="inlineStr">
        <is>
          <t>UPPSALA LÄN</t>
        </is>
      </c>
      <c r="G66" t="inlineStr">
        <is>
          <t>KNIVSTA</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11847-2023</t>
        </is>
      </c>
      <c r="B67" t="inlineStr">
        <is>
          <t>avverkningsanmälan</t>
        </is>
      </c>
      <c r="C67" t="inlineStr">
        <is>
          <t>Föryngringsavverkning</t>
        </is>
      </c>
      <c r="D67" s="1" t="n">
        <v>44995</v>
      </c>
      <c r="E67" s="1" t="n">
        <v>46228</v>
      </c>
      <c r="F67" t="inlineStr">
        <is>
          <t>UPPSALA LÄN</t>
        </is>
      </c>
      <c r="G67" t="inlineStr">
        <is>
          <t>KNIVSTA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46228</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662-2026</t>
        </is>
      </c>
      <c r="B69" t="inlineStr">
        <is>
          <t>avverkningsanmälan</t>
        </is>
      </c>
      <c r="C69" t="inlineStr">
        <is>
          <t>Föryngringsavverkning</t>
        </is>
      </c>
      <c r="D69" s="1" t="n">
        <v>46029</v>
      </c>
      <c r="E69" s="1" t="n">
        <v>46228</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5276-2026</t>
        </is>
      </c>
      <c r="B70" t="inlineStr">
        <is>
          <t>avverkningsanmälan</t>
        </is>
      </c>
      <c r="C70" t="inlineStr">
        <is>
          <t>Föryngringsavverkning</t>
        </is>
      </c>
      <c r="D70" s="1" t="n">
        <v>46037</v>
      </c>
      <c r="E70" s="1" t="n">
        <v>46228</v>
      </c>
      <c r="F70" t="inlineStr">
        <is>
          <t>UPPSALA LÄN</t>
        </is>
      </c>
      <c r="G70" t="inlineStr">
        <is>
          <t>KNIVSTA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28668-2026</t>
        </is>
      </c>
      <c r="B71" t="inlineStr">
        <is>
          <t>avverkningsanmälan</t>
        </is>
      </c>
      <c r="C71" t="inlineStr">
        <is>
          <t>Avverkning för annat ändamål</t>
        </is>
      </c>
      <c r="D71" s="1" t="n">
        <v>46193</v>
      </c>
      <c r="E71" s="1" t="n">
        <v>46228</v>
      </c>
      <c r="F71" t="inlineStr">
        <is>
          <t>UPPSALA LÄN</t>
        </is>
      </c>
      <c r="G71" t="inlineStr">
        <is>
          <t>KNIVSTA</t>
        </is>
      </c>
      <c r="I71" t="n">
        <v>7.4</v>
      </c>
      <c r="J71" t="n">
        <v>0</v>
      </c>
      <c r="K71" t="n">
        <v>0</v>
      </c>
      <c r="L71" t="n">
        <v>0</v>
      </c>
      <c r="M71" t="n">
        <v>0</v>
      </c>
      <c r="N71" t="n">
        <v>0</v>
      </c>
      <c r="O71" t="n">
        <v>0</v>
      </c>
      <c r="P71" t="n">
        <v>0</v>
      </c>
      <c r="Q71" t="n">
        <v>0</v>
      </c>
      <c r="R71" t="n">
        <v>0</v>
      </c>
      <c r="S71" t="n">
        <v>0</v>
      </c>
      <c r="T71" t="n">
        <v>0</v>
      </c>
      <c r="U71" t="n">
        <v>0</v>
      </c>
      <c r="V71" s="2" t="inlineStr"/>
    </row>
    <row r="72" ht="15" customHeight="1">
      <c r="A72" t="inlineStr">
        <is>
          <t>A 30351-2022</t>
        </is>
      </c>
      <c r="B72" t="inlineStr">
        <is>
          <t>avverkningsanmälan</t>
        </is>
      </c>
      <c r="C72" t="inlineStr">
        <is>
          <t>Föryngringsavverkning</t>
        </is>
      </c>
      <c r="D72" s="1" t="n">
        <v>44757</v>
      </c>
      <c r="E72" s="1" t="n">
        <v>46228</v>
      </c>
      <c r="F72" t="inlineStr">
        <is>
          <t>UPPSALA LÄN</t>
        </is>
      </c>
      <c r="G72" t="inlineStr">
        <is>
          <t>KNIVSTA</t>
        </is>
      </c>
      <c r="I72" t="n">
        <v>5.7</v>
      </c>
      <c r="J72" t="n">
        <v>0</v>
      </c>
      <c r="K72" t="n">
        <v>0</v>
      </c>
      <c r="L72" t="n">
        <v>0</v>
      </c>
      <c r="M72" t="n">
        <v>0</v>
      </c>
      <c r="N72" t="n">
        <v>0</v>
      </c>
      <c r="O72" t="n">
        <v>0</v>
      </c>
      <c r="P72" t="n">
        <v>0</v>
      </c>
      <c r="Q72" t="n">
        <v>0</v>
      </c>
      <c r="R72" t="n">
        <v>0</v>
      </c>
      <c r="S72" t="n">
        <v>0</v>
      </c>
      <c r="T72" t="n">
        <v>0</v>
      </c>
      <c r="U72" t="n">
        <v>0</v>
      </c>
      <c r="V72" s="2" t="inlineStr"/>
    </row>
    <row r="73" ht="15" customHeight="1">
      <c r="A73" t="inlineStr">
        <is>
          <t>A 3824-2026</t>
        </is>
      </c>
      <c r="B73" t="inlineStr">
        <is>
          <t>avverkningsanmälan</t>
        </is>
      </c>
      <c r="C73" t="inlineStr">
        <is>
          <t>Föryngringsavverkning</t>
        </is>
      </c>
      <c r="D73" s="1" t="n">
        <v>46043</v>
      </c>
      <c r="E73" s="1" t="n">
        <v>46228</v>
      </c>
      <c r="F73" t="inlineStr">
        <is>
          <t>UPPSALA LÄN</t>
        </is>
      </c>
      <c r="G73" t="inlineStr">
        <is>
          <t>KNIVSTA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31875-2022</t>
        </is>
      </c>
      <c r="B74" t="inlineStr">
        <is>
          <t>avverkningsanmälan</t>
        </is>
      </c>
      <c r="C74" t="inlineStr">
        <is>
          <t>Föryngringsavverkning</t>
        </is>
      </c>
      <c r="D74" s="1" t="n">
        <v>44777</v>
      </c>
      <c r="E74" s="1" t="n">
        <v>46228</v>
      </c>
      <c r="F74" t="inlineStr">
        <is>
          <t>UPPSALA LÄN</t>
        </is>
      </c>
      <c r="G74" t="inlineStr">
        <is>
          <t>KNIVSTA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3375-2026</t>
        </is>
      </c>
      <c r="B75" t="inlineStr">
        <is>
          <t>avverkningsanmälan</t>
        </is>
      </c>
      <c r="C75" t="inlineStr">
        <is>
          <t>Föryngringsavverkning</t>
        </is>
      </c>
      <c r="D75" s="1" t="n">
        <v>46042</v>
      </c>
      <c r="E75" s="1" t="n">
        <v>46228</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51849-2023</t>
        </is>
      </c>
      <c r="B76" t="inlineStr">
        <is>
          <t>avverkningsanmälan</t>
        </is>
      </c>
      <c r="C76" t="inlineStr">
        <is>
          <t>Föryngringsavverkning</t>
        </is>
      </c>
      <c r="D76" s="1" t="n">
        <v>45223</v>
      </c>
      <c r="E76" s="1" t="n">
        <v>46228</v>
      </c>
      <c r="F76" t="inlineStr">
        <is>
          <t>UPPSALA LÄN</t>
        </is>
      </c>
      <c r="G76" t="inlineStr">
        <is>
          <t>KNIVSTA</t>
        </is>
      </c>
      <c r="I76" t="n">
        <v>16.3</v>
      </c>
      <c r="J76" t="n">
        <v>0</v>
      </c>
      <c r="K76" t="n">
        <v>0</v>
      </c>
      <c r="L76" t="n">
        <v>0</v>
      </c>
      <c r="M76" t="n">
        <v>0</v>
      </c>
      <c r="N76" t="n">
        <v>0</v>
      </c>
      <c r="O76" t="n">
        <v>0</v>
      </c>
      <c r="P76" t="n">
        <v>0</v>
      </c>
      <c r="Q76" t="n">
        <v>0</v>
      </c>
      <c r="R76" t="n">
        <v>0</v>
      </c>
      <c r="S76" t="n">
        <v>0</v>
      </c>
      <c r="T76" t="n">
        <v>0</v>
      </c>
      <c r="U76" t="n">
        <v>0</v>
      </c>
      <c r="V76" s="2" t="inlineStr"/>
    </row>
    <row r="77" ht="15" customHeight="1">
      <c r="A77" t="inlineStr">
        <is>
          <t>A 5908-2026</t>
        </is>
      </c>
      <c r="B77" t="inlineStr">
        <is>
          <t>avverkningsanmälan</t>
        </is>
      </c>
      <c r="C77" t="inlineStr">
        <is>
          <t>Föryngringsavverkning</t>
        </is>
      </c>
      <c r="D77" s="1" t="n">
        <v>46052</v>
      </c>
      <c r="E77" s="1" t="n">
        <v>46228</v>
      </c>
      <c r="F77" t="inlineStr">
        <is>
          <t>UPPSALA LÄN</t>
        </is>
      </c>
      <c r="G77" t="inlineStr">
        <is>
          <t>KNIVSTA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5910-2026</t>
        </is>
      </c>
      <c r="B78" t="inlineStr">
        <is>
          <t>avverkningsanmälan</t>
        </is>
      </c>
      <c r="C78" t="inlineStr">
        <is>
          <t>Föryngringsavverkning</t>
        </is>
      </c>
      <c r="D78" s="1" t="n">
        <v>46052</v>
      </c>
      <c r="E78" s="1" t="n">
        <v>46228</v>
      </c>
      <c r="F78" t="inlineStr">
        <is>
          <t>UPPSALA LÄN</t>
        </is>
      </c>
      <c r="G78" t="inlineStr">
        <is>
          <t>KNIVSTA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23969-2026</t>
        </is>
      </c>
      <c r="B79" t="inlineStr">
        <is>
          <t>avverkningsanmälan</t>
        </is>
      </c>
      <c r="C79" t="inlineStr">
        <is>
          <t>Föryngringsavverkning</t>
        </is>
      </c>
      <c r="D79" s="1" t="n">
        <v>46167</v>
      </c>
      <c r="E79" s="1" t="n">
        <v>46228</v>
      </c>
      <c r="F79" t="inlineStr">
        <is>
          <t>UPPSALA LÄN</t>
        </is>
      </c>
      <c r="G79" t="inlineStr">
        <is>
          <t>KNIVSTA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66293-2021</t>
        </is>
      </c>
      <c r="B80" t="inlineStr">
        <is>
          <t>avverkningsanmälan</t>
        </is>
      </c>
      <c r="C80" t="inlineStr">
        <is>
          <t>Föryngringsavverkning</t>
        </is>
      </c>
      <c r="D80" s="1" t="n">
        <v>44518</v>
      </c>
      <c r="E80" s="1" t="n">
        <v>46228</v>
      </c>
      <c r="F80" t="inlineStr">
        <is>
          <t>UPPSALA LÄN</t>
        </is>
      </c>
      <c r="G80" t="inlineStr">
        <is>
          <t>KNIVSTA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45916-2022</t>
        </is>
      </c>
      <c r="B81" t="inlineStr">
        <is>
          <t>avverkningsanmälan</t>
        </is>
      </c>
      <c r="C81" t="inlineStr">
        <is>
          <t>Föryngringsavverkning</t>
        </is>
      </c>
      <c r="D81" s="1" t="n">
        <v>44846</v>
      </c>
      <c r="E81" s="1" t="n">
        <v>46228</v>
      </c>
      <c r="F81" t="inlineStr">
        <is>
          <t>UPPSALA LÄN</t>
        </is>
      </c>
      <c r="G81" t="inlineStr">
        <is>
          <t>KNIVSTA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9744-2026</t>
        </is>
      </c>
      <c r="B82" t="inlineStr">
        <is>
          <t>avverkningsanmälan</t>
        </is>
      </c>
      <c r="C82" t="inlineStr">
        <is>
          <t>Föryngringsavverkning</t>
        </is>
      </c>
      <c r="D82" s="1" t="n">
        <v>46072</v>
      </c>
      <c r="E82" s="1" t="n">
        <v>46228</v>
      </c>
      <c r="F82" t="inlineStr">
        <is>
          <t>UPPSALA LÄN</t>
        </is>
      </c>
      <c r="G82" t="inlineStr">
        <is>
          <t>KNIVSTA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2629-2025</t>
        </is>
      </c>
      <c r="B83" t="inlineStr">
        <is>
          <t>avverkningsanmälan</t>
        </is>
      </c>
      <c r="C83" t="inlineStr">
        <is>
          <t>Föryngringsavverkning</t>
        </is>
      </c>
      <c r="D83" s="1" t="n">
        <v>45675</v>
      </c>
      <c r="E83" s="1" t="n">
        <v>46228</v>
      </c>
      <c r="F83" t="inlineStr">
        <is>
          <t>UPPSALA LÄN</t>
        </is>
      </c>
      <c r="G83" t="inlineStr">
        <is>
          <t>KNIVSTA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5320-2023</t>
        </is>
      </c>
      <c r="B84" t="inlineStr">
        <is>
          <t>avverkningsanmälan</t>
        </is>
      </c>
      <c r="C84" t="inlineStr">
        <is>
          <t>Föryngringsavverkning</t>
        </is>
      </c>
      <c r="D84" s="1" t="n">
        <v>44959</v>
      </c>
      <c r="E84" s="1" t="n">
        <v>46228</v>
      </c>
      <c r="F84" t="inlineStr">
        <is>
          <t>UPPSALA LÄN</t>
        </is>
      </c>
      <c r="G84" t="inlineStr">
        <is>
          <t>KNIVSTA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12027-2026</t>
        </is>
      </c>
      <c r="B85" t="inlineStr">
        <is>
          <t>avverkningsanmälan</t>
        </is>
      </c>
      <c r="C85" t="inlineStr">
        <is>
          <t>Avverkning för annat ändamål</t>
        </is>
      </c>
      <c r="D85" s="1" t="n">
        <v>46085</v>
      </c>
      <c r="E85" s="1" t="n">
        <v>46228</v>
      </c>
      <c r="F85" t="inlineStr">
        <is>
          <t>UPPSALA LÄN</t>
        </is>
      </c>
      <c r="G85" t="inlineStr">
        <is>
          <t>KNIVSTA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12774-2026</t>
        </is>
      </c>
      <c r="B86" t="inlineStr">
        <is>
          <t>avverkningsanmälan</t>
        </is>
      </c>
      <c r="C86" t="inlineStr">
        <is>
          <t>Föryngringsavverkning</t>
        </is>
      </c>
      <c r="D86" s="1" t="n">
        <v>46091</v>
      </c>
      <c r="E86" s="1" t="n">
        <v>46228</v>
      </c>
      <c r="F86" t="inlineStr">
        <is>
          <t>UPPSALA LÄN</t>
        </is>
      </c>
      <c r="G86" t="inlineStr">
        <is>
          <t>KNIVSTA</t>
        </is>
      </c>
      <c r="H86" t="inlineStr">
        <is>
          <t>Holmen skog AB</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13011-2026</t>
        </is>
      </c>
      <c r="B87" t="inlineStr">
        <is>
          <t>avverkningsanmälan</t>
        </is>
      </c>
      <c r="C87" t="inlineStr">
        <is>
          <t>Föryngringsavverkning</t>
        </is>
      </c>
      <c r="D87" s="1" t="n">
        <v>46092</v>
      </c>
      <c r="E87" s="1" t="n">
        <v>46228</v>
      </c>
      <c r="F87" t="inlineStr">
        <is>
          <t>UPPSALA LÄN</t>
        </is>
      </c>
      <c r="G87" t="inlineStr">
        <is>
          <t>KNIVSTA</t>
        </is>
      </c>
      <c r="H87" t="inlineStr">
        <is>
          <t>Holmen skog AB</t>
        </is>
      </c>
      <c r="I87" t="n">
        <v>1.9</v>
      </c>
      <c r="J87" t="n">
        <v>0</v>
      </c>
      <c r="K87" t="n">
        <v>0</v>
      </c>
      <c r="L87" t="n">
        <v>0</v>
      </c>
      <c r="M87" t="n">
        <v>0</v>
      </c>
      <c r="N87" t="n">
        <v>0</v>
      </c>
      <c r="O87" t="n">
        <v>0</v>
      </c>
      <c r="P87" t="n">
        <v>0</v>
      </c>
      <c r="Q87" t="n">
        <v>0</v>
      </c>
      <c r="R87" t="n">
        <v>0</v>
      </c>
      <c r="S87" t="n">
        <v>0</v>
      </c>
      <c r="T87" t="n">
        <v>0</v>
      </c>
      <c r="U87" t="n">
        <v>0</v>
      </c>
      <c r="V87" s="2" t="inlineStr"/>
      <c r="Z87">
        <f>HYPERLINK("https://klasma.github.io/Logging_0330/knärot/A 13011-2026 karta knärot.png", "A 13011-2026")</f>
        <v/>
      </c>
      <c r="AA87">
        <f>HYPERLINK("https://klasma.github.io/Logging_0330/klagomål/A 13011-2026 FSC-klagomål.docx", "A 13011-2026")</f>
        <v/>
      </c>
      <c r="AB87">
        <f>HYPERLINK("https://klasma.github.io/Logging_0330/klagomålsmail/A 13011-2026 FSC-klagomål mail.docx", "A 13011-2026")</f>
        <v/>
      </c>
      <c r="AC87">
        <f>HYPERLINK("https://klasma.github.io/Logging_0330/tillsyn/A 13011-2026 tillsynsbegäran.docx", "A 13011-2026")</f>
        <v/>
      </c>
      <c r="AD87">
        <f>HYPERLINK("https://klasma.github.io/Logging_0330/tillsynsmail/A 13011-2026 tillsynsbegäran mail.docx", "A 13011-2026")</f>
        <v/>
      </c>
    </row>
    <row r="88" ht="15" customHeight="1">
      <c r="A88" t="inlineStr">
        <is>
          <t>A 13013-2026</t>
        </is>
      </c>
      <c r="B88" t="inlineStr">
        <is>
          <t>avverkningsanmälan</t>
        </is>
      </c>
      <c r="C88" t="inlineStr">
        <is>
          <t>Föryngringsavverkning</t>
        </is>
      </c>
      <c r="D88" s="1" t="n">
        <v>46092</v>
      </c>
      <c r="E88" s="1" t="n">
        <v>46228</v>
      </c>
      <c r="F88" t="inlineStr">
        <is>
          <t>UPPSALA LÄN</t>
        </is>
      </c>
      <c r="G88" t="inlineStr">
        <is>
          <t>KNIVSTA</t>
        </is>
      </c>
      <c r="H88" t="inlineStr">
        <is>
          <t>Holmen skog AB</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13001-2026</t>
        </is>
      </c>
      <c r="B89" t="inlineStr">
        <is>
          <t>avverkningsanmälan</t>
        </is>
      </c>
      <c r="C89" t="inlineStr">
        <is>
          <t>Föryngringsavverkning</t>
        </is>
      </c>
      <c r="D89" s="1" t="n">
        <v>46092</v>
      </c>
      <c r="E89" s="1" t="n">
        <v>46228</v>
      </c>
      <c r="F89" t="inlineStr">
        <is>
          <t>UPPSALA LÄN</t>
        </is>
      </c>
      <c r="G89" t="inlineStr">
        <is>
          <t>KNIVSTA</t>
        </is>
      </c>
      <c r="H89" t="inlineStr">
        <is>
          <t>Holmen skog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13005-2026</t>
        </is>
      </c>
      <c r="B90" t="inlineStr">
        <is>
          <t>avverkningsanmälan</t>
        </is>
      </c>
      <c r="C90" t="inlineStr">
        <is>
          <t>Föryngringsavverkning</t>
        </is>
      </c>
      <c r="D90" s="1" t="n">
        <v>46092</v>
      </c>
      <c r="E90" s="1" t="n">
        <v>46228</v>
      </c>
      <c r="F90" t="inlineStr">
        <is>
          <t>UPPSALA LÄN</t>
        </is>
      </c>
      <c r="G90" t="inlineStr">
        <is>
          <t>KNIVSTA</t>
        </is>
      </c>
      <c r="H90" t="inlineStr">
        <is>
          <t>Holmen skog AB</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13016-2026</t>
        </is>
      </c>
      <c r="B91" t="inlineStr">
        <is>
          <t>avverkningsanmälan</t>
        </is>
      </c>
      <c r="C91" t="inlineStr">
        <is>
          <t>Föryngringsavverkning</t>
        </is>
      </c>
      <c r="D91" s="1" t="n">
        <v>46092</v>
      </c>
      <c r="E91" s="1" t="n">
        <v>46228</v>
      </c>
      <c r="F91" t="inlineStr">
        <is>
          <t>UPPSALA LÄN</t>
        </is>
      </c>
      <c r="G91" t="inlineStr">
        <is>
          <t>KNIVSTA</t>
        </is>
      </c>
      <c r="H91" t="inlineStr">
        <is>
          <t>Holmen skog AB</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11452-2023</t>
        </is>
      </c>
      <c r="B92" t="inlineStr">
        <is>
          <t>avverkningsanmälan</t>
        </is>
      </c>
      <c r="C92" t="inlineStr">
        <is>
          <t>Föryngringsavverkning</t>
        </is>
      </c>
      <c r="D92" s="1" t="n">
        <v>44993</v>
      </c>
      <c r="E92" s="1" t="n">
        <v>46228</v>
      </c>
      <c r="F92" t="inlineStr">
        <is>
          <t>UPPSALA LÄN</t>
        </is>
      </c>
      <c r="G92" t="inlineStr">
        <is>
          <t>KNIVSTA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30627-2023</t>
        </is>
      </c>
      <c r="B93" t="inlineStr">
        <is>
          <t>avverkningsanmälan</t>
        </is>
      </c>
      <c r="C93" t="inlineStr">
        <is>
          <t>Föryngringsavverkning</t>
        </is>
      </c>
      <c r="D93" s="1" t="n">
        <v>45112</v>
      </c>
      <c r="E93" s="1" t="n">
        <v>46228</v>
      </c>
      <c r="F93" t="inlineStr">
        <is>
          <t>UPPSALA LÄN</t>
        </is>
      </c>
      <c r="G93" t="inlineStr">
        <is>
          <t>KNIVSTA</t>
        </is>
      </c>
      <c r="H93" t="inlineStr">
        <is>
          <t>Holmen skog AB</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43908-2023</t>
        </is>
      </c>
      <c r="B94" t="inlineStr">
        <is>
          <t>avverkningsanmälan</t>
        </is>
      </c>
      <c r="C94" t="inlineStr">
        <is>
          <t>Föryngringsavverkning</t>
        </is>
      </c>
      <c r="D94" s="1" t="n">
        <v>45187</v>
      </c>
      <c r="E94" s="1" t="n">
        <v>46228</v>
      </c>
      <c r="F94" t="inlineStr">
        <is>
          <t>UPPSALA LÄN</t>
        </is>
      </c>
      <c r="G94" t="inlineStr">
        <is>
          <t>KNIVSTA</t>
        </is>
      </c>
      <c r="H94" t="inlineStr">
        <is>
          <t>Kyrkan</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19774-2026</t>
        </is>
      </c>
      <c r="B95" t="inlineStr">
        <is>
          <t>avverkningsanmälan</t>
        </is>
      </c>
      <c r="C95" t="inlineStr">
        <is>
          <t>Föryngringsavverkning</t>
        </is>
      </c>
      <c r="D95" s="1" t="n">
        <v>46135</v>
      </c>
      <c r="E95" s="1" t="n">
        <v>46228</v>
      </c>
      <c r="F95" t="inlineStr">
        <is>
          <t>UPPSALA LÄN</t>
        </is>
      </c>
      <c r="G95" t="inlineStr">
        <is>
          <t>KNIVSTA</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8343-2024</t>
        </is>
      </c>
      <c r="B96" t="inlineStr">
        <is>
          <t>avverkningsanmälan</t>
        </is>
      </c>
      <c r="C96" t="inlineStr">
        <is>
          <t>Föryngringsavverkning</t>
        </is>
      </c>
      <c r="D96" s="1" t="n">
        <v>45352</v>
      </c>
      <c r="E96" s="1" t="n">
        <v>46228</v>
      </c>
      <c r="F96" t="inlineStr">
        <is>
          <t>UPPSALA LÄN</t>
        </is>
      </c>
      <c r="G96" t="inlineStr">
        <is>
          <t>KNIVSTA</t>
        </is>
      </c>
      <c r="H96" t="inlineStr">
        <is>
          <t>Holmen skog AB</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19676-2025</t>
        </is>
      </c>
      <c r="B97" t="inlineStr">
        <is>
          <t>avverkningsanmälan</t>
        </is>
      </c>
      <c r="C97" t="inlineStr">
        <is>
          <t>Föryngringsavverkning</t>
        </is>
      </c>
      <c r="D97" s="1" t="n">
        <v>45770</v>
      </c>
      <c r="E97" s="1" t="n">
        <v>46228</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13697-2024</t>
        </is>
      </c>
      <c r="B98" t="inlineStr">
        <is>
          <t>avverkningsanmälan</t>
        </is>
      </c>
      <c r="C98" t="inlineStr">
        <is>
          <t>Föryngringsavverkning</t>
        </is>
      </c>
      <c r="D98" s="1" t="n">
        <v>45390</v>
      </c>
      <c r="E98" s="1" t="n">
        <v>46228</v>
      </c>
      <c r="F98" t="inlineStr">
        <is>
          <t>UPPSALA LÄN</t>
        </is>
      </c>
      <c r="G98" t="inlineStr">
        <is>
          <t>KNIVSTA</t>
        </is>
      </c>
      <c r="H98" t="inlineStr">
        <is>
          <t>Holmen skog AB</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1629-2024</t>
        </is>
      </c>
      <c r="B99" t="inlineStr">
        <is>
          <t>avverkningsanmälan</t>
        </is>
      </c>
      <c r="C99" t="inlineStr">
        <is>
          <t>Föryngringsavverkning</t>
        </is>
      </c>
      <c r="D99" s="1" t="n">
        <v>45306</v>
      </c>
      <c r="E99" s="1" t="n">
        <v>46228</v>
      </c>
      <c r="F99" t="inlineStr">
        <is>
          <t>UPPSALA LÄN</t>
        </is>
      </c>
      <c r="G99" t="inlineStr">
        <is>
          <t>KNIVSTA</t>
        </is>
      </c>
      <c r="H99" t="inlineStr">
        <is>
          <t>Holmen skog AB</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30764-2023</t>
        </is>
      </c>
      <c r="B100" t="inlineStr">
        <is>
          <t>avverkningsanmälan</t>
        </is>
      </c>
      <c r="C100" t="inlineStr">
        <is>
          <t>Föryngringsavverkning</t>
        </is>
      </c>
      <c r="D100" s="1" t="n">
        <v>45112</v>
      </c>
      <c r="E100" s="1" t="n">
        <v>46228</v>
      </c>
      <c r="F100" t="inlineStr">
        <is>
          <t>UPPSALA LÄN</t>
        </is>
      </c>
      <c r="G100" t="inlineStr">
        <is>
          <t>KNIVSTA</t>
        </is>
      </c>
      <c r="H100" t="inlineStr">
        <is>
          <t>Holmen skog AB</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794-2024</t>
        </is>
      </c>
      <c r="B101" t="inlineStr">
        <is>
          <t>avverkningsanmälan</t>
        </is>
      </c>
      <c r="C101" t="inlineStr">
        <is>
          <t>Föryngringsavverkning</t>
        </is>
      </c>
      <c r="D101" s="1" t="n">
        <v>45300</v>
      </c>
      <c r="E101" s="1" t="n">
        <v>46228</v>
      </c>
      <c r="F101" t="inlineStr">
        <is>
          <t>UPPSALA LÄN</t>
        </is>
      </c>
      <c r="G101" t="inlineStr">
        <is>
          <t>KNIVSTA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20902-2024</t>
        </is>
      </c>
      <c r="B102" t="inlineStr">
        <is>
          <t>avverkningsanmälan</t>
        </is>
      </c>
      <c r="C102" t="inlineStr">
        <is>
          <t>Föryngringsavverkning</t>
        </is>
      </c>
      <c r="D102" s="1" t="n">
        <v>45439</v>
      </c>
      <c r="E102" s="1" t="n">
        <v>46228</v>
      </c>
      <c r="F102" t="inlineStr">
        <is>
          <t>UPPSALA LÄN</t>
        </is>
      </c>
      <c r="G102" t="inlineStr">
        <is>
          <t>KNIVSTA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34864-2025</t>
        </is>
      </c>
      <c r="B103" t="inlineStr">
        <is>
          <t>avverkningsanmälan</t>
        </is>
      </c>
      <c r="C103" t="inlineStr">
        <is>
          <t>Föryngringsavverkning</t>
        </is>
      </c>
      <c r="D103" s="1" t="n">
        <v>45849</v>
      </c>
      <c r="E103" s="1" t="n">
        <v>46228</v>
      </c>
      <c r="F103" t="inlineStr">
        <is>
          <t>UPPSALA LÄN</t>
        </is>
      </c>
      <c r="G103" t="inlineStr">
        <is>
          <t>KNIVSTA</t>
        </is>
      </c>
      <c r="H103" t="inlineStr">
        <is>
          <t>Holmen skog AB</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35318-2025</t>
        </is>
      </c>
      <c r="B104" t="inlineStr">
        <is>
          <t>avverkningsanmälan</t>
        </is>
      </c>
      <c r="C104" t="inlineStr">
        <is>
          <t>Föryngringsavverkning</t>
        </is>
      </c>
      <c r="D104" s="1" t="n">
        <v>45854</v>
      </c>
      <c r="E104" s="1" t="n">
        <v>46228</v>
      </c>
      <c r="F104" t="inlineStr">
        <is>
          <t>UPPSALA LÄN</t>
        </is>
      </c>
      <c r="G104" t="inlineStr">
        <is>
          <t>KNIVSTA</t>
        </is>
      </c>
      <c r="H104" t="inlineStr">
        <is>
          <t>Holmen skog AB</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36473-2025</t>
        </is>
      </c>
      <c r="B105" t="inlineStr">
        <is>
          <t>avverkningsanmälan</t>
        </is>
      </c>
      <c r="C105" t="inlineStr">
        <is>
          <t>Föryngringsavverkning</t>
        </is>
      </c>
      <c r="D105" s="1" t="n">
        <v>45869</v>
      </c>
      <c r="E105" s="1" t="n">
        <v>46228</v>
      </c>
      <c r="F105" t="inlineStr">
        <is>
          <t>UPPSALA LÄN</t>
        </is>
      </c>
      <c r="G105" t="inlineStr">
        <is>
          <t>KNIVSTA</t>
        </is>
      </c>
      <c r="I105" t="n">
        <v>1.4</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46228</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2026-07-25T01:53:53Z</dcterms:created>
  <dcterms:modified xmlns:dcterms="http://purl.org/dc/terms/" xmlns:xsi="http://www.w3.org/2001/XMLSchema-instance" xsi:type="dcterms:W3CDTF">2026-07-25T01:53:53Z</dcterms:modified>
</cp:coreProperties>
</file>