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46060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46060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46060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46060</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46060</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53813-2025</t>
        </is>
      </c>
      <c r="B10" s="1" t="n">
        <v>45960</v>
      </c>
      <c r="C10" s="1" t="n">
        <v>46060</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46060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61768-2025</t>
        </is>
      </c>
      <c r="B12" s="1" t="n">
        <v>46002.63940972222</v>
      </c>
      <c r="C12" s="1" t="n">
        <v>46060</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33770-2023</t>
        </is>
      </c>
      <c r="B13" s="1" t="n">
        <v>45133</v>
      </c>
      <c r="C13" s="1" t="n">
        <v>46060</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46060</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2214-2026</t>
        </is>
      </c>
      <c r="B15" s="1" t="n">
        <v>46036</v>
      </c>
      <c r="C15" s="1" t="n">
        <v>46060</v>
      </c>
      <c r="D15" t="inlineStr">
        <is>
          <t>UPPSALA LÄN</t>
        </is>
      </c>
      <c r="E15" t="inlineStr">
        <is>
          <t>KNIVSTA</t>
        </is>
      </c>
      <c r="G15" t="n">
        <v>4.4</v>
      </c>
      <c r="H15" t="n">
        <v>0</v>
      </c>
      <c r="I15" t="n">
        <v>0</v>
      </c>
      <c r="J15" t="n">
        <v>1</v>
      </c>
      <c r="K15" t="n">
        <v>0</v>
      </c>
      <c r="L15" t="n">
        <v>0</v>
      </c>
      <c r="M15" t="n">
        <v>0</v>
      </c>
      <c r="N15" t="n">
        <v>0</v>
      </c>
      <c r="O15" t="n">
        <v>1</v>
      </c>
      <c r="P15" t="n">
        <v>0</v>
      </c>
      <c r="Q15" t="n">
        <v>1</v>
      </c>
      <c r="R15" s="2" t="inlineStr">
        <is>
          <t>Tallticka</t>
        </is>
      </c>
      <c r="S15">
        <f>HYPERLINK("https://klasma.github.io/Logging_0330/artfynd/A 2214-2026 artfynd.xlsx", "A 2214-2026")</f>
        <v/>
      </c>
      <c r="T15">
        <f>HYPERLINK("https://klasma.github.io/Logging_0330/kartor/A 2214-2026 karta.png", "A 2214-2026")</f>
        <v/>
      </c>
      <c r="U15">
        <f>HYPERLINK("https://klasma.github.io/Logging_0330/knärot/A 2214-2026 karta knärot.png", "A 2214-2026")</f>
        <v/>
      </c>
      <c r="V15">
        <f>HYPERLINK("https://klasma.github.io/Logging_0330/klagomål/A 2214-2026 FSC-klagomål.docx", "A 2214-2026")</f>
        <v/>
      </c>
      <c r="W15">
        <f>HYPERLINK("https://klasma.github.io/Logging_0330/klagomålsmail/A 2214-2026 FSC-klagomål mail.docx", "A 2214-2026")</f>
        <v/>
      </c>
      <c r="X15">
        <f>HYPERLINK("https://klasma.github.io/Logging_0330/tillsyn/A 2214-2026 tillsynsbegäran.docx", "A 2214-2026")</f>
        <v/>
      </c>
      <c r="Y15">
        <f>HYPERLINK("https://klasma.github.io/Logging_0330/tillsynsmail/A 2214-2026 tillsynsbegäran mail.docx", "A 2214-2026")</f>
        <v/>
      </c>
    </row>
    <row r="16" ht="15" customHeight="1">
      <c r="A16" t="inlineStr">
        <is>
          <t>A 11405-2025</t>
        </is>
      </c>
      <c r="B16" s="1" t="n">
        <v>45726</v>
      </c>
      <c r="C16" s="1" t="n">
        <v>46060</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46060</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46060</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46060</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46060</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46060</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46060</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46060</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46060</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46060</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46060</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46060</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46060</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46060</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46060</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46060</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46060</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46060</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46060</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46060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46060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46060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46060</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46060</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46060</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46060</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46060</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46060</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45525-2023</t>
        </is>
      </c>
      <c r="B49" s="1" t="n">
        <v>45194</v>
      </c>
      <c r="C49" s="1" t="n">
        <v>46060</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46060</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46060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46060</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46060</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46060</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46060</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46060</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46060</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46060</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1791-2024</t>
        </is>
      </c>
      <c r="B59" s="1" t="n">
        <v>45307.574375</v>
      </c>
      <c r="C59" s="1" t="n">
        <v>46060</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47803-2025</t>
        </is>
      </c>
      <c r="B60" s="1" t="n">
        <v>45931</v>
      </c>
      <c r="C60" s="1" t="n">
        <v>46060</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33976-2025</t>
        </is>
      </c>
      <c r="B61" s="1" t="n">
        <v>45843</v>
      </c>
      <c r="C61" s="1" t="n">
        <v>46060</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49090-2025</t>
        </is>
      </c>
      <c r="B62" s="1" t="n">
        <v>45937</v>
      </c>
      <c r="C62" s="1" t="n">
        <v>46060</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46060</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46060</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34859-2025</t>
        </is>
      </c>
      <c r="B65" s="1" t="n">
        <v>45849.43511574074</v>
      </c>
      <c r="C65" s="1" t="n">
        <v>46060</v>
      </c>
      <c r="D65" t="inlineStr">
        <is>
          <t>UPPSALA LÄN</t>
        </is>
      </c>
      <c r="E65" t="inlineStr">
        <is>
          <t>KNIVSTA</t>
        </is>
      </c>
      <c r="F65" t="inlineStr">
        <is>
          <t>Holmen skog AB</t>
        </is>
      </c>
      <c r="G65" t="n">
        <v>6.1</v>
      </c>
      <c r="H65" t="n">
        <v>0</v>
      </c>
      <c r="I65" t="n">
        <v>0</v>
      </c>
      <c r="J65" t="n">
        <v>0</v>
      </c>
      <c r="K65" t="n">
        <v>0</v>
      </c>
      <c r="L65" t="n">
        <v>0</v>
      </c>
      <c r="M65" t="n">
        <v>0</v>
      </c>
      <c r="N65" t="n">
        <v>0</v>
      </c>
      <c r="O65" t="n">
        <v>0</v>
      </c>
      <c r="P65" t="n">
        <v>0</v>
      </c>
      <c r="Q65" t="n">
        <v>0</v>
      </c>
      <c r="R65" s="2" t="inlineStr"/>
    </row>
    <row r="66" ht="15" customHeight="1">
      <c r="A66" t="inlineStr">
        <is>
          <t>A 34864-2025</t>
        </is>
      </c>
      <c r="B66" s="1" t="n">
        <v>45849.44028935185</v>
      </c>
      <c r="C66" s="1" t="n">
        <v>46060</v>
      </c>
      <c r="D66" t="inlineStr">
        <is>
          <t>UPPSALA LÄN</t>
        </is>
      </c>
      <c r="E66" t="inlineStr">
        <is>
          <t>KNIVSTA</t>
        </is>
      </c>
      <c r="F66" t="inlineStr">
        <is>
          <t>Holmen skog AB</t>
        </is>
      </c>
      <c r="G66" t="n">
        <v>1.3</v>
      </c>
      <c r="H66" t="n">
        <v>0</v>
      </c>
      <c r="I66" t="n">
        <v>0</v>
      </c>
      <c r="J66" t="n">
        <v>0</v>
      </c>
      <c r="K66" t="n">
        <v>0</v>
      </c>
      <c r="L66" t="n">
        <v>0</v>
      </c>
      <c r="M66" t="n">
        <v>0</v>
      </c>
      <c r="N66" t="n">
        <v>0</v>
      </c>
      <c r="O66" t="n">
        <v>0</v>
      </c>
      <c r="P66" t="n">
        <v>0</v>
      </c>
      <c r="Q66" t="n">
        <v>0</v>
      </c>
      <c r="R66" s="2" t="inlineStr"/>
    </row>
    <row r="67" ht="15" customHeight="1">
      <c r="A67" t="inlineStr">
        <is>
          <t>A 35318-2025</t>
        </is>
      </c>
      <c r="B67" s="1" t="n">
        <v>45854.47917824074</v>
      </c>
      <c r="C67" s="1" t="n">
        <v>46060</v>
      </c>
      <c r="D67" t="inlineStr">
        <is>
          <t>UPPSALA LÄN</t>
        </is>
      </c>
      <c r="E67" t="inlineStr">
        <is>
          <t>KNIVSTA</t>
        </is>
      </c>
      <c r="F67" t="inlineStr">
        <is>
          <t>Holmen skog AB</t>
        </is>
      </c>
      <c r="G67" t="n">
        <v>2.2</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46060</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46060</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36473-2025</t>
        </is>
      </c>
      <c r="B70" s="1" t="n">
        <v>45869.48333333333</v>
      </c>
      <c r="C70" s="1" t="n">
        <v>46060</v>
      </c>
      <c r="D70" t="inlineStr">
        <is>
          <t>UPPSALA LÄN</t>
        </is>
      </c>
      <c r="E70" t="inlineStr">
        <is>
          <t>KNIVSTA</t>
        </is>
      </c>
      <c r="G70" t="n">
        <v>1.4</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46060</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46060</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52667-2025</t>
        </is>
      </c>
      <c r="B73" s="1" t="n">
        <v>45955.74666666667</v>
      </c>
      <c r="C73" s="1" t="n">
        <v>46060</v>
      </c>
      <c r="D73" t="inlineStr">
        <is>
          <t>UPPSALA LÄN</t>
        </is>
      </c>
      <c r="E73" t="inlineStr">
        <is>
          <t>KNIVSTA</t>
        </is>
      </c>
      <c r="G73" t="n">
        <v>1</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46060</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46060</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32975-2021</t>
        </is>
      </c>
      <c r="B76" s="1" t="n">
        <v>44376</v>
      </c>
      <c r="C76" s="1" t="n">
        <v>46060</v>
      </c>
      <c r="D76" t="inlineStr">
        <is>
          <t>UPPSALA LÄN</t>
        </is>
      </c>
      <c r="E76" t="inlineStr">
        <is>
          <t>KNIVSTA</t>
        </is>
      </c>
      <c r="G76" t="n">
        <v>6.1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46060</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662-2026</t>
        </is>
      </c>
      <c r="B78" s="1" t="n">
        <v>46029.58549768518</v>
      </c>
      <c r="C78" s="1" t="n">
        <v>46060</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666-2026</t>
        </is>
      </c>
      <c r="B79" s="1" t="n">
        <v>46029.58832175926</v>
      </c>
      <c r="C79" s="1" t="n">
        <v>46060</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46060</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46060</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46060</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3015-2026</t>
        </is>
      </c>
      <c r="B83" s="1" t="n">
        <v>46038</v>
      </c>
      <c r="C83" s="1" t="n">
        <v>46060</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3016-2026</t>
        </is>
      </c>
      <c r="B84" s="1" t="n">
        <v>46038</v>
      </c>
      <c r="C84" s="1" t="n">
        <v>46060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2952-2026</t>
        </is>
      </c>
      <c r="B85" s="1" t="n">
        <v>46037</v>
      </c>
      <c r="C85" s="1" t="n">
        <v>46060</v>
      </c>
      <c r="D85" t="inlineStr">
        <is>
          <t>UPPSALA LÄN</t>
        </is>
      </c>
      <c r="E85" t="inlineStr">
        <is>
          <t>KNIVSTA</t>
        </is>
      </c>
      <c r="G85" t="n">
        <v>2</v>
      </c>
      <c r="H85" t="n">
        <v>0</v>
      </c>
      <c r="I85" t="n">
        <v>0</v>
      </c>
      <c r="J85" t="n">
        <v>0</v>
      </c>
      <c r="K85" t="n">
        <v>0</v>
      </c>
      <c r="L85" t="n">
        <v>0</v>
      </c>
      <c r="M85" t="n">
        <v>0</v>
      </c>
      <c r="N85" t="n">
        <v>0</v>
      </c>
      <c r="O85" t="n">
        <v>0</v>
      </c>
      <c r="P85" t="n">
        <v>0</v>
      </c>
      <c r="Q85" t="n">
        <v>0</v>
      </c>
      <c r="R85" s="2" t="inlineStr"/>
    </row>
    <row r="86" ht="15" customHeight="1">
      <c r="A86" t="inlineStr">
        <is>
          <t>A 3375-2026</t>
        </is>
      </c>
      <c r="B86" s="1" t="n">
        <v>46042</v>
      </c>
      <c r="C86" s="1" t="n">
        <v>46060</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3836-2026</t>
        </is>
      </c>
      <c r="B87" s="1" t="n">
        <v>46043.5925</v>
      </c>
      <c r="C87" s="1" t="n">
        <v>46060</v>
      </c>
      <c r="D87" t="inlineStr">
        <is>
          <t>UPPSALA LÄN</t>
        </is>
      </c>
      <c r="E87" t="inlineStr">
        <is>
          <t>KNIVSTA</t>
        </is>
      </c>
      <c r="G87" t="n">
        <v>3.7</v>
      </c>
      <c r="H87" t="n">
        <v>0</v>
      </c>
      <c r="I87" t="n">
        <v>0</v>
      </c>
      <c r="J87" t="n">
        <v>0</v>
      </c>
      <c r="K87" t="n">
        <v>0</v>
      </c>
      <c r="L87" t="n">
        <v>0</v>
      </c>
      <c r="M87" t="n">
        <v>0</v>
      </c>
      <c r="N87" t="n">
        <v>0</v>
      </c>
      <c r="O87" t="n">
        <v>0</v>
      </c>
      <c r="P87" t="n">
        <v>0</v>
      </c>
      <c r="Q87" t="n">
        <v>0</v>
      </c>
      <c r="R87" s="2" t="inlineStr"/>
    </row>
    <row r="88" ht="15" customHeight="1">
      <c r="A88" t="inlineStr">
        <is>
          <t>A 3824-2026</t>
        </is>
      </c>
      <c r="B88" s="1" t="n">
        <v>46043.58570601852</v>
      </c>
      <c r="C88" s="1" t="n">
        <v>46060</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30351-2022</t>
        </is>
      </c>
      <c r="B89" s="1" t="n">
        <v>44757</v>
      </c>
      <c r="C89" s="1" t="n">
        <v>46060</v>
      </c>
      <c r="D89" t="inlineStr">
        <is>
          <t>UPPSALA LÄN</t>
        </is>
      </c>
      <c r="E89" t="inlineStr">
        <is>
          <t>KNIVSTA</t>
        </is>
      </c>
      <c r="G89" t="n">
        <v>5.7</v>
      </c>
      <c r="H89" t="n">
        <v>0</v>
      </c>
      <c r="I89" t="n">
        <v>0</v>
      </c>
      <c r="J89" t="n">
        <v>0</v>
      </c>
      <c r="K89" t="n">
        <v>0</v>
      </c>
      <c r="L89" t="n">
        <v>0</v>
      </c>
      <c r="M89" t="n">
        <v>0</v>
      </c>
      <c r="N89" t="n">
        <v>0</v>
      </c>
      <c r="O89" t="n">
        <v>0</v>
      </c>
      <c r="P89" t="n">
        <v>0</v>
      </c>
      <c r="Q89" t="n">
        <v>0</v>
      </c>
      <c r="R89" s="2" t="inlineStr"/>
    </row>
    <row r="90" ht="15" customHeight="1">
      <c r="A90" t="inlineStr">
        <is>
          <t>A 3191-2024</t>
        </is>
      </c>
      <c r="B90" s="1" t="n">
        <v>45316.67186342592</v>
      </c>
      <c r="C90" s="1" t="n">
        <v>46060</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5276-2026</t>
        </is>
      </c>
      <c r="B91" s="1" t="n">
        <v>46037</v>
      </c>
      <c r="C91" s="1" t="n">
        <v>46060</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2944-2026</t>
        </is>
      </c>
      <c r="B92" s="1" t="n">
        <v>46037</v>
      </c>
      <c r="C92" s="1" t="n">
        <v>46060</v>
      </c>
      <c r="D92" t="inlineStr">
        <is>
          <t>UPPSALA LÄN</t>
        </is>
      </c>
      <c r="E92" t="inlineStr">
        <is>
          <t>KNIVSTA</t>
        </is>
      </c>
      <c r="G92" t="n">
        <v>4.7</v>
      </c>
      <c r="H92" t="n">
        <v>0</v>
      </c>
      <c r="I92" t="n">
        <v>0</v>
      </c>
      <c r="J92" t="n">
        <v>0</v>
      </c>
      <c r="K92" t="n">
        <v>0</v>
      </c>
      <c r="L92" t="n">
        <v>0</v>
      </c>
      <c r="M92" t="n">
        <v>0</v>
      </c>
      <c r="N92" t="n">
        <v>0</v>
      </c>
      <c r="O92" t="n">
        <v>0</v>
      </c>
      <c r="P92" t="n">
        <v>0</v>
      </c>
      <c r="Q92" t="n">
        <v>0</v>
      </c>
      <c r="R92" s="2" t="inlineStr"/>
    </row>
    <row r="93" ht="15" customHeight="1">
      <c r="A93" t="inlineStr">
        <is>
          <t>A 31875-2022</t>
        </is>
      </c>
      <c r="B93" s="1" t="n">
        <v>44777</v>
      </c>
      <c r="C93" s="1" t="n">
        <v>46060</v>
      </c>
      <c r="D93" t="inlineStr">
        <is>
          <t>UPPSALA LÄN</t>
        </is>
      </c>
      <c r="E93" t="inlineStr">
        <is>
          <t>KNIVSTA</t>
        </is>
      </c>
      <c r="G93" t="n">
        <v>0.7</v>
      </c>
      <c r="H93" t="n">
        <v>0</v>
      </c>
      <c r="I93" t="n">
        <v>0</v>
      </c>
      <c r="J93" t="n">
        <v>0</v>
      </c>
      <c r="K93" t="n">
        <v>0</v>
      </c>
      <c r="L93" t="n">
        <v>0</v>
      </c>
      <c r="M93" t="n">
        <v>0</v>
      </c>
      <c r="N93" t="n">
        <v>0</v>
      </c>
      <c r="O93" t="n">
        <v>0</v>
      </c>
      <c r="P93" t="n">
        <v>0</v>
      </c>
      <c r="Q93" t="n">
        <v>0</v>
      </c>
      <c r="R93" s="2" t="inlineStr"/>
    </row>
    <row r="94" ht="15" customHeight="1">
      <c r="A94" t="inlineStr">
        <is>
          <t>A 5908-2026</t>
        </is>
      </c>
      <c r="B94" s="1" t="n">
        <v>46052.44399305555</v>
      </c>
      <c r="C94" s="1" t="n">
        <v>46060</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5402-2023</t>
        </is>
      </c>
      <c r="B95" s="1" t="n">
        <v>44959</v>
      </c>
      <c r="C95" s="1" t="n">
        <v>46060</v>
      </c>
      <c r="D95" t="inlineStr">
        <is>
          <t>UPPSALA LÄN</t>
        </is>
      </c>
      <c r="E95" t="inlineStr">
        <is>
          <t>KNIVSTA</t>
        </is>
      </c>
      <c r="G95" t="n">
        <v>4.3</v>
      </c>
      <c r="H95" t="n">
        <v>0</v>
      </c>
      <c r="I95" t="n">
        <v>0</v>
      </c>
      <c r="J95" t="n">
        <v>0</v>
      </c>
      <c r="K95" t="n">
        <v>0</v>
      </c>
      <c r="L95" t="n">
        <v>0</v>
      </c>
      <c r="M95" t="n">
        <v>0</v>
      </c>
      <c r="N95" t="n">
        <v>0</v>
      </c>
      <c r="O95" t="n">
        <v>0</v>
      </c>
      <c r="P95" t="n">
        <v>0</v>
      </c>
      <c r="Q95" t="n">
        <v>0</v>
      </c>
      <c r="R95" s="2" t="inlineStr"/>
    </row>
    <row r="96" ht="15" customHeight="1">
      <c r="A96" t="inlineStr">
        <is>
          <t>A 5910-2026</t>
        </is>
      </c>
      <c r="B96" s="1" t="n">
        <v>46052.44677083333</v>
      </c>
      <c r="C96" s="1" t="n">
        <v>46060</v>
      </c>
      <c r="D96" t="inlineStr">
        <is>
          <t>UPPSALA LÄN</t>
        </is>
      </c>
      <c r="E96" t="inlineStr">
        <is>
          <t>KNIVSTA</t>
        </is>
      </c>
      <c r="G96" t="n">
        <v>0.6</v>
      </c>
      <c r="H96" t="n">
        <v>0</v>
      </c>
      <c r="I96" t="n">
        <v>0</v>
      </c>
      <c r="J96" t="n">
        <v>0</v>
      </c>
      <c r="K96" t="n">
        <v>0</v>
      </c>
      <c r="L96" t="n">
        <v>0</v>
      </c>
      <c r="M96" t="n">
        <v>0</v>
      </c>
      <c r="N96" t="n">
        <v>0</v>
      </c>
      <c r="O96" t="n">
        <v>0</v>
      </c>
      <c r="P96" t="n">
        <v>0</v>
      </c>
      <c r="Q96" t="n">
        <v>0</v>
      </c>
      <c r="R96" s="2" t="inlineStr"/>
    </row>
    <row r="97" ht="15" customHeight="1">
      <c r="A97" t="inlineStr">
        <is>
          <t>A 51849-2023</t>
        </is>
      </c>
      <c r="B97" s="1" t="n">
        <v>45223.34391203704</v>
      </c>
      <c r="C97" s="1" t="n">
        <v>46060</v>
      </c>
      <c r="D97" t="inlineStr">
        <is>
          <t>UPPSALA LÄN</t>
        </is>
      </c>
      <c r="E97" t="inlineStr">
        <is>
          <t>KNIVSTA</t>
        </is>
      </c>
      <c r="G97" t="n">
        <v>16.3</v>
      </c>
      <c r="H97" t="n">
        <v>0</v>
      </c>
      <c r="I97" t="n">
        <v>0</v>
      </c>
      <c r="J97" t="n">
        <v>0</v>
      </c>
      <c r="K97" t="n">
        <v>0</v>
      </c>
      <c r="L97" t="n">
        <v>0</v>
      </c>
      <c r="M97" t="n">
        <v>0</v>
      </c>
      <c r="N97" t="n">
        <v>0</v>
      </c>
      <c r="O97" t="n">
        <v>0</v>
      </c>
      <c r="P97" t="n">
        <v>0</v>
      </c>
      <c r="Q97" t="n">
        <v>0</v>
      </c>
      <c r="R97" s="2" t="inlineStr"/>
    </row>
    <row r="98" ht="15" customHeight="1">
      <c r="A98" t="inlineStr">
        <is>
          <t>A 66293-2021</t>
        </is>
      </c>
      <c r="B98" s="1" t="n">
        <v>44518</v>
      </c>
      <c r="C98" s="1" t="n">
        <v>46060</v>
      </c>
      <c r="D98" t="inlineStr">
        <is>
          <t>UPPSALA LÄN</t>
        </is>
      </c>
      <c r="E98" t="inlineStr">
        <is>
          <t>KNIVSTA</t>
        </is>
      </c>
      <c r="G98" t="n">
        <v>2.6</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46060</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46060</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46060</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46060</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46060</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46060</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46060</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46060</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46060</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46060</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46060</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46060</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46060</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46060</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46060</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46060</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c r="A115" t="inlineStr">
        <is>
          <t>A 794-2024</t>
        </is>
      </c>
      <c r="B115" s="1" t="n">
        <v>45300.58149305556</v>
      </c>
      <c r="C115" s="1" t="n">
        <v>46060</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2026-02-07T13:53:04Z</dcterms:created>
  <dcterms:modified xmlns:dcterms="http://purl.org/dc/terms/" xmlns:xsi="http://www.w3.org/2001/XMLSchema-instance" xsi:type="dcterms:W3CDTF">2026-02-07T13:53:04Z</dcterms:modified>
</cp:coreProperties>
</file>