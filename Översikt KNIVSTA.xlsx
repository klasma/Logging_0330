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46045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46045</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46045</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46045</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46045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46045</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46045</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16973-2021</t>
        </is>
      </c>
      <c r="B9" s="1" t="n">
        <v>44295</v>
      </c>
      <c r="C9" s="1" t="n">
        <v>46045</v>
      </c>
      <c r="D9" t="inlineStr">
        <is>
          <t>UPPSALA LÄN</t>
        </is>
      </c>
      <c r="E9" t="inlineStr">
        <is>
          <t>KNIVSTA</t>
        </is>
      </c>
      <c r="G9" t="n">
        <v>5.5</v>
      </c>
      <c r="H9" t="n">
        <v>0</v>
      </c>
      <c r="I9" t="n">
        <v>0</v>
      </c>
      <c r="J9" t="n">
        <v>1</v>
      </c>
      <c r="K9" t="n">
        <v>0</v>
      </c>
      <c r="L9" t="n">
        <v>0</v>
      </c>
      <c r="M9" t="n">
        <v>0</v>
      </c>
      <c r="N9" t="n">
        <v>0</v>
      </c>
      <c r="O9" t="n">
        <v>1</v>
      </c>
      <c r="P9" t="n">
        <v>0</v>
      </c>
      <c r="Q9" t="n">
        <v>1</v>
      </c>
      <c r="R9" s="2" t="inlineStr">
        <is>
          <t>Backklöver</t>
        </is>
      </c>
      <c r="S9">
        <f>HYPERLINK("https://klasma.github.io/Logging_0330/artfynd/A 16973-2021 artfynd.xlsx", "A 16973-2021")</f>
        <v/>
      </c>
      <c r="T9">
        <f>HYPERLINK("https://klasma.github.io/Logging_0330/kartor/A 16973-2021 karta.png", "A 16973-2021")</f>
        <v/>
      </c>
      <c r="V9">
        <f>HYPERLINK("https://klasma.github.io/Logging_0330/klagomål/A 16973-2021 FSC-klagomål.docx", "A 16973-2021")</f>
        <v/>
      </c>
      <c r="W9">
        <f>HYPERLINK("https://klasma.github.io/Logging_0330/klagomålsmail/A 16973-2021 FSC-klagomål mail.docx", "A 16973-2021")</f>
        <v/>
      </c>
      <c r="X9">
        <f>HYPERLINK("https://klasma.github.io/Logging_0330/tillsyn/A 16973-2021 tillsynsbegäran.docx", "A 16973-2021")</f>
        <v/>
      </c>
      <c r="Y9">
        <f>HYPERLINK("https://klasma.github.io/Logging_0330/tillsynsmail/A 16973-2021 tillsynsbegäran mail.docx", "A 16973-2021")</f>
        <v/>
      </c>
    </row>
    <row r="10" ht="15" customHeight="1">
      <c r="A10" t="inlineStr">
        <is>
          <t>A 5455-2025</t>
        </is>
      </c>
      <c r="B10" s="1" t="n">
        <v>45693</v>
      </c>
      <c r="C10" s="1" t="n">
        <v>46045</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11405-2025</t>
        </is>
      </c>
      <c r="B11" s="1" t="n">
        <v>45726</v>
      </c>
      <c r="C11" s="1" t="n">
        <v>46045</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46045</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53813-2025</t>
        </is>
      </c>
      <c r="B13" s="1" t="n">
        <v>45960</v>
      </c>
      <c r="C13" s="1" t="n">
        <v>46045</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61768-2025</t>
        </is>
      </c>
      <c r="B14" s="1" t="n">
        <v>46002.63940972222</v>
      </c>
      <c r="C14" s="1" t="n">
        <v>46045</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21831-2024</t>
        </is>
      </c>
      <c r="B15" s="1" t="n">
        <v>45442</v>
      </c>
      <c r="C15" s="1" t="n">
        <v>46045</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9553-2025</t>
        </is>
      </c>
      <c r="B16" s="1" t="n">
        <v>45715</v>
      </c>
      <c r="C16" s="1" t="n">
        <v>46045</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16407-2025</t>
        </is>
      </c>
      <c r="B17" s="1" t="n">
        <v>45751.45120370371</v>
      </c>
      <c r="C17" s="1" t="n">
        <v>46045</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9725-2021</t>
        </is>
      </c>
      <c r="B18" s="1" t="n">
        <v>44252</v>
      </c>
      <c r="C18" s="1" t="n">
        <v>46045</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46045</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46045</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46045</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46045</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46045</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46045</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46045</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46045</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46045</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46045</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46045</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46045</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46045</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46045</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46045</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46045</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46045</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46045</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46045</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31875-2022</t>
        </is>
      </c>
      <c r="B38" s="1" t="n">
        <v>44777</v>
      </c>
      <c r="C38" s="1" t="n">
        <v>46045</v>
      </c>
      <c r="D38" t="inlineStr">
        <is>
          <t>UPPSALA LÄN</t>
        </is>
      </c>
      <c r="E38" t="inlineStr">
        <is>
          <t>KNIVSTA</t>
        </is>
      </c>
      <c r="G38" t="n">
        <v>0.7</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46045</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46045</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46045</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46045</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46045</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20505-2021</t>
        </is>
      </c>
      <c r="B44" s="1" t="n">
        <v>44313</v>
      </c>
      <c r="C44" s="1" t="n">
        <v>46045</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23239-2023</t>
        </is>
      </c>
      <c r="B45" s="1" t="n">
        <v>45075</v>
      </c>
      <c r="C45" s="1" t="n">
        <v>46045</v>
      </c>
      <c r="D45" t="inlineStr">
        <is>
          <t>UPPSALA LÄN</t>
        </is>
      </c>
      <c r="E45" t="inlineStr">
        <is>
          <t>KNIVSTA</t>
        </is>
      </c>
      <c r="G45" t="n">
        <v>1.8</v>
      </c>
      <c r="H45" t="n">
        <v>0</v>
      </c>
      <c r="I45" t="n">
        <v>0</v>
      </c>
      <c r="J45" t="n">
        <v>0</v>
      </c>
      <c r="K45" t="n">
        <v>0</v>
      </c>
      <c r="L45" t="n">
        <v>0</v>
      </c>
      <c r="M45" t="n">
        <v>0</v>
      </c>
      <c r="N45" t="n">
        <v>0</v>
      </c>
      <c r="O45" t="n">
        <v>0</v>
      </c>
      <c r="P45" t="n">
        <v>0</v>
      </c>
      <c r="Q45" t="n">
        <v>0</v>
      </c>
      <c r="R45" s="2" t="inlineStr"/>
    </row>
    <row r="46" ht="15" customHeight="1">
      <c r="A46" t="inlineStr">
        <is>
          <t>A 2629-2025</t>
        </is>
      </c>
      <c r="B46" s="1" t="n">
        <v>45675.6953587963</v>
      </c>
      <c r="C46" s="1" t="n">
        <v>46045</v>
      </c>
      <c r="D46" t="inlineStr">
        <is>
          <t>UPPSALA LÄN</t>
        </is>
      </c>
      <c r="E46" t="inlineStr">
        <is>
          <t>KNIVSTA</t>
        </is>
      </c>
      <c r="G46" t="n">
        <v>1.1</v>
      </c>
      <c r="H46" t="n">
        <v>0</v>
      </c>
      <c r="I46" t="n">
        <v>0</v>
      </c>
      <c r="J46" t="n">
        <v>0</v>
      </c>
      <c r="K46" t="n">
        <v>0</v>
      </c>
      <c r="L46" t="n">
        <v>0</v>
      </c>
      <c r="M46" t="n">
        <v>0</v>
      </c>
      <c r="N46" t="n">
        <v>0</v>
      </c>
      <c r="O46" t="n">
        <v>0</v>
      </c>
      <c r="P46" t="n">
        <v>0</v>
      </c>
      <c r="Q46" t="n">
        <v>0</v>
      </c>
      <c r="R46" s="2" t="inlineStr"/>
    </row>
    <row r="47" ht="15" customHeight="1">
      <c r="A47" t="inlineStr">
        <is>
          <t>A 5320-2023</t>
        </is>
      </c>
      <c r="B47" s="1" t="n">
        <v>44959</v>
      </c>
      <c r="C47" s="1" t="n">
        <v>46045</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45916-2022</t>
        </is>
      </c>
      <c r="B48" s="1" t="n">
        <v>44846</v>
      </c>
      <c r="C48" s="1" t="n">
        <v>46045</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46045</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17091-2023</t>
        </is>
      </c>
      <c r="B50" s="1" t="n">
        <v>45034.53554398148</v>
      </c>
      <c r="C50" s="1" t="n">
        <v>46045</v>
      </c>
      <c r="D50" t="inlineStr">
        <is>
          <t>UPPSALA LÄN</t>
        </is>
      </c>
      <c r="E50" t="inlineStr">
        <is>
          <t>KNIVSTA</t>
        </is>
      </c>
      <c r="G50" t="n">
        <v>0.8</v>
      </c>
      <c r="H50" t="n">
        <v>0</v>
      </c>
      <c r="I50" t="n">
        <v>0</v>
      </c>
      <c r="J50" t="n">
        <v>0</v>
      </c>
      <c r="K50" t="n">
        <v>0</v>
      </c>
      <c r="L50" t="n">
        <v>0</v>
      </c>
      <c r="M50" t="n">
        <v>0</v>
      </c>
      <c r="N50" t="n">
        <v>0</v>
      </c>
      <c r="O50" t="n">
        <v>0</v>
      </c>
      <c r="P50" t="n">
        <v>0</v>
      </c>
      <c r="Q50" t="n">
        <v>0</v>
      </c>
      <c r="R50" s="2" t="inlineStr"/>
    </row>
    <row r="51" ht="15" customHeight="1">
      <c r="A51" t="inlineStr">
        <is>
          <t>A 14267-2025</t>
        </is>
      </c>
      <c r="B51" s="1" t="n">
        <v>45740.63686342593</v>
      </c>
      <c r="C51" s="1" t="n">
        <v>46045</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44869-2025</t>
        </is>
      </c>
      <c r="B52" s="1" t="n">
        <v>45918.46758101852</v>
      </c>
      <c r="C52" s="1" t="n">
        <v>46045</v>
      </c>
      <c r="D52" t="inlineStr">
        <is>
          <t>UPPSALA LÄN</t>
        </is>
      </c>
      <c r="E52" t="inlineStr">
        <is>
          <t>KNIVSTA</t>
        </is>
      </c>
      <c r="G52" t="n">
        <v>17.1</v>
      </c>
      <c r="H52" t="n">
        <v>0</v>
      </c>
      <c r="I52" t="n">
        <v>0</v>
      </c>
      <c r="J52" t="n">
        <v>0</v>
      </c>
      <c r="K52" t="n">
        <v>0</v>
      </c>
      <c r="L52" t="n">
        <v>0</v>
      </c>
      <c r="M52" t="n">
        <v>0</v>
      </c>
      <c r="N52" t="n">
        <v>0</v>
      </c>
      <c r="O52" t="n">
        <v>0</v>
      </c>
      <c r="P52" t="n">
        <v>0</v>
      </c>
      <c r="Q52" t="n">
        <v>0</v>
      </c>
      <c r="R52" s="2" t="inlineStr"/>
    </row>
    <row r="53" ht="15" customHeight="1">
      <c r="A53" t="inlineStr">
        <is>
          <t>A 45453-2025</t>
        </is>
      </c>
      <c r="B53" s="1" t="n">
        <v>45922.48702546296</v>
      </c>
      <c r="C53" s="1" t="n">
        <v>46045</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13040-2025</t>
        </is>
      </c>
      <c r="B54" s="1" t="n">
        <v>45734</v>
      </c>
      <c r="C54" s="1" t="n">
        <v>46045</v>
      </c>
      <c r="D54" t="inlineStr">
        <is>
          <t>UPPSALA LÄN</t>
        </is>
      </c>
      <c r="E54" t="inlineStr">
        <is>
          <t>KNIVSTA</t>
        </is>
      </c>
      <c r="F54" t="inlineStr">
        <is>
          <t>Allmännings- och besparingsskogar</t>
        </is>
      </c>
      <c r="G54" t="n">
        <v>1.6</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46045</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46045</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11841-2023</t>
        </is>
      </c>
      <c r="B57" s="1" t="n">
        <v>44995.3221412037</v>
      </c>
      <c r="C57" s="1" t="n">
        <v>46045</v>
      </c>
      <c r="D57" t="inlineStr">
        <is>
          <t>UPPSALA LÄN</t>
        </is>
      </c>
      <c r="E57" t="inlineStr">
        <is>
          <t>KNIVSTA</t>
        </is>
      </c>
      <c r="G57" t="n">
        <v>3.9</v>
      </c>
      <c r="H57" t="n">
        <v>0</v>
      </c>
      <c r="I57" t="n">
        <v>0</v>
      </c>
      <c r="J57" t="n">
        <v>0</v>
      </c>
      <c r="K57" t="n">
        <v>0</v>
      </c>
      <c r="L57" t="n">
        <v>0</v>
      </c>
      <c r="M57" t="n">
        <v>0</v>
      </c>
      <c r="N57" t="n">
        <v>0</v>
      </c>
      <c r="O57" t="n">
        <v>0</v>
      </c>
      <c r="P57" t="n">
        <v>0</v>
      </c>
      <c r="Q57" t="n">
        <v>0</v>
      </c>
      <c r="R57" s="2" t="inlineStr"/>
    </row>
    <row r="58" ht="15" customHeight="1">
      <c r="A58" t="inlineStr">
        <is>
          <t>A 47803-2025</t>
        </is>
      </c>
      <c r="B58" s="1" t="n">
        <v>45931</v>
      </c>
      <c r="C58" s="1" t="n">
        <v>46045</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794-2024</t>
        </is>
      </c>
      <c r="B59" s="1" t="n">
        <v>45300.58149305556</v>
      </c>
      <c r="C59" s="1" t="n">
        <v>46045</v>
      </c>
      <c r="D59" t="inlineStr">
        <is>
          <t>UPPSALA LÄN</t>
        </is>
      </c>
      <c r="E59" t="inlineStr">
        <is>
          <t>KNIVSTA</t>
        </is>
      </c>
      <c r="G59" t="n">
        <v>1.6</v>
      </c>
      <c r="H59" t="n">
        <v>0</v>
      </c>
      <c r="I59" t="n">
        <v>0</v>
      </c>
      <c r="J59" t="n">
        <v>0</v>
      </c>
      <c r="K59" t="n">
        <v>0</v>
      </c>
      <c r="L59" t="n">
        <v>0</v>
      </c>
      <c r="M59" t="n">
        <v>0</v>
      </c>
      <c r="N59" t="n">
        <v>0</v>
      </c>
      <c r="O59" t="n">
        <v>0</v>
      </c>
      <c r="P59" t="n">
        <v>0</v>
      </c>
      <c r="Q59" t="n">
        <v>0</v>
      </c>
      <c r="R59" s="2" t="inlineStr"/>
    </row>
    <row r="60" ht="15" customHeight="1">
      <c r="A60" t="inlineStr">
        <is>
          <t>A 30351-2022</t>
        </is>
      </c>
      <c r="B60" s="1" t="n">
        <v>44757</v>
      </c>
      <c r="C60" s="1" t="n">
        <v>46045</v>
      </c>
      <c r="D60" t="inlineStr">
        <is>
          <t>UPPSALA LÄN</t>
        </is>
      </c>
      <c r="E60" t="inlineStr">
        <is>
          <t>KNIVSTA</t>
        </is>
      </c>
      <c r="G60" t="n">
        <v>5.7</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46045</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11847-2023</t>
        </is>
      </c>
      <c r="B62" s="1" t="n">
        <v>44995.33957175926</v>
      </c>
      <c r="C62" s="1" t="n">
        <v>46045</v>
      </c>
      <c r="D62" t="inlineStr">
        <is>
          <t>UPPSALA LÄN</t>
        </is>
      </c>
      <c r="E62" t="inlineStr">
        <is>
          <t>KNIVSTA</t>
        </is>
      </c>
      <c r="G62" t="n">
        <v>2.1</v>
      </c>
      <c r="H62" t="n">
        <v>0</v>
      </c>
      <c r="I62" t="n">
        <v>0</v>
      </c>
      <c r="J62" t="n">
        <v>0</v>
      </c>
      <c r="K62" t="n">
        <v>0</v>
      </c>
      <c r="L62" t="n">
        <v>0</v>
      </c>
      <c r="M62" t="n">
        <v>0</v>
      </c>
      <c r="N62" t="n">
        <v>0</v>
      </c>
      <c r="O62" t="n">
        <v>0</v>
      </c>
      <c r="P62" t="n">
        <v>0</v>
      </c>
      <c r="Q62" t="n">
        <v>0</v>
      </c>
      <c r="R62" s="2" t="inlineStr"/>
    </row>
    <row r="63" ht="15" customHeight="1">
      <c r="A63" t="inlineStr">
        <is>
          <t>A 11450-2023</t>
        </is>
      </c>
      <c r="B63" s="1" t="n">
        <v>44993</v>
      </c>
      <c r="C63" s="1" t="n">
        <v>46045</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66293-2021</t>
        </is>
      </c>
      <c r="B64" s="1" t="n">
        <v>44518</v>
      </c>
      <c r="C64" s="1" t="n">
        <v>46045</v>
      </c>
      <c r="D64" t="inlineStr">
        <is>
          <t>UPPSALA LÄN</t>
        </is>
      </c>
      <c r="E64" t="inlineStr">
        <is>
          <t>KNIVSTA</t>
        </is>
      </c>
      <c r="G64" t="n">
        <v>2.6</v>
      </c>
      <c r="H64" t="n">
        <v>0</v>
      </c>
      <c r="I64" t="n">
        <v>0</v>
      </c>
      <c r="J64" t="n">
        <v>0</v>
      </c>
      <c r="K64" t="n">
        <v>0</v>
      </c>
      <c r="L64" t="n">
        <v>0</v>
      </c>
      <c r="M64" t="n">
        <v>0</v>
      </c>
      <c r="N64" t="n">
        <v>0</v>
      </c>
      <c r="O64" t="n">
        <v>0</v>
      </c>
      <c r="P64" t="n">
        <v>0</v>
      </c>
      <c r="Q64" t="n">
        <v>0</v>
      </c>
      <c r="R64" s="2" t="inlineStr"/>
    </row>
    <row r="65" ht="15" customHeight="1">
      <c r="A65" t="inlineStr">
        <is>
          <t>A 52667-2025</t>
        </is>
      </c>
      <c r="B65" s="1" t="n">
        <v>45955.74666666667</v>
      </c>
      <c r="C65" s="1" t="n">
        <v>46045</v>
      </c>
      <c r="D65" t="inlineStr">
        <is>
          <t>UPPSALA LÄN</t>
        </is>
      </c>
      <c r="E65" t="inlineStr">
        <is>
          <t>KNIVSTA</t>
        </is>
      </c>
      <c r="G65" t="n">
        <v>1</v>
      </c>
      <c r="H65" t="n">
        <v>0</v>
      </c>
      <c r="I65" t="n">
        <v>0</v>
      </c>
      <c r="J65" t="n">
        <v>0</v>
      </c>
      <c r="K65" t="n">
        <v>0</v>
      </c>
      <c r="L65" t="n">
        <v>0</v>
      </c>
      <c r="M65" t="n">
        <v>0</v>
      </c>
      <c r="N65" t="n">
        <v>0</v>
      </c>
      <c r="O65" t="n">
        <v>0</v>
      </c>
      <c r="P65" t="n">
        <v>0</v>
      </c>
      <c r="Q65" t="n">
        <v>0</v>
      </c>
      <c r="R65" s="2" t="inlineStr"/>
    </row>
    <row r="66" ht="15" customHeight="1">
      <c r="A66" t="inlineStr">
        <is>
          <t>A 52666-2025</t>
        </is>
      </c>
      <c r="B66" s="1" t="n">
        <v>45955.74299768519</v>
      </c>
      <c r="C66" s="1" t="n">
        <v>46045</v>
      </c>
      <c r="D66" t="inlineStr">
        <is>
          <t>UPPSALA LÄN</t>
        </is>
      </c>
      <c r="E66" t="inlineStr">
        <is>
          <t>KNIVSTA</t>
        </is>
      </c>
      <c r="G66" t="n">
        <v>2.1</v>
      </c>
      <c r="H66" t="n">
        <v>0</v>
      </c>
      <c r="I66" t="n">
        <v>0</v>
      </c>
      <c r="J66" t="n">
        <v>0</v>
      </c>
      <c r="K66" t="n">
        <v>0</v>
      </c>
      <c r="L66" t="n">
        <v>0</v>
      </c>
      <c r="M66" t="n">
        <v>0</v>
      </c>
      <c r="N66" t="n">
        <v>0</v>
      </c>
      <c r="O66" t="n">
        <v>0</v>
      </c>
      <c r="P66" t="n">
        <v>0</v>
      </c>
      <c r="Q66" t="n">
        <v>0</v>
      </c>
      <c r="R66" s="2" t="inlineStr"/>
    </row>
    <row r="67" ht="15" customHeight="1">
      <c r="A67" t="inlineStr">
        <is>
          <t>A 20902-2024</t>
        </is>
      </c>
      <c r="B67" s="1" t="n">
        <v>45439.48104166667</v>
      </c>
      <c r="C67" s="1" t="n">
        <v>46045</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26226-2025</t>
        </is>
      </c>
      <c r="B68" s="1" t="n">
        <v>45805.55829861111</v>
      </c>
      <c r="C68" s="1" t="n">
        <v>46045</v>
      </c>
      <c r="D68" t="inlineStr">
        <is>
          <t>UPPSALA LÄN</t>
        </is>
      </c>
      <c r="E68" t="inlineStr">
        <is>
          <t>KNIVSTA</t>
        </is>
      </c>
      <c r="G68" t="n">
        <v>9.1</v>
      </c>
      <c r="H68" t="n">
        <v>0</v>
      </c>
      <c r="I68" t="n">
        <v>0</v>
      </c>
      <c r="J68" t="n">
        <v>0</v>
      </c>
      <c r="K68" t="n">
        <v>0</v>
      </c>
      <c r="L68" t="n">
        <v>0</v>
      </c>
      <c r="M68" t="n">
        <v>0</v>
      </c>
      <c r="N68" t="n">
        <v>0</v>
      </c>
      <c r="O68" t="n">
        <v>0</v>
      </c>
      <c r="P68" t="n">
        <v>0</v>
      </c>
      <c r="Q68" t="n">
        <v>0</v>
      </c>
      <c r="R68" s="2" t="inlineStr"/>
    </row>
    <row r="69" ht="15" customHeight="1">
      <c r="A69" t="inlineStr">
        <is>
          <t>A 53898-2025</t>
        </is>
      </c>
      <c r="B69" s="1" t="n">
        <v>45961.43056712963</v>
      </c>
      <c r="C69" s="1" t="n">
        <v>46045</v>
      </c>
      <c r="D69" t="inlineStr">
        <is>
          <t>UPPSALA LÄN</t>
        </is>
      </c>
      <c r="E69" t="inlineStr">
        <is>
          <t>KNIVSTA</t>
        </is>
      </c>
      <c r="G69" t="n">
        <v>4.5</v>
      </c>
      <c r="H69" t="n">
        <v>0</v>
      </c>
      <c r="I69" t="n">
        <v>0</v>
      </c>
      <c r="J69" t="n">
        <v>0</v>
      </c>
      <c r="K69" t="n">
        <v>0</v>
      </c>
      <c r="L69" t="n">
        <v>0</v>
      </c>
      <c r="M69" t="n">
        <v>0</v>
      </c>
      <c r="N69" t="n">
        <v>0</v>
      </c>
      <c r="O69" t="n">
        <v>0</v>
      </c>
      <c r="P69" t="n">
        <v>0</v>
      </c>
      <c r="Q69" t="n">
        <v>0</v>
      </c>
      <c r="R69" s="2" t="inlineStr"/>
    </row>
    <row r="70" ht="15" customHeight="1">
      <c r="A70" t="inlineStr">
        <is>
          <t>A 28189-2025</t>
        </is>
      </c>
      <c r="B70" s="1" t="n">
        <v>45818.41357638889</v>
      </c>
      <c r="C70" s="1" t="n">
        <v>46045</v>
      </c>
      <c r="D70" t="inlineStr">
        <is>
          <t>UPPSALA LÄN</t>
        </is>
      </c>
      <c r="E70" t="inlineStr">
        <is>
          <t>KNIVSTA</t>
        </is>
      </c>
      <c r="G70" t="n">
        <v>7.6</v>
      </c>
      <c r="H70" t="n">
        <v>0</v>
      </c>
      <c r="I70" t="n">
        <v>0</v>
      </c>
      <c r="J70" t="n">
        <v>0</v>
      </c>
      <c r="K70" t="n">
        <v>0</v>
      </c>
      <c r="L70" t="n">
        <v>0</v>
      </c>
      <c r="M70" t="n">
        <v>0</v>
      </c>
      <c r="N70" t="n">
        <v>0</v>
      </c>
      <c r="O70" t="n">
        <v>0</v>
      </c>
      <c r="P70" t="n">
        <v>0</v>
      </c>
      <c r="Q70" t="n">
        <v>0</v>
      </c>
      <c r="R70" s="2" t="inlineStr"/>
    </row>
    <row r="71" ht="15" customHeight="1">
      <c r="A71" t="inlineStr">
        <is>
          <t>A 66284-2021</t>
        </is>
      </c>
      <c r="B71" s="1" t="n">
        <v>44518</v>
      </c>
      <c r="C71" s="1" t="n">
        <v>46045</v>
      </c>
      <c r="D71" t="inlineStr">
        <is>
          <t>UPPSALA LÄN</t>
        </is>
      </c>
      <c r="E71" t="inlineStr">
        <is>
          <t>KNIVSTA</t>
        </is>
      </c>
      <c r="G71" t="n">
        <v>6.9</v>
      </c>
      <c r="H71" t="n">
        <v>0</v>
      </c>
      <c r="I71" t="n">
        <v>0</v>
      </c>
      <c r="J71" t="n">
        <v>0</v>
      </c>
      <c r="K71" t="n">
        <v>0</v>
      </c>
      <c r="L71" t="n">
        <v>0</v>
      </c>
      <c r="M71" t="n">
        <v>0</v>
      </c>
      <c r="N71" t="n">
        <v>0</v>
      </c>
      <c r="O71" t="n">
        <v>0</v>
      </c>
      <c r="P71" t="n">
        <v>0</v>
      </c>
      <c r="Q71" t="n">
        <v>0</v>
      </c>
      <c r="R71" s="2" t="inlineStr"/>
    </row>
    <row r="72" ht="15" customHeight="1">
      <c r="A72" t="inlineStr">
        <is>
          <t>A 57631-2025</t>
        </is>
      </c>
      <c r="B72" s="1" t="n">
        <v>45981.34748842593</v>
      </c>
      <c r="C72" s="1" t="n">
        <v>46045</v>
      </c>
      <c r="D72" t="inlineStr">
        <is>
          <t>UPPSALA LÄN</t>
        </is>
      </c>
      <c r="E72" t="inlineStr">
        <is>
          <t>KNIVSTA</t>
        </is>
      </c>
      <c r="G72" t="n">
        <v>3.4</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46045</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8343-2024</t>
        </is>
      </c>
      <c r="B74" s="1" t="n">
        <v>45352</v>
      </c>
      <c r="C74" s="1" t="n">
        <v>46045</v>
      </c>
      <c r="D74" t="inlineStr">
        <is>
          <t>UPPSALA LÄN</t>
        </is>
      </c>
      <c r="E74" t="inlineStr">
        <is>
          <t>KNIVSTA</t>
        </is>
      </c>
      <c r="F74" t="inlineStr">
        <is>
          <t>Holmen skog AB</t>
        </is>
      </c>
      <c r="G74" t="n">
        <v>1.4</v>
      </c>
      <c r="H74" t="n">
        <v>0</v>
      </c>
      <c r="I74" t="n">
        <v>0</v>
      </c>
      <c r="J74" t="n">
        <v>0</v>
      </c>
      <c r="K74" t="n">
        <v>0</v>
      </c>
      <c r="L74" t="n">
        <v>0</v>
      </c>
      <c r="M74" t="n">
        <v>0</v>
      </c>
      <c r="N74" t="n">
        <v>0</v>
      </c>
      <c r="O74" t="n">
        <v>0</v>
      </c>
      <c r="P74" t="n">
        <v>0</v>
      </c>
      <c r="Q74" t="n">
        <v>0</v>
      </c>
      <c r="R74" s="2" t="inlineStr"/>
    </row>
    <row r="75" ht="15" customHeight="1">
      <c r="A75" t="inlineStr">
        <is>
          <t>A 666-2026</t>
        </is>
      </c>
      <c r="B75" s="1" t="n">
        <v>46029.58832175926</v>
      </c>
      <c r="C75" s="1" t="n">
        <v>46045</v>
      </c>
      <c r="D75" t="inlineStr">
        <is>
          <t>UPPSALA LÄN</t>
        </is>
      </c>
      <c r="E75" t="inlineStr">
        <is>
          <t>KNIVSTA</t>
        </is>
      </c>
      <c r="G75" t="n">
        <v>1.8</v>
      </c>
      <c r="H75" t="n">
        <v>0</v>
      </c>
      <c r="I75" t="n">
        <v>0</v>
      </c>
      <c r="J75" t="n">
        <v>0</v>
      </c>
      <c r="K75" t="n">
        <v>0</v>
      </c>
      <c r="L75" t="n">
        <v>0</v>
      </c>
      <c r="M75" t="n">
        <v>0</v>
      </c>
      <c r="N75" t="n">
        <v>0</v>
      </c>
      <c r="O75" t="n">
        <v>0</v>
      </c>
      <c r="P75" t="n">
        <v>0</v>
      </c>
      <c r="Q75" t="n">
        <v>0</v>
      </c>
      <c r="R75" s="2" t="inlineStr"/>
    </row>
    <row r="76" ht="15" customHeight="1">
      <c r="A76" t="inlineStr">
        <is>
          <t>A 662-2026</t>
        </is>
      </c>
      <c r="B76" s="1" t="n">
        <v>46029.58549768518</v>
      </c>
      <c r="C76" s="1" t="n">
        <v>46045</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46045</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33975-2025</t>
        </is>
      </c>
      <c r="B78" s="1" t="n">
        <v>45843.30805555556</v>
      </c>
      <c r="C78" s="1" t="n">
        <v>46045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33974-2025</t>
        </is>
      </c>
      <c r="B79" s="1" t="n">
        <v>45843.305625</v>
      </c>
      <c r="C79" s="1" t="n">
        <v>46045</v>
      </c>
      <c r="D79" t="inlineStr">
        <is>
          <t>UPPSALA LÄN</t>
        </is>
      </c>
      <c r="E79" t="inlineStr">
        <is>
          <t>KNIVSTA</t>
        </is>
      </c>
      <c r="G79" t="n">
        <v>2.6</v>
      </c>
      <c r="H79" t="n">
        <v>0</v>
      </c>
      <c r="I79" t="n">
        <v>0</v>
      </c>
      <c r="J79" t="n">
        <v>0</v>
      </c>
      <c r="K79" t="n">
        <v>0</v>
      </c>
      <c r="L79" t="n">
        <v>0</v>
      </c>
      <c r="M79" t="n">
        <v>0</v>
      </c>
      <c r="N79" t="n">
        <v>0</v>
      </c>
      <c r="O79" t="n">
        <v>0</v>
      </c>
      <c r="P79" t="n">
        <v>0</v>
      </c>
      <c r="Q79" t="n">
        <v>0</v>
      </c>
      <c r="R79" s="2" t="inlineStr"/>
    </row>
    <row r="80" ht="15" customHeight="1">
      <c r="A80" t="inlineStr">
        <is>
          <t>A 33976-2025</t>
        </is>
      </c>
      <c r="B80" s="1" t="n">
        <v>45843</v>
      </c>
      <c r="C80" s="1" t="n">
        <v>46045</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53812-2025</t>
        </is>
      </c>
      <c r="B81" s="1" t="n">
        <v>45960</v>
      </c>
      <c r="C81" s="1" t="n">
        <v>46045</v>
      </c>
      <c r="D81" t="inlineStr">
        <is>
          <t>UPPSALA LÄN</t>
        </is>
      </c>
      <c r="E81" t="inlineStr">
        <is>
          <t>KNIVSTA</t>
        </is>
      </c>
      <c r="G81" t="n">
        <v>5.8</v>
      </c>
      <c r="H81" t="n">
        <v>0</v>
      </c>
      <c r="I81" t="n">
        <v>0</v>
      </c>
      <c r="J81" t="n">
        <v>0</v>
      </c>
      <c r="K81" t="n">
        <v>0</v>
      </c>
      <c r="L81" t="n">
        <v>0</v>
      </c>
      <c r="M81" t="n">
        <v>0</v>
      </c>
      <c r="N81" t="n">
        <v>0</v>
      </c>
      <c r="O81" t="n">
        <v>0</v>
      </c>
      <c r="P81" t="n">
        <v>0</v>
      </c>
      <c r="Q81" t="n">
        <v>0</v>
      </c>
      <c r="R81" s="2" t="inlineStr"/>
    </row>
    <row r="82" ht="15" customHeight="1">
      <c r="A82" t="inlineStr">
        <is>
          <t>A 60243-2025</t>
        </is>
      </c>
      <c r="B82" s="1" t="n">
        <v>45994.58650462963</v>
      </c>
      <c r="C82" s="1" t="n">
        <v>46045</v>
      </c>
      <c r="D82" t="inlineStr">
        <is>
          <t>UPPSALA LÄN</t>
        </is>
      </c>
      <c r="E82" t="inlineStr">
        <is>
          <t>KNIVSTA</t>
        </is>
      </c>
      <c r="F82" t="inlineStr">
        <is>
          <t>Holmen skog AB</t>
        </is>
      </c>
      <c r="G82" t="n">
        <v>2.4</v>
      </c>
      <c r="H82" t="n">
        <v>0</v>
      </c>
      <c r="I82" t="n">
        <v>0</v>
      </c>
      <c r="J82" t="n">
        <v>0</v>
      </c>
      <c r="K82" t="n">
        <v>0</v>
      </c>
      <c r="L82" t="n">
        <v>0</v>
      </c>
      <c r="M82" t="n">
        <v>0</v>
      </c>
      <c r="N82" t="n">
        <v>0</v>
      </c>
      <c r="O82" t="n">
        <v>0</v>
      </c>
      <c r="P82" t="n">
        <v>0</v>
      </c>
      <c r="Q82" t="n">
        <v>0</v>
      </c>
      <c r="R82" s="2" t="inlineStr"/>
    </row>
    <row r="83" ht="15" customHeight="1">
      <c r="A83" t="inlineStr">
        <is>
          <t>A 34859-2025</t>
        </is>
      </c>
      <c r="B83" s="1" t="n">
        <v>45849.43511574074</v>
      </c>
      <c r="C83" s="1" t="n">
        <v>46045</v>
      </c>
      <c r="D83" t="inlineStr">
        <is>
          <t>UPPSALA LÄN</t>
        </is>
      </c>
      <c r="E83" t="inlineStr">
        <is>
          <t>KNIVSTA</t>
        </is>
      </c>
      <c r="F83" t="inlineStr">
        <is>
          <t>Holmen skog AB</t>
        </is>
      </c>
      <c r="G83" t="n">
        <v>6.1</v>
      </c>
      <c r="H83" t="n">
        <v>0</v>
      </c>
      <c r="I83" t="n">
        <v>0</v>
      </c>
      <c r="J83" t="n">
        <v>0</v>
      </c>
      <c r="K83" t="n">
        <v>0</v>
      </c>
      <c r="L83" t="n">
        <v>0</v>
      </c>
      <c r="M83" t="n">
        <v>0</v>
      </c>
      <c r="N83" t="n">
        <v>0</v>
      </c>
      <c r="O83" t="n">
        <v>0</v>
      </c>
      <c r="P83" t="n">
        <v>0</v>
      </c>
      <c r="Q83" t="n">
        <v>0</v>
      </c>
      <c r="R83" s="2" t="inlineStr"/>
    </row>
    <row r="84" ht="15" customHeight="1">
      <c r="A84" t="inlineStr">
        <is>
          <t>A 34864-2025</t>
        </is>
      </c>
      <c r="B84" s="1" t="n">
        <v>45849.44028935185</v>
      </c>
      <c r="C84" s="1" t="n">
        <v>46045</v>
      </c>
      <c r="D84" t="inlineStr">
        <is>
          <t>UPPSALA LÄN</t>
        </is>
      </c>
      <c r="E84" t="inlineStr">
        <is>
          <t>KNIVSTA</t>
        </is>
      </c>
      <c r="F84" t="inlineStr">
        <is>
          <t>Holmen skog AB</t>
        </is>
      </c>
      <c r="G84" t="n">
        <v>1.3</v>
      </c>
      <c r="H84" t="n">
        <v>0</v>
      </c>
      <c r="I84" t="n">
        <v>0</v>
      </c>
      <c r="J84" t="n">
        <v>0</v>
      </c>
      <c r="K84" t="n">
        <v>0</v>
      </c>
      <c r="L84" t="n">
        <v>0</v>
      </c>
      <c r="M84" t="n">
        <v>0</v>
      </c>
      <c r="N84" t="n">
        <v>0</v>
      </c>
      <c r="O84" t="n">
        <v>0</v>
      </c>
      <c r="P84" t="n">
        <v>0</v>
      </c>
      <c r="Q84" t="n">
        <v>0</v>
      </c>
      <c r="R84" s="2" t="inlineStr"/>
    </row>
    <row r="85" ht="15" customHeight="1">
      <c r="A85" t="inlineStr">
        <is>
          <t>A 35318-2025</t>
        </is>
      </c>
      <c r="B85" s="1" t="n">
        <v>45854.47917824074</v>
      </c>
      <c r="C85" s="1" t="n">
        <v>46045</v>
      </c>
      <c r="D85" t="inlineStr">
        <is>
          <t>UPPSALA LÄN</t>
        </is>
      </c>
      <c r="E85" t="inlineStr">
        <is>
          <t>KNIVSTA</t>
        </is>
      </c>
      <c r="F85" t="inlineStr">
        <is>
          <t>Holmen skog AB</t>
        </is>
      </c>
      <c r="G85" t="n">
        <v>2.2</v>
      </c>
      <c r="H85" t="n">
        <v>0</v>
      </c>
      <c r="I85" t="n">
        <v>0</v>
      </c>
      <c r="J85" t="n">
        <v>0</v>
      </c>
      <c r="K85" t="n">
        <v>0</v>
      </c>
      <c r="L85" t="n">
        <v>0</v>
      </c>
      <c r="M85" t="n">
        <v>0</v>
      </c>
      <c r="N85" t="n">
        <v>0</v>
      </c>
      <c r="O85" t="n">
        <v>0</v>
      </c>
      <c r="P85" t="n">
        <v>0</v>
      </c>
      <c r="Q85" t="n">
        <v>0</v>
      </c>
      <c r="R85" s="2" t="inlineStr"/>
    </row>
    <row r="86" ht="15" customHeight="1">
      <c r="A86" t="inlineStr">
        <is>
          <t>A 1629-2024</t>
        </is>
      </c>
      <c r="B86" s="1" t="n">
        <v>45306</v>
      </c>
      <c r="C86" s="1" t="n">
        <v>46045</v>
      </c>
      <c r="D86" t="inlineStr">
        <is>
          <t>UPPSALA LÄN</t>
        </is>
      </c>
      <c r="E86" t="inlineStr">
        <is>
          <t>KNIVSTA</t>
        </is>
      </c>
      <c r="F86" t="inlineStr">
        <is>
          <t>Holmen skog AB</t>
        </is>
      </c>
      <c r="G86" t="n">
        <v>3.6</v>
      </c>
      <c r="H86" t="n">
        <v>0</v>
      </c>
      <c r="I86" t="n">
        <v>0</v>
      </c>
      <c r="J86" t="n">
        <v>0</v>
      </c>
      <c r="K86" t="n">
        <v>0</v>
      </c>
      <c r="L86" t="n">
        <v>0</v>
      </c>
      <c r="M86" t="n">
        <v>0</v>
      </c>
      <c r="N86" t="n">
        <v>0</v>
      </c>
      <c r="O86" t="n">
        <v>0</v>
      </c>
      <c r="P86" t="n">
        <v>0</v>
      </c>
      <c r="Q86" t="n">
        <v>0</v>
      </c>
      <c r="R86" s="2" t="inlineStr"/>
    </row>
    <row r="87" ht="15" customHeight="1">
      <c r="A87" t="inlineStr">
        <is>
          <t>A 2952-2026</t>
        </is>
      </c>
      <c r="B87" s="1" t="n">
        <v>46037</v>
      </c>
      <c r="C87" s="1" t="n">
        <v>46045</v>
      </c>
      <c r="D87" t="inlineStr">
        <is>
          <t>UPPSALA LÄN</t>
        </is>
      </c>
      <c r="E87" t="inlineStr">
        <is>
          <t>KNIVSTA</t>
        </is>
      </c>
      <c r="G87" t="n">
        <v>2</v>
      </c>
      <c r="H87" t="n">
        <v>0</v>
      </c>
      <c r="I87" t="n">
        <v>0</v>
      </c>
      <c r="J87" t="n">
        <v>0</v>
      </c>
      <c r="K87" t="n">
        <v>0</v>
      </c>
      <c r="L87" t="n">
        <v>0</v>
      </c>
      <c r="M87" t="n">
        <v>0</v>
      </c>
      <c r="N87" t="n">
        <v>0</v>
      </c>
      <c r="O87" t="n">
        <v>0</v>
      </c>
      <c r="P87" t="n">
        <v>0</v>
      </c>
      <c r="Q87" t="n">
        <v>0</v>
      </c>
      <c r="R87" s="2" t="inlineStr"/>
    </row>
    <row r="88" ht="15" customHeight="1">
      <c r="A88" t="inlineStr">
        <is>
          <t>A 2944-2026</t>
        </is>
      </c>
      <c r="B88" s="1" t="n">
        <v>46037</v>
      </c>
      <c r="C88" s="1" t="n">
        <v>46045</v>
      </c>
      <c r="D88" t="inlineStr">
        <is>
          <t>UPPSALA LÄN</t>
        </is>
      </c>
      <c r="E88" t="inlineStr">
        <is>
          <t>KNIVSTA</t>
        </is>
      </c>
      <c r="G88" t="n">
        <v>4.7</v>
      </c>
      <c r="H88" t="n">
        <v>0</v>
      </c>
      <c r="I88" t="n">
        <v>0</v>
      </c>
      <c r="J88" t="n">
        <v>0</v>
      </c>
      <c r="K88" t="n">
        <v>0</v>
      </c>
      <c r="L88" t="n">
        <v>0</v>
      </c>
      <c r="M88" t="n">
        <v>0</v>
      </c>
      <c r="N88" t="n">
        <v>0</v>
      </c>
      <c r="O88" t="n">
        <v>0</v>
      </c>
      <c r="P88" t="n">
        <v>0</v>
      </c>
      <c r="Q88" t="n">
        <v>0</v>
      </c>
      <c r="R88" s="2" t="inlineStr"/>
    </row>
    <row r="89" ht="15" customHeight="1">
      <c r="A89" t="inlineStr">
        <is>
          <t>A 36470-2025</t>
        </is>
      </c>
      <c r="B89" s="1" t="n">
        <v>45869.47915509259</v>
      </c>
      <c r="C89" s="1" t="n">
        <v>46045</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36472-2025</t>
        </is>
      </c>
      <c r="B90" s="1" t="n">
        <v>45869.48162037037</v>
      </c>
      <c r="C90" s="1" t="n">
        <v>46045</v>
      </c>
      <c r="D90" t="inlineStr">
        <is>
          <t>UPPSALA LÄN</t>
        </is>
      </c>
      <c r="E90" t="inlineStr">
        <is>
          <t>KNIVSTA</t>
        </is>
      </c>
      <c r="G90" t="n">
        <v>1.5</v>
      </c>
      <c r="H90" t="n">
        <v>0</v>
      </c>
      <c r="I90" t="n">
        <v>0</v>
      </c>
      <c r="J90" t="n">
        <v>0</v>
      </c>
      <c r="K90" t="n">
        <v>0</v>
      </c>
      <c r="L90" t="n">
        <v>0</v>
      </c>
      <c r="M90" t="n">
        <v>0</v>
      </c>
      <c r="N90" t="n">
        <v>0</v>
      </c>
      <c r="O90" t="n">
        <v>0</v>
      </c>
      <c r="P90" t="n">
        <v>0</v>
      </c>
      <c r="Q90" t="n">
        <v>0</v>
      </c>
      <c r="R90" s="2" t="inlineStr"/>
    </row>
    <row r="91" ht="15" customHeight="1">
      <c r="A91" t="inlineStr">
        <is>
          <t>A 36473-2025</t>
        </is>
      </c>
      <c r="B91" s="1" t="n">
        <v>45869.48333333333</v>
      </c>
      <c r="C91" s="1" t="n">
        <v>46045</v>
      </c>
      <c r="D91" t="inlineStr">
        <is>
          <t>UPPSALA LÄN</t>
        </is>
      </c>
      <c r="E91" t="inlineStr">
        <is>
          <t>KNIVSTA</t>
        </is>
      </c>
      <c r="G91" t="n">
        <v>1.4</v>
      </c>
      <c r="H91" t="n">
        <v>0</v>
      </c>
      <c r="I91" t="n">
        <v>0</v>
      </c>
      <c r="J91" t="n">
        <v>0</v>
      </c>
      <c r="K91" t="n">
        <v>0</v>
      </c>
      <c r="L91" t="n">
        <v>0</v>
      </c>
      <c r="M91" t="n">
        <v>0</v>
      </c>
      <c r="N91" t="n">
        <v>0</v>
      </c>
      <c r="O91" t="n">
        <v>0</v>
      </c>
      <c r="P91" t="n">
        <v>0</v>
      </c>
      <c r="Q91" t="n">
        <v>0</v>
      </c>
      <c r="R91" s="2" t="inlineStr"/>
    </row>
    <row r="92" ht="15" customHeight="1">
      <c r="A92" t="inlineStr">
        <is>
          <t>A 3016-2026</t>
        </is>
      </c>
      <c r="B92" s="1" t="n">
        <v>46038</v>
      </c>
      <c r="C92" s="1" t="n">
        <v>46045</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3015-2026</t>
        </is>
      </c>
      <c r="B93" s="1" t="n">
        <v>46038</v>
      </c>
      <c r="C93" s="1" t="n">
        <v>46045</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3375-2026</t>
        </is>
      </c>
      <c r="B94" s="1" t="n">
        <v>46042</v>
      </c>
      <c r="C94" s="1" t="n">
        <v>46045</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3824-2026</t>
        </is>
      </c>
      <c r="B95" s="1" t="n">
        <v>46043.58570601852</v>
      </c>
      <c r="C95" s="1" t="n">
        <v>46045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3836-2026</t>
        </is>
      </c>
      <c r="B96" s="1" t="n">
        <v>46043.5925</v>
      </c>
      <c r="C96" s="1" t="n">
        <v>46045</v>
      </c>
      <c r="D96" t="inlineStr">
        <is>
          <t>UPPSALA LÄN</t>
        </is>
      </c>
      <c r="E96" t="inlineStr">
        <is>
          <t>KNIVSTA</t>
        </is>
      </c>
      <c r="G96" t="n">
        <v>3.7</v>
      </c>
      <c r="H96" t="n">
        <v>0</v>
      </c>
      <c r="I96" t="n">
        <v>0</v>
      </c>
      <c r="J96" t="n">
        <v>0</v>
      </c>
      <c r="K96" t="n">
        <v>0</v>
      </c>
      <c r="L96" t="n">
        <v>0</v>
      </c>
      <c r="M96" t="n">
        <v>0</v>
      </c>
      <c r="N96" t="n">
        <v>0</v>
      </c>
      <c r="O96" t="n">
        <v>0</v>
      </c>
      <c r="P96" t="n">
        <v>0</v>
      </c>
      <c r="Q96" t="n">
        <v>0</v>
      </c>
      <c r="R96" s="2" t="inlineStr"/>
    </row>
    <row r="97" ht="15" customHeight="1">
      <c r="A97" t="inlineStr">
        <is>
          <t>A 60885-2021</t>
        </is>
      </c>
      <c r="B97" s="1" t="n">
        <v>44497</v>
      </c>
      <c r="C97" s="1" t="n">
        <v>46045</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3191-2024</t>
        </is>
      </c>
      <c r="B98" s="1" t="n">
        <v>45316.67186342592</v>
      </c>
      <c r="C98" s="1" t="n">
        <v>46045</v>
      </c>
      <c r="D98" t="inlineStr">
        <is>
          <t>UPPSALA LÄN</t>
        </is>
      </c>
      <c r="E98" t="inlineStr">
        <is>
          <t>KNIVSTA</t>
        </is>
      </c>
      <c r="G98" t="n">
        <v>0.6</v>
      </c>
      <c r="H98" t="n">
        <v>0</v>
      </c>
      <c r="I98" t="n">
        <v>0</v>
      </c>
      <c r="J98" t="n">
        <v>0</v>
      </c>
      <c r="K98" t="n">
        <v>0</v>
      </c>
      <c r="L98" t="n">
        <v>0</v>
      </c>
      <c r="M98" t="n">
        <v>0</v>
      </c>
      <c r="N98" t="n">
        <v>0</v>
      </c>
      <c r="O98" t="n">
        <v>0</v>
      </c>
      <c r="P98" t="n">
        <v>0</v>
      </c>
      <c r="Q98" t="n">
        <v>0</v>
      </c>
      <c r="R98" s="2" t="inlineStr"/>
    </row>
    <row r="99" ht="15" customHeight="1">
      <c r="A99" t="inlineStr">
        <is>
          <t>A 45525-2023</t>
        </is>
      </c>
      <c r="B99" s="1" t="n">
        <v>45194</v>
      </c>
      <c r="C99" s="1" t="n">
        <v>46045</v>
      </c>
      <c r="D99" t="inlineStr">
        <is>
          <t>UPPSALA LÄN</t>
        </is>
      </c>
      <c r="E99" t="inlineStr">
        <is>
          <t>KNIVSTA</t>
        </is>
      </c>
      <c r="G99" t="n">
        <v>0.7</v>
      </c>
      <c r="H99" t="n">
        <v>0</v>
      </c>
      <c r="I99" t="n">
        <v>0</v>
      </c>
      <c r="J99" t="n">
        <v>0</v>
      </c>
      <c r="K99" t="n">
        <v>0</v>
      </c>
      <c r="L99" t="n">
        <v>0</v>
      </c>
      <c r="M99" t="n">
        <v>0</v>
      </c>
      <c r="N99" t="n">
        <v>0</v>
      </c>
      <c r="O99" t="n">
        <v>0</v>
      </c>
      <c r="P99" t="n">
        <v>0</v>
      </c>
      <c r="Q99" t="n">
        <v>0</v>
      </c>
      <c r="R99" s="2" t="inlineStr"/>
    </row>
    <row r="100" ht="15" customHeight="1">
      <c r="A100" t="inlineStr">
        <is>
          <t>A 16773-2022</t>
        </is>
      </c>
      <c r="B100" s="1" t="n">
        <v>44673</v>
      </c>
      <c r="C100" s="1" t="n">
        <v>46045</v>
      </c>
      <c r="D100" t="inlineStr">
        <is>
          <t>UPPSALA LÄN</t>
        </is>
      </c>
      <c r="E100" t="inlineStr">
        <is>
          <t>KNIVSTA</t>
        </is>
      </c>
      <c r="G100" t="n">
        <v>1.9</v>
      </c>
      <c r="H100" t="n">
        <v>0</v>
      </c>
      <c r="I100" t="n">
        <v>0</v>
      </c>
      <c r="J100" t="n">
        <v>0</v>
      </c>
      <c r="K100" t="n">
        <v>0</v>
      </c>
      <c r="L100" t="n">
        <v>0</v>
      </c>
      <c r="M100" t="n">
        <v>0</v>
      </c>
      <c r="N100" t="n">
        <v>0</v>
      </c>
      <c r="O100" t="n">
        <v>0</v>
      </c>
      <c r="P100" t="n">
        <v>0</v>
      </c>
      <c r="Q100" t="n">
        <v>0</v>
      </c>
      <c r="R100" s="2" t="inlineStr"/>
    </row>
    <row r="101" ht="15" customHeight="1">
      <c r="A101" t="inlineStr">
        <is>
          <t>A 30764-2023</t>
        </is>
      </c>
      <c r="B101" s="1" t="n">
        <v>45112</v>
      </c>
      <c r="C101" s="1" t="n">
        <v>46045</v>
      </c>
      <c r="D101" t="inlineStr">
        <is>
          <t>UPPSALA LÄN</t>
        </is>
      </c>
      <c r="E101" t="inlineStr">
        <is>
          <t>KNIVSTA</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51849-2023</t>
        </is>
      </c>
      <c r="B102" s="1" t="n">
        <v>45223.34391203704</v>
      </c>
      <c r="C102" s="1" t="n">
        <v>46045</v>
      </c>
      <c r="D102" t="inlineStr">
        <is>
          <t>UPPSALA LÄN</t>
        </is>
      </c>
      <c r="E102" t="inlineStr">
        <is>
          <t>KNIVSTA</t>
        </is>
      </c>
      <c r="G102" t="n">
        <v>16.3</v>
      </c>
      <c r="H102" t="n">
        <v>0</v>
      </c>
      <c r="I102" t="n">
        <v>0</v>
      </c>
      <c r="J102" t="n">
        <v>0</v>
      </c>
      <c r="K102" t="n">
        <v>0</v>
      </c>
      <c r="L102" t="n">
        <v>0</v>
      </c>
      <c r="M102" t="n">
        <v>0</v>
      </c>
      <c r="N102" t="n">
        <v>0</v>
      </c>
      <c r="O102" t="n">
        <v>0</v>
      </c>
      <c r="P102" t="n">
        <v>0</v>
      </c>
      <c r="Q102" t="n">
        <v>0</v>
      </c>
      <c r="R102" s="2" t="inlineStr"/>
    </row>
    <row r="103" ht="15" customHeight="1">
      <c r="A103" t="inlineStr">
        <is>
          <t>A 60018-2024</t>
        </is>
      </c>
      <c r="B103" s="1" t="n">
        <v>45642</v>
      </c>
      <c r="C103" s="1" t="n">
        <v>46045</v>
      </c>
      <c r="D103" t="inlineStr">
        <is>
          <t>UPPSALA LÄN</t>
        </is>
      </c>
      <c r="E103" t="inlineStr">
        <is>
          <t>KNIVSTA</t>
        </is>
      </c>
      <c r="G103" t="n">
        <v>4.1</v>
      </c>
      <c r="H103" t="n">
        <v>0</v>
      </c>
      <c r="I103" t="n">
        <v>0</v>
      </c>
      <c r="J103" t="n">
        <v>0</v>
      </c>
      <c r="K103" t="n">
        <v>0</v>
      </c>
      <c r="L103" t="n">
        <v>0</v>
      </c>
      <c r="M103" t="n">
        <v>0</v>
      </c>
      <c r="N103" t="n">
        <v>0</v>
      </c>
      <c r="O103" t="n">
        <v>0</v>
      </c>
      <c r="P103" t="n">
        <v>0</v>
      </c>
      <c r="Q103" t="n">
        <v>0</v>
      </c>
      <c r="R103" s="2" t="inlineStr"/>
    </row>
    <row r="104" ht="15" customHeight="1">
      <c r="A104" t="inlineStr">
        <is>
          <t>A 17333-2024</t>
        </is>
      </c>
      <c r="B104" s="1" t="n">
        <v>45414.5625462963</v>
      </c>
      <c r="C104" s="1" t="n">
        <v>46045</v>
      </c>
      <c r="D104" t="inlineStr">
        <is>
          <t>UPPSALA LÄN</t>
        </is>
      </c>
      <c r="E104" t="inlineStr">
        <is>
          <t>KNIVSTA</t>
        </is>
      </c>
      <c r="G104" t="n">
        <v>0.9</v>
      </c>
      <c r="H104" t="n">
        <v>0</v>
      </c>
      <c r="I104" t="n">
        <v>0</v>
      </c>
      <c r="J104" t="n">
        <v>0</v>
      </c>
      <c r="K104" t="n">
        <v>0</v>
      </c>
      <c r="L104" t="n">
        <v>0</v>
      </c>
      <c r="M104" t="n">
        <v>0</v>
      </c>
      <c r="N104" t="n">
        <v>0</v>
      </c>
      <c r="O104" t="n">
        <v>0</v>
      </c>
      <c r="P104" t="n">
        <v>0</v>
      </c>
      <c r="Q104" t="n">
        <v>0</v>
      </c>
      <c r="R104" s="2" t="inlineStr"/>
    </row>
    <row r="105" ht="15" customHeight="1">
      <c r="A105" t="inlineStr">
        <is>
          <t>A 1791-2024</t>
        </is>
      </c>
      <c r="B105" s="1" t="n">
        <v>45307.574375</v>
      </c>
      <c r="C105" s="1" t="n">
        <v>46045</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46045</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2628-2025</t>
        </is>
      </c>
      <c r="B107" s="1" t="n">
        <v>45675.68435185185</v>
      </c>
      <c r="C107" s="1" t="n">
        <v>46045</v>
      </c>
      <c r="D107" t="inlineStr">
        <is>
          <t>UPPSALA LÄN</t>
        </is>
      </c>
      <c r="E107" t="inlineStr">
        <is>
          <t>KNIVSTA</t>
        </is>
      </c>
      <c r="G107" t="n">
        <v>2.9</v>
      </c>
      <c r="H107" t="n">
        <v>0</v>
      </c>
      <c r="I107" t="n">
        <v>0</v>
      </c>
      <c r="J107" t="n">
        <v>0</v>
      </c>
      <c r="K107" t="n">
        <v>0</v>
      </c>
      <c r="L107" t="n">
        <v>0</v>
      </c>
      <c r="M107" t="n">
        <v>0</v>
      </c>
      <c r="N107" t="n">
        <v>0</v>
      </c>
      <c r="O107" t="n">
        <v>0</v>
      </c>
      <c r="P107" t="n">
        <v>0</v>
      </c>
      <c r="Q107" t="n">
        <v>0</v>
      </c>
      <c r="R107" s="2" t="inlineStr"/>
    </row>
    <row r="108" ht="15" customHeight="1">
      <c r="A108" t="inlineStr">
        <is>
          <t>A 11452-2023</t>
        </is>
      </c>
      <c r="B108" s="1" t="n">
        <v>44993</v>
      </c>
      <c r="C108" s="1" t="n">
        <v>46045</v>
      </c>
      <c r="D108" t="inlineStr">
        <is>
          <t>UPPSALA LÄN</t>
        </is>
      </c>
      <c r="E108" t="inlineStr">
        <is>
          <t>KNIVSTA</t>
        </is>
      </c>
      <c r="G108" t="n">
        <v>2.5</v>
      </c>
      <c r="H108" t="n">
        <v>0</v>
      </c>
      <c r="I108" t="n">
        <v>0</v>
      </c>
      <c r="J108" t="n">
        <v>0</v>
      </c>
      <c r="K108" t="n">
        <v>0</v>
      </c>
      <c r="L108" t="n">
        <v>0</v>
      </c>
      <c r="M108" t="n">
        <v>0</v>
      </c>
      <c r="N108" t="n">
        <v>0</v>
      </c>
      <c r="O108" t="n">
        <v>0</v>
      </c>
      <c r="P108" t="n">
        <v>0</v>
      </c>
      <c r="Q108" t="n">
        <v>0</v>
      </c>
      <c r="R108" s="2" t="inlineStr"/>
    </row>
    <row r="109" ht="15" customHeight="1">
      <c r="A109" t="inlineStr">
        <is>
          <t>A 43908-2023</t>
        </is>
      </c>
      <c r="B109" s="1" t="n">
        <v>45187</v>
      </c>
      <c r="C109" s="1" t="n">
        <v>46045</v>
      </c>
      <c r="D109" t="inlineStr">
        <is>
          <t>UPPSALA LÄN</t>
        </is>
      </c>
      <c r="E109" t="inlineStr">
        <is>
          <t>KNIVSTA</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5402-2023</t>
        </is>
      </c>
      <c r="B110" s="1" t="n">
        <v>44959</v>
      </c>
      <c r="C110" s="1" t="n">
        <v>46045</v>
      </c>
      <c r="D110" t="inlineStr">
        <is>
          <t>UPPSALA LÄN</t>
        </is>
      </c>
      <c r="E110" t="inlineStr">
        <is>
          <t>KNIVSTA</t>
        </is>
      </c>
      <c r="G110" t="n">
        <v>4.3</v>
      </c>
      <c r="H110" t="n">
        <v>0</v>
      </c>
      <c r="I110" t="n">
        <v>0</v>
      </c>
      <c r="J110" t="n">
        <v>0</v>
      </c>
      <c r="K110" t="n">
        <v>0</v>
      </c>
      <c r="L110" t="n">
        <v>0</v>
      </c>
      <c r="M110" t="n">
        <v>0</v>
      </c>
      <c r="N110" t="n">
        <v>0</v>
      </c>
      <c r="O110" t="n">
        <v>0</v>
      </c>
      <c r="P110" t="n">
        <v>0</v>
      </c>
      <c r="Q110" t="n">
        <v>0</v>
      </c>
      <c r="R110" s="2" t="inlineStr"/>
    </row>
    <row r="111">
      <c r="A111" t="inlineStr">
        <is>
          <t>A 34078-2022</t>
        </is>
      </c>
      <c r="B111" s="1" t="n">
        <v>44791</v>
      </c>
      <c r="C111" s="1" t="n">
        <v>46045</v>
      </c>
      <c r="D111" t="inlineStr">
        <is>
          <t>UPPSALA LÄN</t>
        </is>
      </c>
      <c r="E111" t="inlineStr">
        <is>
          <t>KNIVSTA</t>
        </is>
      </c>
      <c r="F111" t="inlineStr">
        <is>
          <t>Övriga statliga verk och myndigheter</t>
        </is>
      </c>
      <c r="G111" t="n">
        <v>1.8</v>
      </c>
      <c r="H111" t="n">
        <v>0</v>
      </c>
      <c r="I111" t="n">
        <v>0</v>
      </c>
      <c r="J111" t="n">
        <v>0</v>
      </c>
      <c r="K111" t="n">
        <v>0</v>
      </c>
      <c r="L111" t="n">
        <v>0</v>
      </c>
      <c r="M111" t="n">
        <v>0</v>
      </c>
      <c r="N111" t="n">
        <v>0</v>
      </c>
      <c r="O111" t="n">
        <v>0</v>
      </c>
      <c r="P111" t="n">
        <v>0</v>
      </c>
      <c r="Q111" t="n">
        <v>0</v>
      </c>
      <c r="R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2026-01-23T11:00:41Z</dcterms:created>
  <dcterms:modified xmlns:dcterms="http://purl.org/dc/terms/" xmlns:xsi="http://www.w3.org/2001/XMLSchema-instance" xsi:type="dcterms:W3CDTF">2026-01-23T11:00:42Z</dcterms:modified>
</cp:coreProperties>
</file>