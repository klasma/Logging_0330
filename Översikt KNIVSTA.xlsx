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45913</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45913</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45913</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45913</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45913</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45913</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21831-2024</t>
        </is>
      </c>
      <c r="B9" s="1" t="n">
        <v>45442</v>
      </c>
      <c r="C9" s="1" t="n">
        <v>45913</v>
      </c>
      <c r="D9" t="inlineStr">
        <is>
          <t>UPPSALA LÄN</t>
        </is>
      </c>
      <c r="E9" t="inlineStr">
        <is>
          <t>KNIVSTA</t>
        </is>
      </c>
      <c r="G9" t="n">
        <v>4.5</v>
      </c>
      <c r="H9" t="n">
        <v>1</v>
      </c>
      <c r="I9" t="n">
        <v>0</v>
      </c>
      <c r="J9" t="n">
        <v>0</v>
      </c>
      <c r="K9" t="n">
        <v>0</v>
      </c>
      <c r="L9" t="n">
        <v>0</v>
      </c>
      <c r="M9" t="n">
        <v>0</v>
      </c>
      <c r="N9" t="n">
        <v>0</v>
      </c>
      <c r="O9" t="n">
        <v>0</v>
      </c>
      <c r="P9" t="n">
        <v>0</v>
      </c>
      <c r="Q9" t="n">
        <v>1</v>
      </c>
      <c r="R9" s="2" t="inlineStr">
        <is>
          <t>Blåsippa</t>
        </is>
      </c>
      <c r="S9">
        <f>HYPERLINK("https://klasma.github.io/Logging_0330/artfynd/A 21831-2024 artfynd.xlsx", "A 21831-2024")</f>
        <v/>
      </c>
      <c r="T9">
        <f>HYPERLINK("https://klasma.github.io/Logging_0330/kartor/A 21831-2024 karta.png", "A 21831-2024")</f>
        <v/>
      </c>
      <c r="V9">
        <f>HYPERLINK("https://klasma.github.io/Logging_0330/klagomål/A 21831-2024 FSC-klagomål.docx", "A 21831-2024")</f>
        <v/>
      </c>
      <c r="W9">
        <f>HYPERLINK("https://klasma.github.io/Logging_0330/klagomålsmail/A 21831-2024 FSC-klagomål mail.docx", "A 21831-2024")</f>
        <v/>
      </c>
      <c r="X9">
        <f>HYPERLINK("https://klasma.github.io/Logging_0330/tillsyn/A 21831-2024 tillsynsbegäran.docx", "A 21831-2024")</f>
        <v/>
      </c>
      <c r="Y9">
        <f>HYPERLINK("https://klasma.github.io/Logging_0330/tillsynsmail/A 21831-2024 tillsynsbegäran mail.docx", "A 21831-2024")</f>
        <v/>
      </c>
    </row>
    <row r="10" ht="15" customHeight="1">
      <c r="A10" t="inlineStr">
        <is>
          <t>A 9553-2025</t>
        </is>
      </c>
      <c r="B10" s="1" t="n">
        <v>45715</v>
      </c>
      <c r="C10" s="1" t="n">
        <v>45913</v>
      </c>
      <c r="D10" t="inlineStr">
        <is>
          <t>UPPSALA LÄN</t>
        </is>
      </c>
      <c r="E10" t="inlineStr">
        <is>
          <t>KNIVSTA</t>
        </is>
      </c>
      <c r="G10" t="n">
        <v>3.5</v>
      </c>
      <c r="H10" t="n">
        <v>1</v>
      </c>
      <c r="I10" t="n">
        <v>0</v>
      </c>
      <c r="J10" t="n">
        <v>0</v>
      </c>
      <c r="K10" t="n">
        <v>0</v>
      </c>
      <c r="L10" t="n">
        <v>0</v>
      </c>
      <c r="M10" t="n">
        <v>0</v>
      </c>
      <c r="N10" t="n">
        <v>0</v>
      </c>
      <c r="O10" t="n">
        <v>0</v>
      </c>
      <c r="P10" t="n">
        <v>0</v>
      </c>
      <c r="Q10" t="n">
        <v>1</v>
      </c>
      <c r="R10" s="2" t="inlineStr">
        <is>
          <t>Nattviol</t>
        </is>
      </c>
      <c r="S10">
        <f>HYPERLINK("https://klasma.github.io/Logging_0330/artfynd/A 9553-2025 artfynd.xlsx", "A 9553-2025")</f>
        <v/>
      </c>
      <c r="T10">
        <f>HYPERLINK("https://klasma.github.io/Logging_0330/kartor/A 9553-2025 karta.png", "A 9553-2025")</f>
        <v/>
      </c>
      <c r="V10">
        <f>HYPERLINK("https://klasma.github.io/Logging_0330/klagomål/A 9553-2025 FSC-klagomål.docx", "A 9553-2025")</f>
        <v/>
      </c>
      <c r="W10">
        <f>HYPERLINK("https://klasma.github.io/Logging_0330/klagomålsmail/A 9553-2025 FSC-klagomål mail.docx", "A 9553-2025")</f>
        <v/>
      </c>
      <c r="X10">
        <f>HYPERLINK("https://klasma.github.io/Logging_0330/tillsyn/A 9553-2025 tillsynsbegäran.docx", "A 9553-2025")</f>
        <v/>
      </c>
      <c r="Y10">
        <f>HYPERLINK("https://klasma.github.io/Logging_0330/tillsynsmail/A 9553-2025 tillsynsbegäran mail.docx", "A 9553-2025")</f>
        <v/>
      </c>
    </row>
    <row r="11" ht="15" customHeight="1">
      <c r="A11" t="inlineStr">
        <is>
          <t>A 16407-2025</t>
        </is>
      </c>
      <c r="B11" s="1" t="n">
        <v>45751.45120370371</v>
      </c>
      <c r="C11" s="1" t="n">
        <v>45913</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11405-2025</t>
        </is>
      </c>
      <c r="B12" s="1" t="n">
        <v>45726</v>
      </c>
      <c r="C12" s="1" t="n">
        <v>45913</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33770-2023</t>
        </is>
      </c>
      <c r="B13" s="1" t="n">
        <v>45133</v>
      </c>
      <c r="C13" s="1" t="n">
        <v>45913</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16973-2021</t>
        </is>
      </c>
      <c r="B14" s="1" t="n">
        <v>44295</v>
      </c>
      <c r="C14" s="1" t="n">
        <v>45913</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9725-2021</t>
        </is>
      </c>
      <c r="B15" s="1" t="n">
        <v>44252</v>
      </c>
      <c r="C15" s="1" t="n">
        <v>45913</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45913</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45913</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45913</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45913</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45913</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45913</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45913</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45913</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45913</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45913</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45913</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45913</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45913</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45913</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45913</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45913</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45913</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45913</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45913</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45913</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45913</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45913</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45913</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45913</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45913</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19676-2025</t>
        </is>
      </c>
      <c r="B41" s="1" t="n">
        <v>45770</v>
      </c>
      <c r="C41" s="1" t="n">
        <v>45913</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8343-2024</t>
        </is>
      </c>
      <c r="B42" s="1" t="n">
        <v>45352</v>
      </c>
      <c r="C42" s="1" t="n">
        <v>45913</v>
      </c>
      <c r="D42" t="inlineStr">
        <is>
          <t>UPPSALA LÄN</t>
        </is>
      </c>
      <c r="E42" t="inlineStr">
        <is>
          <t>KNIVSTA</t>
        </is>
      </c>
      <c r="F42" t="inlineStr">
        <is>
          <t>Holmen skog AB</t>
        </is>
      </c>
      <c r="G42" t="n">
        <v>1.4</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45913</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45913</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30627-2023</t>
        </is>
      </c>
      <c r="B45" s="1" t="n">
        <v>45112</v>
      </c>
      <c r="C45" s="1" t="n">
        <v>45913</v>
      </c>
      <c r="D45" t="inlineStr">
        <is>
          <t>UPPSALA LÄN</t>
        </is>
      </c>
      <c r="E45" t="inlineStr">
        <is>
          <t>KNIVSTA</t>
        </is>
      </c>
      <c r="F45" t="inlineStr">
        <is>
          <t>Holmen skog AB</t>
        </is>
      </c>
      <c r="G45" t="n">
        <v>1.6</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45913</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1629-2024</t>
        </is>
      </c>
      <c r="B47" s="1" t="n">
        <v>45306</v>
      </c>
      <c r="C47" s="1" t="n">
        <v>45913</v>
      </c>
      <c r="D47" t="inlineStr">
        <is>
          <t>UPPSALA LÄN</t>
        </is>
      </c>
      <c r="E47" t="inlineStr">
        <is>
          <t>KNIVSTA</t>
        </is>
      </c>
      <c r="F47" t="inlineStr">
        <is>
          <t>Holmen skog AB</t>
        </is>
      </c>
      <c r="G47" t="n">
        <v>3.6</v>
      </c>
      <c r="H47" t="n">
        <v>0</v>
      </c>
      <c r="I47" t="n">
        <v>0</v>
      </c>
      <c r="J47" t="n">
        <v>0</v>
      </c>
      <c r="K47" t="n">
        <v>0</v>
      </c>
      <c r="L47" t="n">
        <v>0</v>
      </c>
      <c r="M47" t="n">
        <v>0</v>
      </c>
      <c r="N47" t="n">
        <v>0</v>
      </c>
      <c r="O47" t="n">
        <v>0</v>
      </c>
      <c r="P47" t="n">
        <v>0</v>
      </c>
      <c r="Q47" t="n">
        <v>0</v>
      </c>
      <c r="R47" s="2" t="inlineStr"/>
    </row>
    <row r="48" ht="15" customHeight="1">
      <c r="A48" t="inlineStr">
        <is>
          <t>A 60885-2021</t>
        </is>
      </c>
      <c r="B48" s="1" t="n">
        <v>44497</v>
      </c>
      <c r="C48" s="1" t="n">
        <v>45913</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3191-2024</t>
        </is>
      </c>
      <c r="B49" s="1" t="n">
        <v>45316.67186342592</v>
      </c>
      <c r="C49" s="1" t="n">
        <v>45913</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45913</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45913</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26226-2025</t>
        </is>
      </c>
      <c r="B52" s="1" t="n">
        <v>45805.55829861111</v>
      </c>
      <c r="C52" s="1" t="n">
        <v>45913</v>
      </c>
      <c r="D52" t="inlineStr">
        <is>
          <t>UPPSALA LÄN</t>
        </is>
      </c>
      <c r="E52" t="inlineStr">
        <is>
          <t>KNIVSTA</t>
        </is>
      </c>
      <c r="G52" t="n">
        <v>9.1</v>
      </c>
      <c r="H52" t="n">
        <v>0</v>
      </c>
      <c r="I52" t="n">
        <v>0</v>
      </c>
      <c r="J52" t="n">
        <v>0</v>
      </c>
      <c r="K52" t="n">
        <v>0</v>
      </c>
      <c r="L52" t="n">
        <v>0</v>
      </c>
      <c r="M52" t="n">
        <v>0</v>
      </c>
      <c r="N52" t="n">
        <v>0</v>
      </c>
      <c r="O52" t="n">
        <v>0</v>
      </c>
      <c r="P52" t="n">
        <v>0</v>
      </c>
      <c r="Q52" t="n">
        <v>0</v>
      </c>
      <c r="R52" s="2" t="inlineStr"/>
    </row>
    <row r="53" ht="15" customHeight="1">
      <c r="A53" t="inlineStr">
        <is>
          <t>A 16773-2022</t>
        </is>
      </c>
      <c r="B53" s="1" t="n">
        <v>44673</v>
      </c>
      <c r="C53" s="1" t="n">
        <v>45913</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45913</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30764-2023</t>
        </is>
      </c>
      <c r="B55" s="1" t="n">
        <v>45112</v>
      </c>
      <c r="C55" s="1" t="n">
        <v>45913</v>
      </c>
      <c r="D55" t="inlineStr">
        <is>
          <t>UPPSALA LÄN</t>
        </is>
      </c>
      <c r="E55" t="inlineStr">
        <is>
          <t>KNIVSTA</t>
        </is>
      </c>
      <c r="F55" t="inlineStr">
        <is>
          <t>Holmen skog AB</t>
        </is>
      </c>
      <c r="G55" t="n">
        <v>0.9</v>
      </c>
      <c r="H55" t="n">
        <v>0</v>
      </c>
      <c r="I55" t="n">
        <v>0</v>
      </c>
      <c r="J55" t="n">
        <v>0</v>
      </c>
      <c r="K55" t="n">
        <v>0</v>
      </c>
      <c r="L55" t="n">
        <v>0</v>
      </c>
      <c r="M55" t="n">
        <v>0</v>
      </c>
      <c r="N55" t="n">
        <v>0</v>
      </c>
      <c r="O55" t="n">
        <v>0</v>
      </c>
      <c r="P55" t="n">
        <v>0</v>
      </c>
      <c r="Q55" t="n">
        <v>0</v>
      </c>
      <c r="R55" s="2" t="inlineStr"/>
    </row>
    <row r="56" ht="15" customHeight="1">
      <c r="A56" t="inlineStr">
        <is>
          <t>A 51849-2023</t>
        </is>
      </c>
      <c r="B56" s="1" t="n">
        <v>45223.34391203704</v>
      </c>
      <c r="C56" s="1" t="n">
        <v>45913</v>
      </c>
      <c r="D56" t="inlineStr">
        <is>
          <t>UPPSALA LÄN</t>
        </is>
      </c>
      <c r="E56" t="inlineStr">
        <is>
          <t>KNIVSTA</t>
        </is>
      </c>
      <c r="G56" t="n">
        <v>16.3</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45913</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28189-2025</t>
        </is>
      </c>
      <c r="B58" s="1" t="n">
        <v>45818.41357638889</v>
      </c>
      <c r="C58" s="1" t="n">
        <v>45913</v>
      </c>
      <c r="D58" t="inlineStr">
        <is>
          <t>UPPSALA LÄN</t>
        </is>
      </c>
      <c r="E58" t="inlineStr">
        <is>
          <t>KNIVSTA</t>
        </is>
      </c>
      <c r="G58" t="n">
        <v>7.6</v>
      </c>
      <c r="H58" t="n">
        <v>0</v>
      </c>
      <c r="I58" t="n">
        <v>0</v>
      </c>
      <c r="J58" t="n">
        <v>0</v>
      </c>
      <c r="K58" t="n">
        <v>0</v>
      </c>
      <c r="L58" t="n">
        <v>0</v>
      </c>
      <c r="M58" t="n">
        <v>0</v>
      </c>
      <c r="N58" t="n">
        <v>0</v>
      </c>
      <c r="O58" t="n">
        <v>0</v>
      </c>
      <c r="P58" t="n">
        <v>0</v>
      </c>
      <c r="Q58" t="n">
        <v>0</v>
      </c>
      <c r="R58" s="2" t="inlineStr"/>
    </row>
    <row r="59" ht="15" customHeight="1">
      <c r="A59" t="inlineStr">
        <is>
          <t>A 11841-2023</t>
        </is>
      </c>
      <c r="B59" s="1" t="n">
        <v>44995.3221412037</v>
      </c>
      <c r="C59" s="1" t="n">
        <v>45913</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17333-2024</t>
        </is>
      </c>
      <c r="B60" s="1" t="n">
        <v>45414.5625462963</v>
      </c>
      <c r="C60" s="1" t="n">
        <v>45913</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1791-2024</t>
        </is>
      </c>
      <c r="B61" s="1" t="n">
        <v>45307.574375</v>
      </c>
      <c r="C61" s="1" t="n">
        <v>45913</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45913</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11847-2023</t>
        </is>
      </c>
      <c r="B63" s="1" t="n">
        <v>44995.33957175926</v>
      </c>
      <c r="C63" s="1" t="n">
        <v>45913</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45913</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31875-2022</t>
        </is>
      </c>
      <c r="B65" s="1" t="n">
        <v>44777</v>
      </c>
      <c r="C65" s="1" t="n">
        <v>45913</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23239-2023</t>
        </is>
      </c>
      <c r="B66" s="1" t="n">
        <v>45075</v>
      </c>
      <c r="C66" s="1" t="n">
        <v>45913</v>
      </c>
      <c r="D66" t="inlineStr">
        <is>
          <t>UPPSALA LÄN</t>
        </is>
      </c>
      <c r="E66" t="inlineStr">
        <is>
          <t>KNIVSTA</t>
        </is>
      </c>
      <c r="G66" t="n">
        <v>1.8</v>
      </c>
      <c r="H66" t="n">
        <v>0</v>
      </c>
      <c r="I66" t="n">
        <v>0</v>
      </c>
      <c r="J66" t="n">
        <v>0</v>
      </c>
      <c r="K66" t="n">
        <v>0</v>
      </c>
      <c r="L66" t="n">
        <v>0</v>
      </c>
      <c r="M66" t="n">
        <v>0</v>
      </c>
      <c r="N66" t="n">
        <v>0</v>
      </c>
      <c r="O66" t="n">
        <v>0</v>
      </c>
      <c r="P66" t="n">
        <v>0</v>
      </c>
      <c r="Q66" t="n">
        <v>0</v>
      </c>
      <c r="R66" s="2" t="inlineStr"/>
    </row>
    <row r="67" ht="15" customHeight="1">
      <c r="A67" t="inlineStr">
        <is>
          <t>A 66305-2021</t>
        </is>
      </c>
      <c r="B67" s="1" t="n">
        <v>44518</v>
      </c>
      <c r="C67" s="1" t="n">
        <v>45913</v>
      </c>
      <c r="D67" t="inlineStr">
        <is>
          <t>UPPSALA LÄN</t>
        </is>
      </c>
      <c r="E67" t="inlineStr">
        <is>
          <t>KNIVSTA</t>
        </is>
      </c>
      <c r="G67" t="n">
        <v>8.300000000000001</v>
      </c>
      <c r="H67" t="n">
        <v>0</v>
      </c>
      <c r="I67" t="n">
        <v>0</v>
      </c>
      <c r="J67" t="n">
        <v>0</v>
      </c>
      <c r="K67" t="n">
        <v>0</v>
      </c>
      <c r="L67" t="n">
        <v>0</v>
      </c>
      <c r="M67" t="n">
        <v>0</v>
      </c>
      <c r="N67" t="n">
        <v>0</v>
      </c>
      <c r="O67" t="n">
        <v>0</v>
      </c>
      <c r="P67" t="n">
        <v>0</v>
      </c>
      <c r="Q67" t="n">
        <v>0</v>
      </c>
      <c r="R67" s="2" t="inlineStr"/>
    </row>
    <row r="68" ht="15" customHeight="1">
      <c r="A68" t="inlineStr">
        <is>
          <t>A 2628-2025</t>
        </is>
      </c>
      <c r="B68" s="1" t="n">
        <v>45675.68435185185</v>
      </c>
      <c r="C68" s="1" t="n">
        <v>45913</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66293-2021</t>
        </is>
      </c>
      <c r="B69" s="1" t="n">
        <v>44518</v>
      </c>
      <c r="C69" s="1" t="n">
        <v>45913</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33975-2025</t>
        </is>
      </c>
      <c r="B70" s="1" t="n">
        <v>45843.30805555556</v>
      </c>
      <c r="C70" s="1" t="n">
        <v>45913</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33974-2025</t>
        </is>
      </c>
      <c r="B71" s="1" t="n">
        <v>45843.305625</v>
      </c>
      <c r="C71" s="1" t="n">
        <v>45913</v>
      </c>
      <c r="D71" t="inlineStr">
        <is>
          <t>UPPSALA LÄN</t>
        </is>
      </c>
      <c r="E71" t="inlineStr">
        <is>
          <t>KNIVSTA</t>
        </is>
      </c>
      <c r="G71" t="n">
        <v>2.6</v>
      </c>
      <c r="H71" t="n">
        <v>0</v>
      </c>
      <c r="I71" t="n">
        <v>0</v>
      </c>
      <c r="J71" t="n">
        <v>0</v>
      </c>
      <c r="K71" t="n">
        <v>0</v>
      </c>
      <c r="L71" t="n">
        <v>0</v>
      </c>
      <c r="M71" t="n">
        <v>0</v>
      </c>
      <c r="N71" t="n">
        <v>0</v>
      </c>
      <c r="O71" t="n">
        <v>0</v>
      </c>
      <c r="P71" t="n">
        <v>0</v>
      </c>
      <c r="Q71" t="n">
        <v>0</v>
      </c>
      <c r="R71" s="2" t="inlineStr"/>
    </row>
    <row r="72" ht="15" customHeight="1">
      <c r="A72" t="inlineStr">
        <is>
          <t>A 33976-2025</t>
        </is>
      </c>
      <c r="B72" s="1" t="n">
        <v>45843</v>
      </c>
      <c r="C72" s="1" t="n">
        <v>45913</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11452-2023</t>
        </is>
      </c>
      <c r="B73" s="1" t="n">
        <v>44993</v>
      </c>
      <c r="C73" s="1" t="n">
        <v>45913</v>
      </c>
      <c r="D73" t="inlineStr">
        <is>
          <t>UPPSALA LÄN</t>
        </is>
      </c>
      <c r="E73" t="inlineStr">
        <is>
          <t>KNIVSTA</t>
        </is>
      </c>
      <c r="G73" t="n">
        <v>2.5</v>
      </c>
      <c r="H73" t="n">
        <v>0</v>
      </c>
      <c r="I73" t="n">
        <v>0</v>
      </c>
      <c r="J73" t="n">
        <v>0</v>
      </c>
      <c r="K73" t="n">
        <v>0</v>
      </c>
      <c r="L73" t="n">
        <v>0</v>
      </c>
      <c r="M73" t="n">
        <v>0</v>
      </c>
      <c r="N73" t="n">
        <v>0</v>
      </c>
      <c r="O73" t="n">
        <v>0</v>
      </c>
      <c r="P73" t="n">
        <v>0</v>
      </c>
      <c r="Q73" t="n">
        <v>0</v>
      </c>
      <c r="R73" s="2" t="inlineStr"/>
    </row>
    <row r="74" ht="15" customHeight="1">
      <c r="A74" t="inlineStr">
        <is>
          <t>A 68257-2020</t>
        </is>
      </c>
      <c r="B74" s="1" t="n">
        <v>44182</v>
      </c>
      <c r="C74" s="1" t="n">
        <v>45913</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43908-2023</t>
        </is>
      </c>
      <c r="B75" s="1" t="n">
        <v>45187</v>
      </c>
      <c r="C75" s="1" t="n">
        <v>45913</v>
      </c>
      <c r="D75" t="inlineStr">
        <is>
          <t>UPPSALA LÄN</t>
        </is>
      </c>
      <c r="E75" t="inlineStr">
        <is>
          <t>KNIVSTA</t>
        </is>
      </c>
      <c r="F75" t="inlineStr">
        <is>
          <t>Kyrkan</t>
        </is>
      </c>
      <c r="G75" t="n">
        <v>1.7</v>
      </c>
      <c r="H75" t="n">
        <v>0</v>
      </c>
      <c r="I75" t="n">
        <v>0</v>
      </c>
      <c r="J75" t="n">
        <v>0</v>
      </c>
      <c r="K75" t="n">
        <v>0</v>
      </c>
      <c r="L75" t="n">
        <v>0</v>
      </c>
      <c r="M75" t="n">
        <v>0</v>
      </c>
      <c r="N75" t="n">
        <v>0</v>
      </c>
      <c r="O75" t="n">
        <v>0</v>
      </c>
      <c r="P75" t="n">
        <v>0</v>
      </c>
      <c r="Q75" t="n">
        <v>0</v>
      </c>
      <c r="R75" s="2" t="inlineStr"/>
    </row>
    <row r="76" ht="15" customHeight="1">
      <c r="A76" t="inlineStr">
        <is>
          <t>A 5402-2023</t>
        </is>
      </c>
      <c r="B76" s="1" t="n">
        <v>44959</v>
      </c>
      <c r="C76" s="1" t="n">
        <v>45913</v>
      </c>
      <c r="D76" t="inlineStr">
        <is>
          <t>UPPSALA LÄN</t>
        </is>
      </c>
      <c r="E76" t="inlineStr">
        <is>
          <t>KNIVSTA</t>
        </is>
      </c>
      <c r="G76" t="n">
        <v>4.3</v>
      </c>
      <c r="H76" t="n">
        <v>0</v>
      </c>
      <c r="I76" t="n">
        <v>0</v>
      </c>
      <c r="J76" t="n">
        <v>0</v>
      </c>
      <c r="K76" t="n">
        <v>0</v>
      </c>
      <c r="L76" t="n">
        <v>0</v>
      </c>
      <c r="M76" t="n">
        <v>0</v>
      </c>
      <c r="N76" t="n">
        <v>0</v>
      </c>
      <c r="O76" t="n">
        <v>0</v>
      </c>
      <c r="P76" t="n">
        <v>0</v>
      </c>
      <c r="Q76" t="n">
        <v>0</v>
      </c>
      <c r="R76" s="2" t="inlineStr"/>
    </row>
    <row r="77" ht="15" customHeight="1">
      <c r="A77" t="inlineStr">
        <is>
          <t>A 34859-2025</t>
        </is>
      </c>
      <c r="B77" s="1" t="n">
        <v>45849.43511574074</v>
      </c>
      <c r="C77" s="1" t="n">
        <v>45913</v>
      </c>
      <c r="D77" t="inlineStr">
        <is>
          <t>UPPSALA LÄN</t>
        </is>
      </c>
      <c r="E77" t="inlineStr">
        <is>
          <t>KNIVSTA</t>
        </is>
      </c>
      <c r="F77" t="inlineStr">
        <is>
          <t>Holmen skog AB</t>
        </is>
      </c>
      <c r="G77" t="n">
        <v>6.1</v>
      </c>
      <c r="H77" t="n">
        <v>0</v>
      </c>
      <c r="I77" t="n">
        <v>0</v>
      </c>
      <c r="J77" t="n">
        <v>0</v>
      </c>
      <c r="K77" t="n">
        <v>0</v>
      </c>
      <c r="L77" t="n">
        <v>0</v>
      </c>
      <c r="M77" t="n">
        <v>0</v>
      </c>
      <c r="N77" t="n">
        <v>0</v>
      </c>
      <c r="O77" t="n">
        <v>0</v>
      </c>
      <c r="P77" t="n">
        <v>0</v>
      </c>
      <c r="Q77" t="n">
        <v>0</v>
      </c>
      <c r="R77" s="2" t="inlineStr"/>
    </row>
    <row r="78" ht="15" customHeight="1">
      <c r="A78" t="inlineStr">
        <is>
          <t>A 34864-2025</t>
        </is>
      </c>
      <c r="B78" s="1" t="n">
        <v>45849.44028935185</v>
      </c>
      <c r="C78" s="1" t="n">
        <v>45913</v>
      </c>
      <c r="D78" t="inlineStr">
        <is>
          <t>UPPSALA LÄN</t>
        </is>
      </c>
      <c r="E78" t="inlineStr">
        <is>
          <t>KNIVSTA</t>
        </is>
      </c>
      <c r="F78" t="inlineStr">
        <is>
          <t>Holmen skog AB</t>
        </is>
      </c>
      <c r="G78" t="n">
        <v>1.3</v>
      </c>
      <c r="H78" t="n">
        <v>0</v>
      </c>
      <c r="I78" t="n">
        <v>0</v>
      </c>
      <c r="J78" t="n">
        <v>0</v>
      </c>
      <c r="K78" t="n">
        <v>0</v>
      </c>
      <c r="L78" t="n">
        <v>0</v>
      </c>
      <c r="M78" t="n">
        <v>0</v>
      </c>
      <c r="N78" t="n">
        <v>0</v>
      </c>
      <c r="O78" t="n">
        <v>0</v>
      </c>
      <c r="P78" t="n">
        <v>0</v>
      </c>
      <c r="Q78" t="n">
        <v>0</v>
      </c>
      <c r="R78" s="2" t="inlineStr"/>
    </row>
    <row r="79" ht="15" customHeight="1">
      <c r="A79" t="inlineStr">
        <is>
          <t>A 35318-2025</t>
        </is>
      </c>
      <c r="B79" s="1" t="n">
        <v>45854.47917824074</v>
      </c>
      <c r="C79" s="1" t="n">
        <v>45913</v>
      </c>
      <c r="D79" t="inlineStr">
        <is>
          <t>UPPSALA LÄN</t>
        </is>
      </c>
      <c r="E79" t="inlineStr">
        <is>
          <t>KNIVSTA</t>
        </is>
      </c>
      <c r="F79" t="inlineStr">
        <is>
          <t>Holmen skog AB</t>
        </is>
      </c>
      <c r="G79" t="n">
        <v>2.2</v>
      </c>
      <c r="H79" t="n">
        <v>0</v>
      </c>
      <c r="I79" t="n">
        <v>0</v>
      </c>
      <c r="J79" t="n">
        <v>0</v>
      </c>
      <c r="K79" t="n">
        <v>0</v>
      </c>
      <c r="L79" t="n">
        <v>0</v>
      </c>
      <c r="M79" t="n">
        <v>0</v>
      </c>
      <c r="N79" t="n">
        <v>0</v>
      </c>
      <c r="O79" t="n">
        <v>0</v>
      </c>
      <c r="P79" t="n">
        <v>0</v>
      </c>
      <c r="Q79" t="n">
        <v>0</v>
      </c>
      <c r="R79" s="2" t="inlineStr"/>
    </row>
    <row r="80" ht="15" customHeight="1">
      <c r="A80" t="inlineStr">
        <is>
          <t>A 34078-2022</t>
        </is>
      </c>
      <c r="B80" s="1" t="n">
        <v>44791</v>
      </c>
      <c r="C80" s="1" t="n">
        <v>45913</v>
      </c>
      <c r="D80" t="inlineStr">
        <is>
          <t>UPPSALA LÄN</t>
        </is>
      </c>
      <c r="E80" t="inlineStr">
        <is>
          <t>KNIVSTA</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36470-2025</t>
        </is>
      </c>
      <c r="B81" s="1" t="n">
        <v>45869.47915509259</v>
      </c>
      <c r="C81" s="1" t="n">
        <v>45913</v>
      </c>
      <c r="D81" t="inlineStr">
        <is>
          <t>UPPSALA LÄN</t>
        </is>
      </c>
      <c r="E81" t="inlineStr">
        <is>
          <t>KNIVSTA</t>
        </is>
      </c>
      <c r="G81" t="n">
        <v>3.6</v>
      </c>
      <c r="H81" t="n">
        <v>0</v>
      </c>
      <c r="I81" t="n">
        <v>0</v>
      </c>
      <c r="J81" t="n">
        <v>0</v>
      </c>
      <c r="K81" t="n">
        <v>0</v>
      </c>
      <c r="L81" t="n">
        <v>0</v>
      </c>
      <c r="M81" t="n">
        <v>0</v>
      </c>
      <c r="N81" t="n">
        <v>0</v>
      </c>
      <c r="O81" t="n">
        <v>0</v>
      </c>
      <c r="P81" t="n">
        <v>0</v>
      </c>
      <c r="Q81" t="n">
        <v>0</v>
      </c>
      <c r="R81" s="2" t="inlineStr"/>
    </row>
    <row r="82" ht="15" customHeight="1">
      <c r="A82" t="inlineStr">
        <is>
          <t>A 26182-2022</t>
        </is>
      </c>
      <c r="B82" s="1" t="n">
        <v>44735</v>
      </c>
      <c r="C82" s="1" t="n">
        <v>45913</v>
      </c>
      <c r="D82" t="inlineStr">
        <is>
          <t>UPPSALA LÄN</t>
        </is>
      </c>
      <c r="E82" t="inlineStr">
        <is>
          <t>KNIVSTA</t>
        </is>
      </c>
      <c r="G82" t="n">
        <v>3.8</v>
      </c>
      <c r="H82" t="n">
        <v>0</v>
      </c>
      <c r="I82" t="n">
        <v>0</v>
      </c>
      <c r="J82" t="n">
        <v>0</v>
      </c>
      <c r="K82" t="n">
        <v>0</v>
      </c>
      <c r="L82" t="n">
        <v>0</v>
      </c>
      <c r="M82" t="n">
        <v>0</v>
      </c>
      <c r="N82" t="n">
        <v>0</v>
      </c>
      <c r="O82" t="n">
        <v>0</v>
      </c>
      <c r="P82" t="n">
        <v>0</v>
      </c>
      <c r="Q82" t="n">
        <v>0</v>
      </c>
      <c r="R82" s="2" t="inlineStr"/>
    </row>
    <row r="83" ht="15" customHeight="1">
      <c r="A83" t="inlineStr">
        <is>
          <t>A 20505-2021</t>
        </is>
      </c>
      <c r="B83" s="1" t="n">
        <v>44313</v>
      </c>
      <c r="C83" s="1" t="n">
        <v>45913</v>
      </c>
      <c r="D83" t="inlineStr">
        <is>
          <t>UPPSALA LÄN</t>
        </is>
      </c>
      <c r="E83" t="inlineStr">
        <is>
          <t>KNIVSTA</t>
        </is>
      </c>
      <c r="G83" t="n">
        <v>2.9</v>
      </c>
      <c r="H83" t="n">
        <v>0</v>
      </c>
      <c r="I83" t="n">
        <v>0</v>
      </c>
      <c r="J83" t="n">
        <v>0</v>
      </c>
      <c r="K83" t="n">
        <v>0</v>
      </c>
      <c r="L83" t="n">
        <v>0</v>
      </c>
      <c r="M83" t="n">
        <v>0</v>
      </c>
      <c r="N83" t="n">
        <v>0</v>
      </c>
      <c r="O83" t="n">
        <v>0</v>
      </c>
      <c r="P83" t="n">
        <v>0</v>
      </c>
      <c r="Q83" t="n">
        <v>0</v>
      </c>
      <c r="R83" s="2" t="inlineStr"/>
    </row>
    <row r="84" ht="15" customHeight="1">
      <c r="A84" t="inlineStr">
        <is>
          <t>A 36472-2025</t>
        </is>
      </c>
      <c r="B84" s="1" t="n">
        <v>45869.48162037037</v>
      </c>
      <c r="C84" s="1" t="n">
        <v>45913</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36473-2025</t>
        </is>
      </c>
      <c r="B85" s="1" t="n">
        <v>45869.48333333333</v>
      </c>
      <c r="C85" s="1" t="n">
        <v>45913</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2629-2025</t>
        </is>
      </c>
      <c r="B86" s="1" t="n">
        <v>45675.6953587963</v>
      </c>
      <c r="C86" s="1" t="n">
        <v>45913</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5320-2023</t>
        </is>
      </c>
      <c r="B87" s="1" t="n">
        <v>44959</v>
      </c>
      <c r="C87" s="1" t="n">
        <v>45913</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5455-2025</t>
        </is>
      </c>
      <c r="B88" s="1" t="n">
        <v>45693</v>
      </c>
      <c r="C88" s="1" t="n">
        <v>45913</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45913</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16396-2025</t>
        </is>
      </c>
      <c r="B90" s="1" t="n">
        <v>45751.44219907407</v>
      </c>
      <c r="C90" s="1" t="n">
        <v>45913</v>
      </c>
      <c r="D90" t="inlineStr">
        <is>
          <t>UPPSALA LÄN</t>
        </is>
      </c>
      <c r="E90" t="inlineStr">
        <is>
          <t>KNIVSTA</t>
        </is>
      </c>
      <c r="G90" t="n">
        <v>5.1</v>
      </c>
      <c r="H90" t="n">
        <v>0</v>
      </c>
      <c r="I90" t="n">
        <v>0</v>
      </c>
      <c r="J90" t="n">
        <v>0</v>
      </c>
      <c r="K90" t="n">
        <v>0</v>
      </c>
      <c r="L90" t="n">
        <v>0</v>
      </c>
      <c r="M90" t="n">
        <v>0</v>
      </c>
      <c r="N90" t="n">
        <v>0</v>
      </c>
      <c r="O90" t="n">
        <v>0</v>
      </c>
      <c r="P90" t="n">
        <v>0</v>
      </c>
      <c r="Q90" t="n">
        <v>0</v>
      </c>
      <c r="R90" s="2" t="inlineStr"/>
    </row>
    <row r="91" ht="15" customHeight="1">
      <c r="A91" t="inlineStr">
        <is>
          <t>A 17091-2023</t>
        </is>
      </c>
      <c r="B91" s="1" t="n">
        <v>45034.53554398148</v>
      </c>
      <c r="C91" s="1" t="n">
        <v>45913</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c r="A92" t="inlineStr">
        <is>
          <t>A 13040-2025</t>
        </is>
      </c>
      <c r="B92" s="1" t="n">
        <v>45734.58258101852</v>
      </c>
      <c r="C92" s="1" t="n">
        <v>45913</v>
      </c>
      <c r="D92" t="inlineStr">
        <is>
          <t>UPPSALA LÄN</t>
        </is>
      </c>
      <c r="E92" t="inlineStr">
        <is>
          <t>KNIVSTA</t>
        </is>
      </c>
      <c r="F92" t="inlineStr">
        <is>
          <t>Allmännings- och besparingsskogar</t>
        </is>
      </c>
      <c r="G92" t="n">
        <v>1.6</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2025-09-13T08:57:39Z</dcterms:created>
  <dcterms:modified xmlns:dcterms="http://purl.org/dc/terms/" xmlns:xsi="http://www.w3.org/2001/XMLSchema-instance" xsi:type="dcterms:W3CDTF">2025-09-13T08:57:39Z</dcterms:modified>
</cp:coreProperties>
</file>